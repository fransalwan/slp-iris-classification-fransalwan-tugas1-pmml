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C67EAE0-CAE3-4B10-99E5-BBC27BDCB4DC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Konfigurasi Model" sheetId="1" r:id="rId1"/>
    <sheet name="Epoch 1" sheetId="2" r:id="rId2"/>
    <sheet name="Epoch 2" sheetId="3" r:id="rId3"/>
    <sheet name="Epoch 3" sheetId="4" r:id="rId4"/>
    <sheet name="Epoch 4" sheetId="5" r:id="rId5"/>
    <sheet name="Epoch 5" sheetId="6" r:id="rId6"/>
    <sheet name="Hasil dan Visualisasi" sheetId="7" r:id="rId7"/>
    <sheet name="Trial without shuffled data" sheetId="8" r:id="rId8"/>
    <sheet name="Datase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16" i="8" l="1"/>
  <c r="K407" i="8"/>
  <c r="M5" i="8"/>
  <c r="L5" i="8"/>
  <c r="K5" i="8"/>
  <c r="J5" i="8"/>
  <c r="I5" i="8"/>
  <c r="N5" i="8" s="1"/>
  <c r="O5" i="8" s="1"/>
  <c r="K2" i="8"/>
  <c r="K88" i="6"/>
  <c r="K2" i="6"/>
  <c r="K88" i="5"/>
  <c r="K2" i="5"/>
  <c r="K88" i="4"/>
  <c r="K2" i="4"/>
  <c r="K88" i="3"/>
  <c r="K2" i="3"/>
  <c r="K88" i="2"/>
  <c r="M5" i="2"/>
  <c r="L5" i="2"/>
  <c r="K5" i="2"/>
  <c r="J5" i="2"/>
  <c r="I5" i="2"/>
  <c r="N5" i="2" s="1"/>
  <c r="O5" i="2" s="1"/>
  <c r="K2" i="2"/>
  <c r="V5" i="2" l="1"/>
  <c r="K6" i="2" s="1"/>
  <c r="Q5" i="2"/>
  <c r="R5" i="2" s="1"/>
  <c r="X5" i="2"/>
  <c r="W5" i="2"/>
  <c r="L6" i="2" s="1"/>
  <c r="U5" i="2"/>
  <c r="J6" i="2" s="1"/>
  <c r="T5" i="2"/>
  <c r="I6" i="2" s="1"/>
  <c r="P5" i="2"/>
  <c r="Y5" i="2" s="1"/>
  <c r="M6" i="2"/>
  <c r="T5" i="8"/>
  <c r="I6" i="8" s="1"/>
  <c r="X5" i="8"/>
  <c r="M6" i="8" s="1"/>
  <c r="W5" i="8"/>
  <c r="L6" i="8" s="1"/>
  <c r="U5" i="8"/>
  <c r="V5" i="8"/>
  <c r="K6" i="8" s="1"/>
  <c r="Q5" i="8"/>
  <c r="R5" i="8" s="1"/>
  <c r="P5" i="8"/>
  <c r="Y5" i="8" s="1"/>
  <c r="J6" i="8"/>
  <c r="N6" i="2" l="1"/>
  <c r="O6" i="2" s="1"/>
  <c r="N6" i="8"/>
  <c r="O6" i="8" s="1"/>
  <c r="T6" i="8" l="1"/>
  <c r="I7" i="8" s="1"/>
  <c r="Q6" i="8"/>
  <c r="R6" i="8" s="1"/>
  <c r="P6" i="8"/>
  <c r="Y6" i="8" s="1"/>
  <c r="X6" i="8"/>
  <c r="M7" i="8" s="1"/>
  <c r="W6" i="8"/>
  <c r="L7" i="8" s="1"/>
  <c r="V6" i="8"/>
  <c r="K7" i="8" s="1"/>
  <c r="U6" i="8"/>
  <c r="J7" i="8" s="1"/>
  <c r="V6" i="2"/>
  <c r="K7" i="2" s="1"/>
  <c r="Q6" i="2"/>
  <c r="R6" i="2" s="1"/>
  <c r="X6" i="2"/>
  <c r="M7" i="2" s="1"/>
  <c r="W6" i="2"/>
  <c r="L7" i="2" s="1"/>
  <c r="U6" i="2"/>
  <c r="J7" i="2" s="1"/>
  <c r="T6" i="2"/>
  <c r="I7" i="2" s="1"/>
  <c r="P6" i="2"/>
  <c r="Y6" i="2" s="1"/>
  <c r="N7" i="2" l="1"/>
  <c r="O7" i="2" s="1"/>
  <c r="N7" i="8"/>
  <c r="O7" i="8" s="1"/>
  <c r="V7" i="2" l="1"/>
  <c r="K8" i="2" s="1"/>
  <c r="Q7" i="2"/>
  <c r="R7" i="2" s="1"/>
  <c r="X7" i="2"/>
  <c r="M8" i="2" s="1"/>
  <c r="W7" i="2"/>
  <c r="L8" i="2" s="1"/>
  <c r="U7" i="2"/>
  <c r="J8" i="2" s="1"/>
  <c r="T7" i="2"/>
  <c r="I8" i="2" s="1"/>
  <c r="P7" i="2"/>
  <c r="Y7" i="2" s="1"/>
  <c r="T7" i="8"/>
  <c r="I8" i="8" s="1"/>
  <c r="V7" i="8"/>
  <c r="K8" i="8" s="1"/>
  <c r="U7" i="8"/>
  <c r="J8" i="8" s="1"/>
  <c r="Q7" i="8"/>
  <c r="R7" i="8" s="1"/>
  <c r="P7" i="8"/>
  <c r="Y7" i="8" s="1"/>
  <c r="X7" i="8"/>
  <c r="M8" i="8" s="1"/>
  <c r="W7" i="8"/>
  <c r="L8" i="8" s="1"/>
  <c r="N8" i="2" l="1"/>
  <c r="O8" i="2" s="1"/>
  <c r="N8" i="8"/>
  <c r="O8" i="8" s="1"/>
  <c r="T8" i="8" l="1"/>
  <c r="I9" i="8" s="1"/>
  <c r="X8" i="8"/>
  <c r="M9" i="8" s="1"/>
  <c r="W8" i="8"/>
  <c r="L9" i="8" s="1"/>
  <c r="V8" i="8"/>
  <c r="K9" i="8" s="1"/>
  <c r="U8" i="8"/>
  <c r="J9" i="8" s="1"/>
  <c r="Q8" i="8"/>
  <c r="R8" i="8" s="1"/>
  <c r="P8" i="8"/>
  <c r="Y8" i="8" s="1"/>
  <c r="V8" i="2"/>
  <c r="K9" i="2" s="1"/>
  <c r="Q8" i="2"/>
  <c r="R8" i="2" s="1"/>
  <c r="U8" i="2"/>
  <c r="J9" i="2" s="1"/>
  <c r="T8" i="2"/>
  <c r="I9" i="2" s="1"/>
  <c r="X8" i="2"/>
  <c r="M9" i="2" s="1"/>
  <c r="W8" i="2"/>
  <c r="L9" i="2" s="1"/>
  <c r="P8" i="2"/>
  <c r="Y8" i="2" s="1"/>
  <c r="N9" i="2" l="1"/>
  <c r="O9" i="2" s="1"/>
  <c r="N9" i="8"/>
  <c r="O9" i="8" s="1"/>
  <c r="T9" i="8" l="1"/>
  <c r="I10" i="8" s="1"/>
  <c r="X9" i="8"/>
  <c r="M10" i="8" s="1"/>
  <c r="W9" i="8"/>
  <c r="L10" i="8" s="1"/>
  <c r="V9" i="8"/>
  <c r="K10" i="8" s="1"/>
  <c r="U9" i="8"/>
  <c r="J10" i="8" s="1"/>
  <c r="Q9" i="8"/>
  <c r="R9" i="8" s="1"/>
  <c r="P9" i="8"/>
  <c r="Y9" i="8" s="1"/>
  <c r="V9" i="2"/>
  <c r="K10" i="2" s="1"/>
  <c r="Q9" i="2"/>
  <c r="R9" i="2" s="1"/>
  <c r="P9" i="2"/>
  <c r="Y9" i="2" s="1"/>
  <c r="U9" i="2"/>
  <c r="J10" i="2" s="1"/>
  <c r="T9" i="2"/>
  <c r="I10" i="2" s="1"/>
  <c r="X9" i="2"/>
  <c r="M10" i="2" s="1"/>
  <c r="W9" i="2"/>
  <c r="L10" i="2" s="1"/>
  <c r="N10" i="2" l="1"/>
  <c r="O10" i="2" s="1"/>
  <c r="N10" i="8"/>
  <c r="O10" i="8" s="1"/>
  <c r="T10" i="8" l="1"/>
  <c r="I11" i="8" s="1"/>
  <c r="X10" i="8"/>
  <c r="M11" i="8" s="1"/>
  <c r="W10" i="8"/>
  <c r="L11" i="8" s="1"/>
  <c r="V10" i="8"/>
  <c r="K11" i="8" s="1"/>
  <c r="U10" i="8"/>
  <c r="J11" i="8" s="1"/>
  <c r="Q10" i="8"/>
  <c r="R10" i="8" s="1"/>
  <c r="P10" i="8"/>
  <c r="Y10" i="8" s="1"/>
  <c r="V10" i="2"/>
  <c r="K11" i="2" s="1"/>
  <c r="Q10" i="2"/>
  <c r="R10" i="2" s="1"/>
  <c r="W10" i="2"/>
  <c r="L11" i="2" s="1"/>
  <c r="U10" i="2"/>
  <c r="J11" i="2" s="1"/>
  <c r="T10" i="2"/>
  <c r="I11" i="2" s="1"/>
  <c r="P10" i="2"/>
  <c r="Y10" i="2" s="1"/>
  <c r="X10" i="2"/>
  <c r="M11" i="2" s="1"/>
  <c r="N11" i="2" l="1"/>
  <c r="O11" i="2" s="1"/>
  <c r="N11" i="8"/>
  <c r="O11" i="8" s="1"/>
  <c r="T11" i="8" l="1"/>
  <c r="I12" i="8" s="1"/>
  <c r="P11" i="8"/>
  <c r="Y11" i="8" s="1"/>
  <c r="X11" i="8"/>
  <c r="M12" i="8" s="1"/>
  <c r="W11" i="8"/>
  <c r="L12" i="8" s="1"/>
  <c r="V11" i="8"/>
  <c r="K12" i="8" s="1"/>
  <c r="Q11" i="8"/>
  <c r="R11" i="8" s="1"/>
  <c r="U11" i="8"/>
  <c r="J12" i="8" s="1"/>
  <c r="V11" i="2"/>
  <c r="K12" i="2" s="1"/>
  <c r="Q11" i="2"/>
  <c r="R11" i="2" s="1"/>
  <c r="X11" i="2"/>
  <c r="M12" i="2" s="1"/>
  <c r="W11" i="2"/>
  <c r="L12" i="2" s="1"/>
  <c r="U11" i="2"/>
  <c r="J12" i="2" s="1"/>
  <c r="T11" i="2"/>
  <c r="I12" i="2" s="1"/>
  <c r="P11" i="2"/>
  <c r="Y11" i="2" s="1"/>
  <c r="N12" i="2" l="1"/>
  <c r="O12" i="2" s="1"/>
  <c r="N12" i="8"/>
  <c r="O12" i="8" s="1"/>
  <c r="T12" i="8" l="1"/>
  <c r="I13" i="8" s="1"/>
  <c r="U12" i="8"/>
  <c r="J13" i="8" s="1"/>
  <c r="Q12" i="8"/>
  <c r="R12" i="8" s="1"/>
  <c r="P12" i="8"/>
  <c r="Y12" i="8" s="1"/>
  <c r="X12" i="8"/>
  <c r="M13" i="8" s="1"/>
  <c r="W12" i="8"/>
  <c r="L13" i="8" s="1"/>
  <c r="V12" i="8"/>
  <c r="K13" i="8" s="1"/>
  <c r="V12" i="2"/>
  <c r="K13" i="2" s="1"/>
  <c r="Q12" i="2"/>
  <c r="R12" i="2" s="1"/>
  <c r="X12" i="2"/>
  <c r="M13" i="2" s="1"/>
  <c r="W12" i="2"/>
  <c r="L13" i="2" s="1"/>
  <c r="U12" i="2"/>
  <c r="J13" i="2" s="1"/>
  <c r="T12" i="2"/>
  <c r="I13" i="2" s="1"/>
  <c r="P12" i="2"/>
  <c r="Y12" i="2" s="1"/>
  <c r="N13" i="2" l="1"/>
  <c r="O13" i="2" s="1"/>
  <c r="N13" i="8"/>
  <c r="O13" i="8" s="1"/>
  <c r="T13" i="8" l="1"/>
  <c r="I14" i="8" s="1"/>
  <c r="X13" i="8"/>
  <c r="M14" i="8" s="1"/>
  <c r="W13" i="8"/>
  <c r="L14" i="8" s="1"/>
  <c r="V13" i="8"/>
  <c r="K14" i="8" s="1"/>
  <c r="U13" i="8"/>
  <c r="J14" i="8" s="1"/>
  <c r="Q13" i="8"/>
  <c r="R13" i="8" s="1"/>
  <c r="P13" i="8"/>
  <c r="Y13" i="8" s="1"/>
  <c r="V13" i="2"/>
  <c r="K14" i="2" s="1"/>
  <c r="Q13" i="2"/>
  <c r="R13" i="2" s="1"/>
  <c r="P13" i="2"/>
  <c r="Y13" i="2" s="1"/>
  <c r="X13" i="2"/>
  <c r="M14" i="2" s="1"/>
  <c r="W13" i="2"/>
  <c r="L14" i="2" s="1"/>
  <c r="T13" i="2"/>
  <c r="I14" i="2" s="1"/>
  <c r="U13" i="2"/>
  <c r="J14" i="2" s="1"/>
  <c r="N14" i="2" l="1"/>
  <c r="O14" i="2" s="1"/>
  <c r="N14" i="8"/>
  <c r="O14" i="8" s="1"/>
  <c r="T14" i="8" l="1"/>
  <c r="I15" i="8" s="1"/>
  <c r="X14" i="8"/>
  <c r="M15" i="8" s="1"/>
  <c r="W14" i="8"/>
  <c r="L15" i="8" s="1"/>
  <c r="V14" i="8"/>
  <c r="K15" i="8" s="1"/>
  <c r="U14" i="8"/>
  <c r="J15" i="8" s="1"/>
  <c r="Q14" i="8"/>
  <c r="R14" i="8" s="1"/>
  <c r="P14" i="8"/>
  <c r="Y14" i="8" s="1"/>
  <c r="V14" i="2"/>
  <c r="K15" i="2" s="1"/>
  <c r="Q14" i="2"/>
  <c r="R14" i="2" s="1"/>
  <c r="X14" i="2"/>
  <c r="M15" i="2" s="1"/>
  <c r="T14" i="2"/>
  <c r="I15" i="2" s="1"/>
  <c r="P14" i="2"/>
  <c r="Y14" i="2" s="1"/>
  <c r="W14" i="2"/>
  <c r="L15" i="2" s="1"/>
  <c r="U14" i="2"/>
  <c r="J15" i="2" s="1"/>
  <c r="N15" i="2" l="1"/>
  <c r="O15" i="2" s="1"/>
  <c r="N15" i="8"/>
  <c r="O15" i="8" s="1"/>
  <c r="X15" i="8" l="1"/>
  <c r="M16" i="8" s="1"/>
  <c r="T15" i="8"/>
  <c r="I16" i="8" s="1"/>
  <c r="P15" i="8"/>
  <c r="Y15" i="8" s="1"/>
  <c r="W15" i="8"/>
  <c r="L16" i="8" s="1"/>
  <c r="V15" i="8"/>
  <c r="K16" i="8" s="1"/>
  <c r="U15" i="8"/>
  <c r="J16" i="8" s="1"/>
  <c r="Q15" i="8"/>
  <c r="R15" i="8" s="1"/>
  <c r="V15" i="2"/>
  <c r="K16" i="2" s="1"/>
  <c r="Q15" i="2"/>
  <c r="R15" i="2" s="1"/>
  <c r="U15" i="2"/>
  <c r="J16" i="2" s="1"/>
  <c r="T15" i="2"/>
  <c r="I16" i="2" s="1"/>
  <c r="P15" i="2"/>
  <c r="Y15" i="2" s="1"/>
  <c r="X15" i="2"/>
  <c r="M16" i="2" s="1"/>
  <c r="W15" i="2"/>
  <c r="L16" i="2" s="1"/>
  <c r="N16" i="2" l="1"/>
  <c r="O16" i="2" s="1"/>
  <c r="N16" i="8"/>
  <c r="O16" i="8" s="1"/>
  <c r="X16" i="8" l="1"/>
  <c r="M17" i="8" s="1"/>
  <c r="T16" i="8"/>
  <c r="I17" i="8" s="1"/>
  <c r="W16" i="8"/>
  <c r="L17" i="8" s="1"/>
  <c r="V16" i="8"/>
  <c r="K17" i="8" s="1"/>
  <c r="U16" i="8"/>
  <c r="J17" i="8" s="1"/>
  <c r="Q16" i="8"/>
  <c r="R16" i="8" s="1"/>
  <c r="P16" i="8"/>
  <c r="Y16" i="8" s="1"/>
  <c r="V16" i="2"/>
  <c r="K17" i="2" s="1"/>
  <c r="Q16" i="2"/>
  <c r="R16" i="2" s="1"/>
  <c r="X16" i="2"/>
  <c r="M17" i="2" s="1"/>
  <c r="W16" i="2"/>
  <c r="L17" i="2" s="1"/>
  <c r="U16" i="2"/>
  <c r="J17" i="2" s="1"/>
  <c r="T16" i="2"/>
  <c r="I17" i="2" s="1"/>
  <c r="P16" i="2"/>
  <c r="Y16" i="2" s="1"/>
  <c r="N17" i="2" l="1"/>
  <c r="O17" i="2" s="1"/>
  <c r="N17" i="8"/>
  <c r="O17" i="8" s="1"/>
  <c r="X17" i="8" l="1"/>
  <c r="M18" i="8" s="1"/>
  <c r="T17" i="8"/>
  <c r="I18" i="8" s="1"/>
  <c r="W17" i="8"/>
  <c r="L18" i="8" s="1"/>
  <c r="V17" i="8"/>
  <c r="K18" i="8" s="1"/>
  <c r="U17" i="8"/>
  <c r="J18" i="8" s="1"/>
  <c r="Q17" i="8"/>
  <c r="R17" i="8" s="1"/>
  <c r="P17" i="8"/>
  <c r="Y17" i="8" s="1"/>
  <c r="V17" i="2"/>
  <c r="K18" i="2" s="1"/>
  <c r="Q17" i="2"/>
  <c r="R17" i="2" s="1"/>
  <c r="U17" i="2"/>
  <c r="J18" i="2" s="1"/>
  <c r="P17" i="2"/>
  <c r="Y17" i="2" s="1"/>
  <c r="W17" i="2"/>
  <c r="L18" i="2" s="1"/>
  <c r="X17" i="2"/>
  <c r="M18" i="2" s="1"/>
  <c r="T17" i="2"/>
  <c r="I18" i="2" s="1"/>
  <c r="N18" i="2" l="1"/>
  <c r="O18" i="2" s="1"/>
  <c r="N18" i="8"/>
  <c r="O18" i="8" s="1"/>
  <c r="X18" i="8" l="1"/>
  <c r="M19" i="8" s="1"/>
  <c r="T18" i="8"/>
  <c r="I19" i="8" s="1"/>
  <c r="Q18" i="8"/>
  <c r="R18" i="8" s="1"/>
  <c r="P18" i="8"/>
  <c r="Y18" i="8" s="1"/>
  <c r="W18" i="8"/>
  <c r="L19" i="8" s="1"/>
  <c r="V18" i="8"/>
  <c r="K19" i="8" s="1"/>
  <c r="U18" i="8"/>
  <c r="J19" i="8" s="1"/>
  <c r="V18" i="2"/>
  <c r="K19" i="2" s="1"/>
  <c r="Q18" i="2"/>
  <c r="R18" i="2" s="1"/>
  <c r="X18" i="2"/>
  <c r="M19" i="2" s="1"/>
  <c r="W18" i="2"/>
  <c r="L19" i="2" s="1"/>
  <c r="U18" i="2"/>
  <c r="J19" i="2" s="1"/>
  <c r="T18" i="2"/>
  <c r="I19" i="2" s="1"/>
  <c r="P18" i="2"/>
  <c r="Y18" i="2" s="1"/>
  <c r="N19" i="2" l="1"/>
  <c r="O19" i="2" s="1"/>
  <c r="N19" i="8"/>
  <c r="O19" i="8" s="1"/>
  <c r="V19" i="2" l="1"/>
  <c r="K20" i="2" s="1"/>
  <c r="Q19" i="2"/>
  <c r="R19" i="2" s="1"/>
  <c r="X19" i="2"/>
  <c r="M20" i="2" s="1"/>
  <c r="W19" i="2"/>
  <c r="L20" i="2" s="1"/>
  <c r="U19" i="2"/>
  <c r="J20" i="2" s="1"/>
  <c r="T19" i="2"/>
  <c r="I20" i="2" s="1"/>
  <c r="P19" i="2"/>
  <c r="Y19" i="2" s="1"/>
  <c r="X19" i="8"/>
  <c r="M20" i="8" s="1"/>
  <c r="U19" i="8"/>
  <c r="J20" i="8" s="1"/>
  <c r="T19" i="8"/>
  <c r="I20" i="8" s="1"/>
  <c r="W19" i="8"/>
  <c r="L20" i="8" s="1"/>
  <c r="V19" i="8"/>
  <c r="K20" i="8" s="1"/>
  <c r="Q19" i="8"/>
  <c r="R19" i="8" s="1"/>
  <c r="P19" i="8"/>
  <c r="Y19" i="8" s="1"/>
  <c r="N20" i="2" l="1"/>
  <c r="O20" i="2" s="1"/>
  <c r="N20" i="8"/>
  <c r="O20" i="8" s="1"/>
  <c r="X20" i="8" l="1"/>
  <c r="M21" i="8" s="1"/>
  <c r="U20" i="8"/>
  <c r="J21" i="8" s="1"/>
  <c r="T20" i="8"/>
  <c r="I21" i="8" s="1"/>
  <c r="W20" i="8"/>
  <c r="L21" i="8" s="1"/>
  <c r="V20" i="8"/>
  <c r="K21" i="8" s="1"/>
  <c r="Q20" i="8"/>
  <c r="R20" i="8" s="1"/>
  <c r="P20" i="8"/>
  <c r="Y20" i="8" s="1"/>
  <c r="V20" i="2"/>
  <c r="K21" i="2" s="1"/>
  <c r="Q20" i="2"/>
  <c r="R20" i="2" s="1"/>
  <c r="P20" i="2"/>
  <c r="Y20" i="2" s="1"/>
  <c r="U20" i="2"/>
  <c r="J21" i="2" s="1"/>
  <c r="T20" i="2"/>
  <c r="I21" i="2" s="1"/>
  <c r="X20" i="2"/>
  <c r="M21" i="2" s="1"/>
  <c r="W20" i="2"/>
  <c r="L21" i="2" s="1"/>
  <c r="N21" i="2" l="1"/>
  <c r="O21" i="2" s="1"/>
  <c r="N21" i="8"/>
  <c r="O21" i="8" s="1"/>
  <c r="X21" i="8" l="1"/>
  <c r="M22" i="8" s="1"/>
  <c r="U21" i="8"/>
  <c r="J22" i="8" s="1"/>
  <c r="T21" i="8"/>
  <c r="I22" i="8" s="1"/>
  <c r="W21" i="8"/>
  <c r="L22" i="8" s="1"/>
  <c r="V21" i="8"/>
  <c r="K22" i="8" s="1"/>
  <c r="Q21" i="8"/>
  <c r="R21" i="8" s="1"/>
  <c r="P21" i="8"/>
  <c r="Y21" i="8" s="1"/>
  <c r="V21" i="2"/>
  <c r="K22" i="2" s="1"/>
  <c r="Q21" i="2"/>
  <c r="R21" i="2" s="1"/>
  <c r="X21" i="2"/>
  <c r="M22" i="2" s="1"/>
  <c r="W21" i="2"/>
  <c r="L22" i="2" s="1"/>
  <c r="U21" i="2"/>
  <c r="J22" i="2" s="1"/>
  <c r="T21" i="2"/>
  <c r="I22" i="2" s="1"/>
  <c r="P21" i="2"/>
  <c r="Y21" i="2" s="1"/>
  <c r="N22" i="2" l="1"/>
  <c r="O22" i="2" s="1"/>
  <c r="N22" i="8"/>
  <c r="O22" i="8" s="1"/>
  <c r="X22" i="8" l="1"/>
  <c r="M23" i="8" s="1"/>
  <c r="U22" i="8"/>
  <c r="J23" i="8" s="1"/>
  <c r="T22" i="8"/>
  <c r="I23" i="8" s="1"/>
  <c r="W22" i="8"/>
  <c r="L23" i="8" s="1"/>
  <c r="V22" i="8"/>
  <c r="K23" i="8" s="1"/>
  <c r="Q22" i="8"/>
  <c r="R22" i="8" s="1"/>
  <c r="P22" i="8"/>
  <c r="Y22" i="8" s="1"/>
  <c r="V22" i="2"/>
  <c r="K23" i="2" s="1"/>
  <c r="Q22" i="2"/>
  <c r="R22" i="2" s="1"/>
  <c r="T22" i="2"/>
  <c r="I23" i="2" s="1"/>
  <c r="X22" i="2"/>
  <c r="M23" i="2" s="1"/>
  <c r="W22" i="2"/>
  <c r="L23" i="2" s="1"/>
  <c r="P22" i="2"/>
  <c r="Y22" i="2" s="1"/>
  <c r="U22" i="2"/>
  <c r="J23" i="2" s="1"/>
  <c r="N23" i="2" l="1"/>
  <c r="O23" i="2" s="1"/>
  <c r="N23" i="8"/>
  <c r="O23" i="8" s="1"/>
  <c r="X23" i="8" l="1"/>
  <c r="M24" i="8" s="1"/>
  <c r="V23" i="8"/>
  <c r="K24" i="8" s="1"/>
  <c r="U23" i="8"/>
  <c r="J24" i="8" s="1"/>
  <c r="T23" i="8"/>
  <c r="I24" i="8" s="1"/>
  <c r="W23" i="8"/>
  <c r="L24" i="8" s="1"/>
  <c r="Q23" i="8"/>
  <c r="R23" i="8" s="1"/>
  <c r="P23" i="8"/>
  <c r="Y23" i="8" s="1"/>
  <c r="V23" i="2"/>
  <c r="K24" i="2" s="1"/>
  <c r="Q23" i="2"/>
  <c r="R23" i="2" s="1"/>
  <c r="U23" i="2"/>
  <c r="J24" i="2" s="1"/>
  <c r="T23" i="2"/>
  <c r="I24" i="2" s="1"/>
  <c r="P23" i="2"/>
  <c r="Y23" i="2" s="1"/>
  <c r="W23" i="2"/>
  <c r="L24" i="2" s="1"/>
  <c r="X23" i="2"/>
  <c r="M24" i="2" s="1"/>
  <c r="N24" i="2" l="1"/>
  <c r="O24" i="2" s="1"/>
  <c r="N24" i="8"/>
  <c r="O24" i="8" s="1"/>
  <c r="X24" i="8" l="1"/>
  <c r="M25" i="8" s="1"/>
  <c r="V24" i="8"/>
  <c r="K25" i="8" s="1"/>
  <c r="U24" i="8"/>
  <c r="J25" i="8" s="1"/>
  <c r="T24" i="8"/>
  <c r="I25" i="8" s="1"/>
  <c r="W24" i="8"/>
  <c r="L25" i="8" s="1"/>
  <c r="Q24" i="8"/>
  <c r="R24" i="8" s="1"/>
  <c r="P24" i="8"/>
  <c r="Y24" i="8" s="1"/>
  <c r="V24" i="2"/>
  <c r="K25" i="2" s="1"/>
  <c r="Q24" i="2"/>
  <c r="R24" i="2" s="1"/>
  <c r="X24" i="2"/>
  <c r="M25" i="2" s="1"/>
  <c r="W24" i="2"/>
  <c r="L25" i="2" s="1"/>
  <c r="U24" i="2"/>
  <c r="J25" i="2" s="1"/>
  <c r="T24" i="2"/>
  <c r="I25" i="2" s="1"/>
  <c r="P24" i="2"/>
  <c r="Y24" i="2" s="1"/>
  <c r="N25" i="2" l="1"/>
  <c r="O25" i="2" s="1"/>
  <c r="N25" i="8"/>
  <c r="O25" i="8" s="1"/>
  <c r="X25" i="8" l="1"/>
  <c r="M26" i="8" s="1"/>
  <c r="V25" i="8"/>
  <c r="K26" i="8" s="1"/>
  <c r="U25" i="8"/>
  <c r="J26" i="8" s="1"/>
  <c r="T25" i="8"/>
  <c r="I26" i="8" s="1"/>
  <c r="P25" i="8"/>
  <c r="Y25" i="8" s="1"/>
  <c r="W25" i="8"/>
  <c r="L26" i="8" s="1"/>
  <c r="Q25" i="8"/>
  <c r="R25" i="8" s="1"/>
  <c r="V25" i="2"/>
  <c r="K26" i="2" s="1"/>
  <c r="Q25" i="2"/>
  <c r="R25" i="2" s="1"/>
  <c r="U25" i="2"/>
  <c r="J26" i="2" s="1"/>
  <c r="P25" i="2"/>
  <c r="Y25" i="2" s="1"/>
  <c r="X25" i="2"/>
  <c r="M26" i="2" s="1"/>
  <c r="W25" i="2"/>
  <c r="L26" i="2" s="1"/>
  <c r="T25" i="2"/>
  <c r="I26" i="2" s="1"/>
  <c r="N26" i="2" l="1"/>
  <c r="O26" i="2" s="1"/>
  <c r="N26" i="8"/>
  <c r="O26" i="8" s="1"/>
  <c r="X26" i="8" l="1"/>
  <c r="M27" i="8" s="1"/>
  <c r="V26" i="8"/>
  <c r="K27" i="8" s="1"/>
  <c r="U26" i="8"/>
  <c r="J27" i="8" s="1"/>
  <c r="T26" i="8"/>
  <c r="I27" i="8" s="1"/>
  <c r="P26" i="8"/>
  <c r="Y26" i="8" s="1"/>
  <c r="Q26" i="8"/>
  <c r="R26" i="8" s="1"/>
  <c r="W26" i="8"/>
  <c r="L27" i="8" s="1"/>
  <c r="V26" i="2"/>
  <c r="K27" i="2" s="1"/>
  <c r="Q26" i="2"/>
  <c r="R26" i="2" s="1"/>
  <c r="X26" i="2"/>
  <c r="M27" i="2" s="1"/>
  <c r="W26" i="2"/>
  <c r="L27" i="2" s="1"/>
  <c r="U26" i="2"/>
  <c r="J27" i="2" s="1"/>
  <c r="T26" i="2"/>
  <c r="I27" i="2" s="1"/>
  <c r="P26" i="2"/>
  <c r="Y26" i="2" s="1"/>
  <c r="N27" i="2" l="1"/>
  <c r="O27" i="2" s="1"/>
  <c r="N27" i="8"/>
  <c r="O27" i="8" s="1"/>
  <c r="X27" i="8" l="1"/>
  <c r="M28" i="8" s="1"/>
  <c r="V27" i="8"/>
  <c r="K28" i="8" s="1"/>
  <c r="U27" i="8"/>
  <c r="J28" i="8" s="1"/>
  <c r="T27" i="8"/>
  <c r="I28" i="8" s="1"/>
  <c r="P27" i="8"/>
  <c r="Y27" i="8" s="1"/>
  <c r="W27" i="8"/>
  <c r="L28" i="8" s="1"/>
  <c r="Q27" i="8"/>
  <c r="R27" i="8" s="1"/>
  <c r="V27" i="2"/>
  <c r="K28" i="2" s="1"/>
  <c r="Q27" i="2"/>
  <c r="R27" i="2" s="1"/>
  <c r="X27" i="2"/>
  <c r="M28" i="2" s="1"/>
  <c r="W27" i="2"/>
  <c r="L28" i="2" s="1"/>
  <c r="U27" i="2"/>
  <c r="J28" i="2" s="1"/>
  <c r="T27" i="2"/>
  <c r="I28" i="2" s="1"/>
  <c r="P27" i="2"/>
  <c r="Y27" i="2" s="1"/>
  <c r="N28" i="8" l="1"/>
  <c r="O28" i="8" s="1"/>
  <c r="N28" i="2"/>
  <c r="O28" i="2" s="1"/>
  <c r="V28" i="2" l="1"/>
  <c r="K29" i="2" s="1"/>
  <c r="Q28" i="2"/>
  <c r="R28" i="2" s="1"/>
  <c r="P28" i="2"/>
  <c r="Y28" i="2" s="1"/>
  <c r="T28" i="2"/>
  <c r="I29" i="2" s="1"/>
  <c r="X28" i="2"/>
  <c r="M29" i="2" s="1"/>
  <c r="U28" i="2"/>
  <c r="J29" i="2" s="1"/>
  <c r="W28" i="2"/>
  <c r="L29" i="2" s="1"/>
  <c r="X28" i="8"/>
  <c r="M29" i="8" s="1"/>
  <c r="V28" i="8"/>
  <c r="K29" i="8" s="1"/>
  <c r="U28" i="8"/>
  <c r="J29" i="8" s="1"/>
  <c r="T28" i="8"/>
  <c r="I29" i="8" s="1"/>
  <c r="P28" i="8"/>
  <c r="Y28" i="8" s="1"/>
  <c r="W28" i="8"/>
  <c r="L29" i="8" s="1"/>
  <c r="Q28" i="8"/>
  <c r="R28" i="8" s="1"/>
  <c r="N29" i="2" l="1"/>
  <c r="O29" i="2" s="1"/>
  <c r="N29" i="8"/>
  <c r="O29" i="8" s="1"/>
  <c r="X29" i="8" l="1"/>
  <c r="M30" i="8" s="1"/>
  <c r="V29" i="8"/>
  <c r="K30" i="8" s="1"/>
  <c r="U29" i="8"/>
  <c r="J30" i="8" s="1"/>
  <c r="T29" i="8"/>
  <c r="I30" i="8" s="1"/>
  <c r="P29" i="8"/>
  <c r="Y29" i="8" s="1"/>
  <c r="W29" i="8"/>
  <c r="L30" i="8" s="1"/>
  <c r="Q29" i="8"/>
  <c r="R29" i="8" s="1"/>
  <c r="V29" i="2"/>
  <c r="K30" i="2" s="1"/>
  <c r="Q29" i="2"/>
  <c r="R29" i="2" s="1"/>
  <c r="X29" i="2"/>
  <c r="M30" i="2" s="1"/>
  <c r="W29" i="2"/>
  <c r="L30" i="2" s="1"/>
  <c r="U29" i="2"/>
  <c r="J30" i="2" s="1"/>
  <c r="T29" i="2"/>
  <c r="I30" i="2" s="1"/>
  <c r="P29" i="2"/>
  <c r="Y29" i="2" s="1"/>
  <c r="N30" i="2" l="1"/>
  <c r="O30" i="2" s="1"/>
  <c r="N30" i="8"/>
  <c r="O30" i="8" s="1"/>
  <c r="X30" i="8" l="1"/>
  <c r="M31" i="8" s="1"/>
  <c r="V30" i="8"/>
  <c r="K31" i="8" s="1"/>
  <c r="U30" i="8"/>
  <c r="J31" i="8" s="1"/>
  <c r="T30" i="8"/>
  <c r="I31" i="8" s="1"/>
  <c r="P30" i="8"/>
  <c r="Y30" i="8" s="1"/>
  <c r="W30" i="8"/>
  <c r="L31" i="8" s="1"/>
  <c r="Q30" i="8"/>
  <c r="R30" i="8" s="1"/>
  <c r="V30" i="2"/>
  <c r="K31" i="2" s="1"/>
  <c r="Q30" i="2"/>
  <c r="R30" i="2" s="1"/>
  <c r="X30" i="2"/>
  <c r="M31" i="2" s="1"/>
  <c r="W30" i="2"/>
  <c r="L31" i="2" s="1"/>
  <c r="T30" i="2"/>
  <c r="I31" i="2" s="1"/>
  <c r="P30" i="2"/>
  <c r="Y30" i="2" s="1"/>
  <c r="U30" i="2"/>
  <c r="J31" i="2" s="1"/>
  <c r="N31" i="2" l="1"/>
  <c r="O31" i="2" s="1"/>
  <c r="N31" i="8"/>
  <c r="O31" i="8" s="1"/>
  <c r="X31" i="8" l="1"/>
  <c r="M32" i="8" s="1"/>
  <c r="V31" i="8"/>
  <c r="K32" i="8" s="1"/>
  <c r="U31" i="8"/>
  <c r="J32" i="8" s="1"/>
  <c r="T31" i="8"/>
  <c r="I32" i="8" s="1"/>
  <c r="P31" i="8"/>
  <c r="Y31" i="8" s="1"/>
  <c r="W31" i="8"/>
  <c r="L32" i="8" s="1"/>
  <c r="Q31" i="8"/>
  <c r="R31" i="8" s="1"/>
  <c r="V31" i="2"/>
  <c r="K32" i="2" s="1"/>
  <c r="Q31" i="2"/>
  <c r="R31" i="2" s="1"/>
  <c r="U31" i="2"/>
  <c r="J32" i="2" s="1"/>
  <c r="T31" i="2"/>
  <c r="I32" i="2" s="1"/>
  <c r="P31" i="2"/>
  <c r="Y31" i="2" s="1"/>
  <c r="W31" i="2"/>
  <c r="L32" i="2" s="1"/>
  <c r="X31" i="2"/>
  <c r="M32" i="2" s="1"/>
  <c r="N32" i="2" l="1"/>
  <c r="O32" i="2" s="1"/>
  <c r="N32" i="8"/>
  <c r="O32" i="8" s="1"/>
  <c r="X32" i="8" l="1"/>
  <c r="M33" i="8" s="1"/>
  <c r="V32" i="8"/>
  <c r="K33" i="8" s="1"/>
  <c r="U32" i="8"/>
  <c r="J33" i="8" s="1"/>
  <c r="T32" i="8"/>
  <c r="I33" i="8" s="1"/>
  <c r="P32" i="8"/>
  <c r="Y32" i="8" s="1"/>
  <c r="W32" i="8"/>
  <c r="L33" i="8" s="1"/>
  <c r="Q32" i="8"/>
  <c r="R32" i="8" s="1"/>
  <c r="V32" i="2"/>
  <c r="K33" i="2" s="1"/>
  <c r="Q32" i="2"/>
  <c r="R32" i="2" s="1"/>
  <c r="X32" i="2"/>
  <c r="M33" i="2" s="1"/>
  <c r="W32" i="2"/>
  <c r="L33" i="2" s="1"/>
  <c r="U32" i="2"/>
  <c r="J33" i="2" s="1"/>
  <c r="T32" i="2"/>
  <c r="I33" i="2" s="1"/>
  <c r="P32" i="2"/>
  <c r="Y32" i="2" s="1"/>
  <c r="N33" i="2" l="1"/>
  <c r="O33" i="2" s="1"/>
  <c r="N33" i="8"/>
  <c r="O33" i="8" s="1"/>
  <c r="X33" i="8" l="1"/>
  <c r="M34" i="8" s="1"/>
  <c r="V33" i="8"/>
  <c r="K34" i="8" s="1"/>
  <c r="U33" i="8"/>
  <c r="J34" i="8" s="1"/>
  <c r="T33" i="8"/>
  <c r="I34" i="8" s="1"/>
  <c r="P33" i="8"/>
  <c r="Y33" i="8" s="1"/>
  <c r="W33" i="8"/>
  <c r="L34" i="8" s="1"/>
  <c r="Q33" i="8"/>
  <c r="R33" i="8" s="1"/>
  <c r="V33" i="2"/>
  <c r="K34" i="2" s="1"/>
  <c r="Q33" i="2"/>
  <c r="R33" i="2" s="1"/>
  <c r="P33" i="2"/>
  <c r="Y33" i="2" s="1"/>
  <c r="U33" i="2"/>
  <c r="J34" i="2" s="1"/>
  <c r="X33" i="2"/>
  <c r="M34" i="2" s="1"/>
  <c r="W33" i="2"/>
  <c r="L34" i="2" s="1"/>
  <c r="T33" i="2"/>
  <c r="I34" i="2" s="1"/>
  <c r="N34" i="2" l="1"/>
  <c r="O34" i="2" s="1"/>
  <c r="N34" i="8"/>
  <c r="O34" i="8" s="1"/>
  <c r="X34" i="8" l="1"/>
  <c r="M35" i="8" s="1"/>
  <c r="V34" i="8"/>
  <c r="K35" i="8" s="1"/>
  <c r="U34" i="8"/>
  <c r="J35" i="8" s="1"/>
  <c r="T34" i="8"/>
  <c r="I35" i="8" s="1"/>
  <c r="P34" i="8"/>
  <c r="Y34" i="8" s="1"/>
  <c r="Q34" i="8"/>
  <c r="R34" i="8" s="1"/>
  <c r="W34" i="8"/>
  <c r="L35" i="8" s="1"/>
  <c r="V34" i="2"/>
  <c r="K35" i="2" s="1"/>
  <c r="Q34" i="2"/>
  <c r="R34" i="2" s="1"/>
  <c r="X34" i="2"/>
  <c r="M35" i="2" s="1"/>
  <c r="W34" i="2"/>
  <c r="L35" i="2" s="1"/>
  <c r="U34" i="2"/>
  <c r="J35" i="2" s="1"/>
  <c r="T34" i="2"/>
  <c r="I35" i="2" s="1"/>
  <c r="P34" i="2"/>
  <c r="Y34" i="2" s="1"/>
  <c r="N35" i="2" l="1"/>
  <c r="O35" i="2" s="1"/>
  <c r="N35" i="8"/>
  <c r="O35" i="8" s="1"/>
  <c r="X35" i="8" l="1"/>
  <c r="M36" i="8" s="1"/>
  <c r="V35" i="8"/>
  <c r="K36" i="8" s="1"/>
  <c r="U35" i="8"/>
  <c r="J36" i="8" s="1"/>
  <c r="T35" i="8"/>
  <c r="I36" i="8" s="1"/>
  <c r="P35" i="8"/>
  <c r="Y35" i="8" s="1"/>
  <c r="W35" i="8"/>
  <c r="L36" i="8" s="1"/>
  <c r="Q35" i="8"/>
  <c r="R35" i="8" s="1"/>
  <c r="V35" i="2"/>
  <c r="K36" i="2" s="1"/>
  <c r="Q35" i="2"/>
  <c r="R35" i="2" s="1"/>
  <c r="X35" i="2"/>
  <c r="M36" i="2" s="1"/>
  <c r="W35" i="2"/>
  <c r="L36" i="2" s="1"/>
  <c r="U35" i="2"/>
  <c r="J36" i="2" s="1"/>
  <c r="T35" i="2"/>
  <c r="I36" i="2" s="1"/>
  <c r="P35" i="2"/>
  <c r="Y35" i="2" s="1"/>
  <c r="N36" i="2" l="1"/>
  <c r="O36" i="2" s="1"/>
  <c r="N36" i="8"/>
  <c r="O36" i="8" s="1"/>
  <c r="X36" i="8" l="1"/>
  <c r="M37" i="8" s="1"/>
  <c r="V36" i="8"/>
  <c r="K37" i="8" s="1"/>
  <c r="U36" i="8"/>
  <c r="J37" i="8" s="1"/>
  <c r="T36" i="8"/>
  <c r="I37" i="8" s="1"/>
  <c r="P36" i="8"/>
  <c r="Y36" i="8" s="1"/>
  <c r="W36" i="8"/>
  <c r="L37" i="8" s="1"/>
  <c r="Q36" i="8"/>
  <c r="R36" i="8" s="1"/>
  <c r="V36" i="2"/>
  <c r="K37" i="2" s="1"/>
  <c r="Q36" i="2"/>
  <c r="R36" i="2" s="1"/>
  <c r="P36" i="2"/>
  <c r="Y36" i="2" s="1"/>
  <c r="X36" i="2"/>
  <c r="M37" i="2" s="1"/>
  <c r="T36" i="2"/>
  <c r="I37" i="2" s="1"/>
  <c r="U36" i="2"/>
  <c r="J37" i="2" s="1"/>
  <c r="W36" i="2"/>
  <c r="L37" i="2" s="1"/>
  <c r="N37" i="2" l="1"/>
  <c r="O37" i="2" s="1"/>
  <c r="N37" i="8"/>
  <c r="O37" i="8" s="1"/>
  <c r="X37" i="8" l="1"/>
  <c r="M38" i="8" s="1"/>
  <c r="V37" i="8"/>
  <c r="K38" i="8" s="1"/>
  <c r="U37" i="8"/>
  <c r="J38" i="8" s="1"/>
  <c r="T37" i="8"/>
  <c r="I38" i="8" s="1"/>
  <c r="P37" i="8"/>
  <c r="Y37" i="8" s="1"/>
  <c r="W37" i="8"/>
  <c r="L38" i="8" s="1"/>
  <c r="Q37" i="8"/>
  <c r="R37" i="8" s="1"/>
  <c r="V37" i="2"/>
  <c r="K38" i="2" s="1"/>
  <c r="Q37" i="2"/>
  <c r="R37" i="2" s="1"/>
  <c r="X37" i="2"/>
  <c r="M38" i="2" s="1"/>
  <c r="W37" i="2"/>
  <c r="L38" i="2" s="1"/>
  <c r="U37" i="2"/>
  <c r="J38" i="2" s="1"/>
  <c r="T37" i="2"/>
  <c r="I38" i="2" s="1"/>
  <c r="P37" i="2"/>
  <c r="Y37" i="2" s="1"/>
  <c r="N38" i="2" l="1"/>
  <c r="O38" i="2" s="1"/>
  <c r="N38" i="8"/>
  <c r="O38" i="8" s="1"/>
  <c r="X38" i="8" l="1"/>
  <c r="M39" i="8" s="1"/>
  <c r="V38" i="8"/>
  <c r="K39" i="8" s="1"/>
  <c r="U38" i="8"/>
  <c r="J39" i="8" s="1"/>
  <c r="T38" i="8"/>
  <c r="I39" i="8" s="1"/>
  <c r="P38" i="8"/>
  <c r="Y38" i="8" s="1"/>
  <c r="W38" i="8"/>
  <c r="L39" i="8" s="1"/>
  <c r="Q38" i="8"/>
  <c r="R38" i="8" s="1"/>
  <c r="V38" i="2"/>
  <c r="K39" i="2" s="1"/>
  <c r="Q38" i="2"/>
  <c r="R38" i="2" s="1"/>
  <c r="T38" i="2"/>
  <c r="I39" i="2" s="1"/>
  <c r="X38" i="2"/>
  <c r="M39" i="2" s="1"/>
  <c r="P38" i="2"/>
  <c r="Y38" i="2" s="1"/>
  <c r="W38" i="2"/>
  <c r="L39" i="2" s="1"/>
  <c r="U38" i="2"/>
  <c r="J39" i="2" s="1"/>
  <c r="N39" i="2" l="1"/>
  <c r="O39" i="2" s="1"/>
  <c r="N39" i="8"/>
  <c r="O39" i="8" s="1"/>
  <c r="X39" i="8" l="1"/>
  <c r="M40" i="8" s="1"/>
  <c r="V39" i="8"/>
  <c r="K40" i="8" s="1"/>
  <c r="U39" i="8"/>
  <c r="J40" i="8" s="1"/>
  <c r="T39" i="8"/>
  <c r="I40" i="8" s="1"/>
  <c r="P39" i="8"/>
  <c r="Y39" i="8" s="1"/>
  <c r="W39" i="8"/>
  <c r="L40" i="8" s="1"/>
  <c r="Q39" i="8"/>
  <c r="R39" i="8" s="1"/>
  <c r="V39" i="2"/>
  <c r="K40" i="2" s="1"/>
  <c r="Q39" i="2"/>
  <c r="R39" i="2" s="1"/>
  <c r="U39" i="2"/>
  <c r="J40" i="2" s="1"/>
  <c r="T39" i="2"/>
  <c r="I40" i="2" s="1"/>
  <c r="P39" i="2"/>
  <c r="Y39" i="2" s="1"/>
  <c r="X39" i="2"/>
  <c r="M40" i="2" s="1"/>
  <c r="W39" i="2"/>
  <c r="L40" i="2" s="1"/>
  <c r="N40" i="2" l="1"/>
  <c r="O40" i="2" s="1"/>
  <c r="N40" i="8"/>
  <c r="O40" i="8" s="1"/>
  <c r="X40" i="8" l="1"/>
  <c r="M41" i="8" s="1"/>
  <c r="V40" i="8"/>
  <c r="K41" i="8" s="1"/>
  <c r="U40" i="8"/>
  <c r="J41" i="8" s="1"/>
  <c r="T40" i="8"/>
  <c r="I41" i="8" s="1"/>
  <c r="P40" i="8"/>
  <c r="Y40" i="8" s="1"/>
  <c r="W40" i="8"/>
  <c r="L41" i="8" s="1"/>
  <c r="Q40" i="8"/>
  <c r="R40" i="8" s="1"/>
  <c r="V40" i="2"/>
  <c r="K41" i="2" s="1"/>
  <c r="Q40" i="2"/>
  <c r="R40" i="2" s="1"/>
  <c r="X40" i="2"/>
  <c r="M41" i="2" s="1"/>
  <c r="W40" i="2"/>
  <c r="L41" i="2" s="1"/>
  <c r="U40" i="2"/>
  <c r="J41" i="2" s="1"/>
  <c r="T40" i="2"/>
  <c r="I41" i="2" s="1"/>
  <c r="P40" i="2"/>
  <c r="Y40" i="2" s="1"/>
  <c r="N41" i="8" l="1"/>
  <c r="O41" i="8" s="1"/>
  <c r="N41" i="2"/>
  <c r="O41" i="2" s="1"/>
  <c r="V41" i="2" l="1"/>
  <c r="K42" i="2" s="1"/>
  <c r="Q41" i="2"/>
  <c r="R41" i="2" s="1"/>
  <c r="U41" i="2"/>
  <c r="J42" i="2" s="1"/>
  <c r="X41" i="2"/>
  <c r="M42" i="2" s="1"/>
  <c r="W41" i="2"/>
  <c r="L42" i="2" s="1"/>
  <c r="T41" i="2"/>
  <c r="I42" i="2" s="1"/>
  <c r="P41" i="2"/>
  <c r="Y41" i="2" s="1"/>
  <c r="X41" i="8"/>
  <c r="M42" i="8" s="1"/>
  <c r="V41" i="8"/>
  <c r="K42" i="8" s="1"/>
  <c r="U41" i="8"/>
  <c r="J42" i="8" s="1"/>
  <c r="T41" i="8"/>
  <c r="I42" i="8" s="1"/>
  <c r="P41" i="8"/>
  <c r="Y41" i="8" s="1"/>
  <c r="W41" i="8"/>
  <c r="L42" i="8" s="1"/>
  <c r="Q41" i="8"/>
  <c r="R41" i="8" s="1"/>
  <c r="N42" i="8" l="1"/>
  <c r="O42" i="8" s="1"/>
  <c r="N42" i="2"/>
  <c r="O42" i="2" s="1"/>
  <c r="V42" i="2" l="1"/>
  <c r="K43" i="2" s="1"/>
  <c r="Q42" i="2"/>
  <c r="R42" i="2" s="1"/>
  <c r="X42" i="2"/>
  <c r="M43" i="2" s="1"/>
  <c r="W42" i="2"/>
  <c r="L43" i="2" s="1"/>
  <c r="U42" i="2"/>
  <c r="J43" i="2" s="1"/>
  <c r="T42" i="2"/>
  <c r="I43" i="2" s="1"/>
  <c r="P42" i="2"/>
  <c r="Y42" i="2" s="1"/>
  <c r="X42" i="8"/>
  <c r="M43" i="8" s="1"/>
  <c r="V42" i="8"/>
  <c r="K43" i="8" s="1"/>
  <c r="U42" i="8"/>
  <c r="J43" i="8" s="1"/>
  <c r="T42" i="8"/>
  <c r="I43" i="8" s="1"/>
  <c r="P42" i="8"/>
  <c r="Y42" i="8" s="1"/>
  <c r="Q42" i="8"/>
  <c r="R42" i="8" s="1"/>
  <c r="W42" i="8"/>
  <c r="L43" i="8" s="1"/>
  <c r="N43" i="8" l="1"/>
  <c r="O43" i="8" s="1"/>
  <c r="N43" i="2"/>
  <c r="O43" i="2" s="1"/>
  <c r="V43" i="2" l="1"/>
  <c r="K44" i="2" s="1"/>
  <c r="Q43" i="2"/>
  <c r="R43" i="2" s="1"/>
  <c r="X43" i="2"/>
  <c r="M44" i="2" s="1"/>
  <c r="W43" i="2"/>
  <c r="L44" i="2" s="1"/>
  <c r="U43" i="2"/>
  <c r="J44" i="2" s="1"/>
  <c r="T43" i="2"/>
  <c r="I44" i="2" s="1"/>
  <c r="P43" i="2"/>
  <c r="Y43" i="2" s="1"/>
  <c r="X43" i="8"/>
  <c r="M44" i="8" s="1"/>
  <c r="V43" i="8"/>
  <c r="K44" i="8" s="1"/>
  <c r="U43" i="8"/>
  <c r="J44" i="8" s="1"/>
  <c r="T43" i="8"/>
  <c r="I44" i="8" s="1"/>
  <c r="P43" i="8"/>
  <c r="Y43" i="8" s="1"/>
  <c r="W43" i="8"/>
  <c r="L44" i="8" s="1"/>
  <c r="Q43" i="8"/>
  <c r="R43" i="8" s="1"/>
  <c r="N44" i="8" l="1"/>
  <c r="O44" i="8" s="1"/>
  <c r="N44" i="2"/>
  <c r="O44" i="2" s="1"/>
  <c r="V44" i="2" l="1"/>
  <c r="K45" i="2" s="1"/>
  <c r="Q44" i="2"/>
  <c r="R44" i="2" s="1"/>
  <c r="P44" i="2"/>
  <c r="Y44" i="2" s="1"/>
  <c r="U44" i="2"/>
  <c r="J45" i="2" s="1"/>
  <c r="X44" i="2"/>
  <c r="M45" i="2" s="1"/>
  <c r="T44" i="2"/>
  <c r="I45" i="2" s="1"/>
  <c r="W44" i="2"/>
  <c r="L45" i="2" s="1"/>
  <c r="X44" i="8"/>
  <c r="M45" i="8" s="1"/>
  <c r="V44" i="8"/>
  <c r="K45" i="8" s="1"/>
  <c r="U44" i="8"/>
  <c r="J45" i="8" s="1"/>
  <c r="T44" i="8"/>
  <c r="I45" i="8" s="1"/>
  <c r="P44" i="8"/>
  <c r="Y44" i="8" s="1"/>
  <c r="W44" i="8"/>
  <c r="L45" i="8" s="1"/>
  <c r="Q44" i="8"/>
  <c r="R44" i="8" s="1"/>
  <c r="N45" i="2" l="1"/>
  <c r="O45" i="2" s="1"/>
  <c r="N45" i="8"/>
  <c r="O45" i="8" s="1"/>
  <c r="X45" i="8" l="1"/>
  <c r="M46" i="8" s="1"/>
  <c r="V45" i="8"/>
  <c r="K46" i="8" s="1"/>
  <c r="U45" i="8"/>
  <c r="J46" i="8" s="1"/>
  <c r="T45" i="8"/>
  <c r="I46" i="8" s="1"/>
  <c r="P45" i="8"/>
  <c r="Y45" i="8" s="1"/>
  <c r="W45" i="8"/>
  <c r="L46" i="8" s="1"/>
  <c r="Q45" i="8"/>
  <c r="R45" i="8" s="1"/>
  <c r="V45" i="2"/>
  <c r="K46" i="2" s="1"/>
  <c r="Q45" i="2"/>
  <c r="R45" i="2" s="1"/>
  <c r="X45" i="2"/>
  <c r="M46" i="2" s="1"/>
  <c r="W45" i="2"/>
  <c r="L46" i="2" s="1"/>
  <c r="U45" i="2"/>
  <c r="J46" i="2" s="1"/>
  <c r="T45" i="2"/>
  <c r="I46" i="2" s="1"/>
  <c r="P45" i="2"/>
  <c r="Y45" i="2" s="1"/>
  <c r="N46" i="2" l="1"/>
  <c r="O46" i="2" s="1"/>
  <c r="N46" i="8"/>
  <c r="O46" i="8" s="1"/>
  <c r="X46" i="8" l="1"/>
  <c r="M47" i="8" s="1"/>
  <c r="V46" i="8"/>
  <c r="K47" i="8" s="1"/>
  <c r="U46" i="8"/>
  <c r="J47" i="8" s="1"/>
  <c r="T46" i="8"/>
  <c r="I47" i="8" s="1"/>
  <c r="P46" i="8"/>
  <c r="Y46" i="8" s="1"/>
  <c r="W46" i="8"/>
  <c r="L47" i="8" s="1"/>
  <c r="Q46" i="8"/>
  <c r="R46" i="8" s="1"/>
  <c r="V46" i="2"/>
  <c r="K47" i="2" s="1"/>
  <c r="Q46" i="2"/>
  <c r="R46" i="2" s="1"/>
  <c r="P46" i="2"/>
  <c r="Y46" i="2" s="1"/>
  <c r="X46" i="2"/>
  <c r="M47" i="2" s="1"/>
  <c r="W46" i="2"/>
  <c r="L47" i="2" s="1"/>
  <c r="U46" i="2"/>
  <c r="J47" i="2" s="1"/>
  <c r="T46" i="2"/>
  <c r="I47" i="2" s="1"/>
  <c r="N47" i="2" l="1"/>
  <c r="O47" i="2" s="1"/>
  <c r="N47" i="8"/>
  <c r="O47" i="8" s="1"/>
  <c r="W47" i="8" l="1"/>
  <c r="L48" i="8" s="1"/>
  <c r="V47" i="8"/>
  <c r="K48" i="8" s="1"/>
  <c r="U47" i="8"/>
  <c r="J48" i="8" s="1"/>
  <c r="Q47" i="8"/>
  <c r="R47" i="8" s="1"/>
  <c r="X47" i="8"/>
  <c r="M48" i="8" s="1"/>
  <c r="T47" i="8"/>
  <c r="I48" i="8" s="1"/>
  <c r="P47" i="8"/>
  <c r="Y47" i="8" s="1"/>
  <c r="V47" i="2"/>
  <c r="K48" i="2" s="1"/>
  <c r="Q47" i="2"/>
  <c r="R47" i="2" s="1"/>
  <c r="U47" i="2"/>
  <c r="J48" i="2" s="1"/>
  <c r="T47" i="2"/>
  <c r="I48" i="2" s="1"/>
  <c r="P47" i="2"/>
  <c r="Y47" i="2" s="1"/>
  <c r="W47" i="2"/>
  <c r="L48" i="2" s="1"/>
  <c r="X47" i="2"/>
  <c r="M48" i="2" s="1"/>
  <c r="N48" i="2" l="1"/>
  <c r="O48" i="2" s="1"/>
  <c r="N48" i="8"/>
  <c r="O48" i="8" s="1"/>
  <c r="X48" i="8" l="1"/>
  <c r="M49" i="8" s="1"/>
  <c r="W48" i="8"/>
  <c r="L49" i="8" s="1"/>
  <c r="T48" i="8"/>
  <c r="I49" i="8" s="1"/>
  <c r="P48" i="8"/>
  <c r="Y48" i="8" s="1"/>
  <c r="V48" i="8"/>
  <c r="K49" i="8" s="1"/>
  <c r="U48" i="8"/>
  <c r="J49" i="8" s="1"/>
  <c r="Q48" i="8"/>
  <c r="R48" i="8" s="1"/>
  <c r="V48" i="2"/>
  <c r="K49" i="2" s="1"/>
  <c r="U48" i="2"/>
  <c r="J49" i="2" s="1"/>
  <c r="Q48" i="2"/>
  <c r="R48" i="2" s="1"/>
  <c r="X48" i="2"/>
  <c r="M49" i="2" s="1"/>
  <c r="W48" i="2"/>
  <c r="L49" i="2" s="1"/>
  <c r="T48" i="2"/>
  <c r="I49" i="2" s="1"/>
  <c r="P48" i="2"/>
  <c r="Y48" i="2" s="1"/>
  <c r="N49" i="2" l="1"/>
  <c r="O49" i="2" s="1"/>
  <c r="N49" i="8"/>
  <c r="O49" i="8" s="1"/>
  <c r="W49" i="8" l="1"/>
  <c r="L50" i="8" s="1"/>
  <c r="Q49" i="8"/>
  <c r="R49" i="8" s="1"/>
  <c r="P49" i="8"/>
  <c r="Y49" i="8" s="1"/>
  <c r="V49" i="8"/>
  <c r="K50" i="8" s="1"/>
  <c r="T49" i="8"/>
  <c r="I50" i="8" s="1"/>
  <c r="X49" i="8"/>
  <c r="M50" i="8" s="1"/>
  <c r="U49" i="8"/>
  <c r="J50" i="8" s="1"/>
  <c r="V49" i="2"/>
  <c r="K50" i="2" s="1"/>
  <c r="U49" i="2"/>
  <c r="J50" i="2" s="1"/>
  <c r="Q49" i="2"/>
  <c r="R49" i="2" s="1"/>
  <c r="X49" i="2"/>
  <c r="M50" i="2" s="1"/>
  <c r="P49" i="2"/>
  <c r="Y49" i="2" s="1"/>
  <c r="W49" i="2"/>
  <c r="L50" i="2" s="1"/>
  <c r="T49" i="2"/>
  <c r="I50" i="2" s="1"/>
  <c r="N50" i="2" l="1"/>
  <c r="O50" i="2" s="1"/>
  <c r="N50" i="8"/>
  <c r="O50" i="8" s="1"/>
  <c r="W50" i="8" l="1"/>
  <c r="L51" i="8" s="1"/>
  <c r="U50" i="8"/>
  <c r="J51" i="8" s="1"/>
  <c r="T50" i="8"/>
  <c r="I51" i="8" s="1"/>
  <c r="Q50" i="8"/>
  <c r="R50" i="8" s="1"/>
  <c r="P50" i="8"/>
  <c r="Y50" i="8" s="1"/>
  <c r="V50" i="8"/>
  <c r="K51" i="8" s="1"/>
  <c r="X50" i="8"/>
  <c r="M51" i="8" s="1"/>
  <c r="V50" i="2"/>
  <c r="K51" i="2" s="1"/>
  <c r="Q50" i="2"/>
  <c r="R50" i="2" s="1"/>
  <c r="X50" i="2"/>
  <c r="M51" i="2" s="1"/>
  <c r="W50" i="2"/>
  <c r="L51" i="2" s="1"/>
  <c r="U50" i="2"/>
  <c r="J51" i="2" s="1"/>
  <c r="T50" i="2"/>
  <c r="I51" i="2" s="1"/>
  <c r="P50" i="2"/>
  <c r="Y50" i="2" s="1"/>
  <c r="N51" i="2" l="1"/>
  <c r="O51" i="2" s="1"/>
  <c r="N51" i="8"/>
  <c r="O51" i="8" s="1"/>
  <c r="W51" i="8" l="1"/>
  <c r="L52" i="8" s="1"/>
  <c r="X51" i="8"/>
  <c r="M52" i="8" s="1"/>
  <c r="V51" i="8"/>
  <c r="K52" i="8" s="1"/>
  <c r="U51" i="8"/>
  <c r="J52" i="8" s="1"/>
  <c r="T51" i="8"/>
  <c r="I52" i="8" s="1"/>
  <c r="P51" i="8"/>
  <c r="Y51" i="8" s="1"/>
  <c r="Q51" i="8"/>
  <c r="R51" i="8" s="1"/>
  <c r="V51" i="2"/>
  <c r="K52" i="2" s="1"/>
  <c r="U51" i="2"/>
  <c r="J52" i="2" s="1"/>
  <c r="Q51" i="2"/>
  <c r="R51" i="2" s="1"/>
  <c r="P51" i="2"/>
  <c r="Y51" i="2" s="1"/>
  <c r="T51" i="2"/>
  <c r="I52" i="2" s="1"/>
  <c r="X51" i="2"/>
  <c r="M52" i="2" s="1"/>
  <c r="W51" i="2"/>
  <c r="L52" i="2" s="1"/>
  <c r="N52" i="2" l="1"/>
  <c r="O52" i="2" s="1"/>
  <c r="N52" i="8"/>
  <c r="O52" i="8" s="1"/>
  <c r="W52" i="8" l="1"/>
  <c r="L53" i="8" s="1"/>
  <c r="X52" i="8"/>
  <c r="M53" i="8" s="1"/>
  <c r="V52" i="8"/>
  <c r="K53" i="8" s="1"/>
  <c r="T52" i="8"/>
  <c r="I53" i="8" s="1"/>
  <c r="Q52" i="8"/>
  <c r="R52" i="8" s="1"/>
  <c r="U52" i="8"/>
  <c r="J53" i="8" s="1"/>
  <c r="P52" i="8"/>
  <c r="Y52" i="8" s="1"/>
  <c r="V52" i="2"/>
  <c r="K53" i="2" s="1"/>
  <c r="U52" i="2"/>
  <c r="J53" i="2" s="1"/>
  <c r="Q52" i="2"/>
  <c r="R52" i="2" s="1"/>
  <c r="X52" i="2"/>
  <c r="M53" i="2" s="1"/>
  <c r="W52" i="2"/>
  <c r="L53" i="2" s="1"/>
  <c r="T52" i="2"/>
  <c r="I53" i="2" s="1"/>
  <c r="P52" i="2"/>
  <c r="Y52" i="2" s="1"/>
  <c r="N53" i="2" l="1"/>
  <c r="O53" i="2" s="1"/>
  <c r="N53" i="8"/>
  <c r="O53" i="8" s="1"/>
  <c r="W53" i="8" l="1"/>
  <c r="L54" i="8" s="1"/>
  <c r="X53" i="8"/>
  <c r="M54" i="8" s="1"/>
  <c r="V53" i="8"/>
  <c r="K54" i="8" s="1"/>
  <c r="U53" i="8"/>
  <c r="J54" i="8" s="1"/>
  <c r="Q53" i="8"/>
  <c r="R53" i="8" s="1"/>
  <c r="P53" i="8"/>
  <c r="Y53" i="8" s="1"/>
  <c r="T53" i="8"/>
  <c r="I54" i="8" s="1"/>
  <c r="V53" i="2"/>
  <c r="K54" i="2" s="1"/>
  <c r="U53" i="2"/>
  <c r="J54" i="2" s="1"/>
  <c r="Q53" i="2"/>
  <c r="R53" i="2" s="1"/>
  <c r="X53" i="2"/>
  <c r="M54" i="2" s="1"/>
  <c r="W53" i="2"/>
  <c r="L54" i="2" s="1"/>
  <c r="T53" i="2"/>
  <c r="I54" i="2" s="1"/>
  <c r="P53" i="2"/>
  <c r="Y53" i="2" s="1"/>
  <c r="N54" i="2" l="1"/>
  <c r="O54" i="2" s="1"/>
  <c r="N54" i="8"/>
  <c r="O54" i="8" s="1"/>
  <c r="W54" i="8" l="1"/>
  <c r="L55" i="8" s="1"/>
  <c r="P54" i="8"/>
  <c r="Y54" i="8" s="1"/>
  <c r="U54" i="8"/>
  <c r="J55" i="8" s="1"/>
  <c r="Q54" i="8"/>
  <c r="R54" i="8" s="1"/>
  <c r="X54" i="8"/>
  <c r="M55" i="8" s="1"/>
  <c r="V54" i="8"/>
  <c r="K55" i="8" s="1"/>
  <c r="T54" i="8"/>
  <c r="I55" i="8" s="1"/>
  <c r="V54" i="2"/>
  <c r="K55" i="2" s="1"/>
  <c r="U54" i="2"/>
  <c r="J55" i="2" s="1"/>
  <c r="Q54" i="2"/>
  <c r="R54" i="2" s="1"/>
  <c r="T54" i="2"/>
  <c r="I55" i="2" s="1"/>
  <c r="P54" i="2"/>
  <c r="Y54" i="2" s="1"/>
  <c r="W54" i="2"/>
  <c r="L55" i="2" s="1"/>
  <c r="X54" i="2"/>
  <c r="M55" i="2" s="1"/>
  <c r="N55" i="2" l="1"/>
  <c r="O55" i="2" s="1"/>
  <c r="N55" i="8"/>
  <c r="O55" i="8" s="1"/>
  <c r="W55" i="8" l="1"/>
  <c r="L56" i="8" s="1"/>
  <c r="T55" i="8"/>
  <c r="I56" i="8" s="1"/>
  <c r="Q55" i="8"/>
  <c r="R55" i="8" s="1"/>
  <c r="P55" i="8"/>
  <c r="Y55" i="8" s="1"/>
  <c r="U55" i="8"/>
  <c r="J56" i="8" s="1"/>
  <c r="X55" i="8"/>
  <c r="M56" i="8" s="1"/>
  <c r="V55" i="8"/>
  <c r="K56" i="8" s="1"/>
  <c r="V55" i="2"/>
  <c r="K56" i="2" s="1"/>
  <c r="U55" i="2"/>
  <c r="J56" i="2" s="1"/>
  <c r="Q55" i="2"/>
  <c r="R55" i="2" s="1"/>
  <c r="X55" i="2"/>
  <c r="M56" i="2" s="1"/>
  <c r="W55" i="2"/>
  <c r="L56" i="2" s="1"/>
  <c r="T55" i="2"/>
  <c r="I56" i="2" s="1"/>
  <c r="P55" i="2"/>
  <c r="Y55" i="2" s="1"/>
  <c r="N56" i="2" l="1"/>
  <c r="O56" i="2" s="1"/>
  <c r="N56" i="8"/>
  <c r="O56" i="8" s="1"/>
  <c r="W56" i="8" l="1"/>
  <c r="L57" i="8" s="1"/>
  <c r="X56" i="8"/>
  <c r="M57" i="8" s="1"/>
  <c r="V56" i="8"/>
  <c r="K57" i="8" s="1"/>
  <c r="U56" i="8"/>
  <c r="J57" i="8" s="1"/>
  <c r="T56" i="8"/>
  <c r="I57" i="8" s="1"/>
  <c r="Q56" i="8"/>
  <c r="R56" i="8" s="1"/>
  <c r="P56" i="8"/>
  <c r="Y56" i="8" s="1"/>
  <c r="V56" i="2"/>
  <c r="K57" i="2" s="1"/>
  <c r="U56" i="2"/>
  <c r="J57" i="2" s="1"/>
  <c r="T56" i="2"/>
  <c r="I57" i="2" s="1"/>
  <c r="Q56" i="2"/>
  <c r="R56" i="2" s="1"/>
  <c r="P56" i="2"/>
  <c r="Y56" i="2" s="1"/>
  <c r="W56" i="2"/>
  <c r="L57" i="2" s="1"/>
  <c r="X56" i="2"/>
  <c r="M57" i="2" s="1"/>
  <c r="N57" i="8" l="1"/>
  <c r="O57" i="8" s="1"/>
  <c r="N57" i="2"/>
  <c r="O57" i="2" s="1"/>
  <c r="V57" i="2" l="1"/>
  <c r="K58" i="2" s="1"/>
  <c r="U57" i="2"/>
  <c r="J58" i="2" s="1"/>
  <c r="T57" i="2"/>
  <c r="I58" i="2" s="1"/>
  <c r="Q57" i="2"/>
  <c r="R57" i="2" s="1"/>
  <c r="X57" i="2"/>
  <c r="M58" i="2" s="1"/>
  <c r="W57" i="2"/>
  <c r="L58" i="2" s="1"/>
  <c r="P57" i="2"/>
  <c r="Y57" i="2" s="1"/>
  <c r="W57" i="8"/>
  <c r="L58" i="8" s="1"/>
  <c r="X57" i="8"/>
  <c r="M58" i="8" s="1"/>
  <c r="V57" i="8"/>
  <c r="K58" i="8" s="1"/>
  <c r="U57" i="8"/>
  <c r="J58" i="8" s="1"/>
  <c r="Q57" i="8"/>
  <c r="R57" i="8" s="1"/>
  <c r="P57" i="8"/>
  <c r="Y57" i="8" s="1"/>
  <c r="T57" i="8"/>
  <c r="I58" i="8" s="1"/>
  <c r="N58" i="8" l="1"/>
  <c r="O58" i="8" s="1"/>
  <c r="N58" i="2"/>
  <c r="O58" i="2" s="1"/>
  <c r="V58" i="2" l="1"/>
  <c r="K59" i="2" s="1"/>
  <c r="U58" i="2"/>
  <c r="J59" i="2" s="1"/>
  <c r="T58" i="2"/>
  <c r="I59" i="2" s="1"/>
  <c r="Q58" i="2"/>
  <c r="R58" i="2" s="1"/>
  <c r="X58" i="2"/>
  <c r="M59" i="2" s="1"/>
  <c r="W58" i="2"/>
  <c r="L59" i="2" s="1"/>
  <c r="P58" i="2"/>
  <c r="Y58" i="2" s="1"/>
  <c r="W58" i="8"/>
  <c r="L59" i="8" s="1"/>
  <c r="V58" i="8"/>
  <c r="K59" i="8" s="1"/>
  <c r="U58" i="8"/>
  <c r="J59" i="8" s="1"/>
  <c r="T58" i="8"/>
  <c r="I59" i="8" s="1"/>
  <c r="P58" i="8"/>
  <c r="Y58" i="8" s="1"/>
  <c r="X58" i="8"/>
  <c r="M59" i="8" s="1"/>
  <c r="Q58" i="8"/>
  <c r="R58" i="8" s="1"/>
  <c r="N59" i="8" l="1"/>
  <c r="O59" i="8" s="1"/>
  <c r="N59" i="2"/>
  <c r="O59" i="2" s="1"/>
  <c r="V59" i="2" l="1"/>
  <c r="K60" i="2" s="1"/>
  <c r="U59" i="2"/>
  <c r="J60" i="2" s="1"/>
  <c r="T59" i="2"/>
  <c r="I60" i="2" s="1"/>
  <c r="Q59" i="2"/>
  <c r="R59" i="2" s="1"/>
  <c r="P59" i="2"/>
  <c r="Y59" i="2" s="1"/>
  <c r="W59" i="2"/>
  <c r="L60" i="2" s="1"/>
  <c r="X59" i="2"/>
  <c r="M60" i="2" s="1"/>
  <c r="W59" i="8"/>
  <c r="L60" i="8" s="1"/>
  <c r="X59" i="8"/>
  <c r="M60" i="8" s="1"/>
  <c r="T59" i="8"/>
  <c r="I60" i="8" s="1"/>
  <c r="P59" i="8"/>
  <c r="Y59" i="8" s="1"/>
  <c r="V59" i="8"/>
  <c r="K60" i="8" s="1"/>
  <c r="U59" i="8"/>
  <c r="J60" i="8" s="1"/>
  <c r="Q59" i="8"/>
  <c r="R59" i="8" s="1"/>
  <c r="N60" i="8" l="1"/>
  <c r="O60" i="8" s="1"/>
  <c r="N60" i="2"/>
  <c r="O60" i="2" s="1"/>
  <c r="V60" i="2" l="1"/>
  <c r="K61" i="2" s="1"/>
  <c r="U60" i="2"/>
  <c r="J61" i="2" s="1"/>
  <c r="T60" i="2"/>
  <c r="I61" i="2" s="1"/>
  <c r="Q60" i="2"/>
  <c r="R60" i="2" s="1"/>
  <c r="X60" i="2"/>
  <c r="M61" i="2" s="1"/>
  <c r="W60" i="2"/>
  <c r="L61" i="2" s="1"/>
  <c r="P60" i="2"/>
  <c r="Y60" i="2" s="1"/>
  <c r="W60" i="8"/>
  <c r="L61" i="8" s="1"/>
  <c r="Q60" i="8"/>
  <c r="R60" i="8" s="1"/>
  <c r="P60" i="8"/>
  <c r="Y60" i="8" s="1"/>
  <c r="X60" i="8"/>
  <c r="M61" i="8" s="1"/>
  <c r="T60" i="8"/>
  <c r="I61" i="8" s="1"/>
  <c r="V60" i="8"/>
  <c r="K61" i="8" s="1"/>
  <c r="U60" i="8"/>
  <c r="J61" i="8" s="1"/>
  <c r="N61" i="8" l="1"/>
  <c r="O61" i="8" s="1"/>
  <c r="N61" i="2"/>
  <c r="O61" i="2" s="1"/>
  <c r="V61" i="2" l="1"/>
  <c r="K62" i="2" s="1"/>
  <c r="U61" i="2"/>
  <c r="J62" i="2" s="1"/>
  <c r="T61" i="2"/>
  <c r="I62" i="2" s="1"/>
  <c r="Q61" i="2"/>
  <c r="R61" i="2" s="1"/>
  <c r="X61" i="2"/>
  <c r="M62" i="2" s="1"/>
  <c r="W61" i="2"/>
  <c r="L62" i="2" s="1"/>
  <c r="P61" i="2"/>
  <c r="Y61" i="2" s="1"/>
  <c r="W61" i="8"/>
  <c r="L62" i="8" s="1"/>
  <c r="V61" i="8"/>
  <c r="K62" i="8" s="1"/>
  <c r="U61" i="8"/>
  <c r="J62" i="8" s="1"/>
  <c r="T61" i="8"/>
  <c r="I62" i="8" s="1"/>
  <c r="Q61" i="8"/>
  <c r="R61" i="8" s="1"/>
  <c r="P61" i="8"/>
  <c r="Y61" i="8" s="1"/>
  <c r="X61" i="8"/>
  <c r="M62" i="8" s="1"/>
  <c r="N62" i="8" l="1"/>
  <c r="O62" i="8" s="1"/>
  <c r="N62" i="2"/>
  <c r="O62" i="2" s="1"/>
  <c r="V62" i="2" l="1"/>
  <c r="K63" i="2" s="1"/>
  <c r="U62" i="2"/>
  <c r="J63" i="2" s="1"/>
  <c r="T62" i="2"/>
  <c r="I63" i="2" s="1"/>
  <c r="Q62" i="2"/>
  <c r="R62" i="2" s="1"/>
  <c r="W62" i="2"/>
  <c r="L63" i="2" s="1"/>
  <c r="P62" i="2"/>
  <c r="Y62" i="2" s="1"/>
  <c r="X62" i="2"/>
  <c r="M63" i="2" s="1"/>
  <c r="W62" i="8"/>
  <c r="L63" i="8" s="1"/>
  <c r="X62" i="8"/>
  <c r="M63" i="8" s="1"/>
  <c r="V62" i="8"/>
  <c r="K63" i="8" s="1"/>
  <c r="U62" i="8"/>
  <c r="J63" i="8" s="1"/>
  <c r="T62" i="8"/>
  <c r="I63" i="8" s="1"/>
  <c r="Q62" i="8"/>
  <c r="R62" i="8" s="1"/>
  <c r="P62" i="8"/>
  <c r="Y62" i="8" s="1"/>
  <c r="N63" i="8" l="1"/>
  <c r="O63" i="8" s="1"/>
  <c r="N63" i="2"/>
  <c r="O63" i="2" s="1"/>
  <c r="V63" i="2" l="1"/>
  <c r="K64" i="2" s="1"/>
  <c r="U63" i="2"/>
  <c r="J64" i="2" s="1"/>
  <c r="T63" i="2"/>
  <c r="I64" i="2" s="1"/>
  <c r="Q63" i="2"/>
  <c r="R63" i="2" s="1"/>
  <c r="P63" i="2"/>
  <c r="Y63" i="2" s="1"/>
  <c r="W63" i="2"/>
  <c r="L64" i="2" s="1"/>
  <c r="X63" i="2"/>
  <c r="M64" i="2" s="1"/>
  <c r="W63" i="8"/>
  <c r="L64" i="8" s="1"/>
  <c r="X63" i="8"/>
  <c r="M64" i="8" s="1"/>
  <c r="U63" i="8"/>
  <c r="J64" i="8" s="1"/>
  <c r="T63" i="8"/>
  <c r="I64" i="8" s="1"/>
  <c r="V63" i="8"/>
  <c r="K64" i="8" s="1"/>
  <c r="Q63" i="8"/>
  <c r="R63" i="8" s="1"/>
  <c r="P63" i="8"/>
  <c r="Y63" i="8" s="1"/>
  <c r="N64" i="8" l="1"/>
  <c r="O64" i="8" s="1"/>
  <c r="N64" i="2"/>
  <c r="O64" i="2" s="1"/>
  <c r="V64" i="2" l="1"/>
  <c r="K65" i="2" s="1"/>
  <c r="U64" i="2"/>
  <c r="J65" i="2" s="1"/>
  <c r="T64" i="2"/>
  <c r="I65" i="2" s="1"/>
  <c r="Q64" i="2"/>
  <c r="R64" i="2" s="1"/>
  <c r="X64" i="2"/>
  <c r="M65" i="2" s="1"/>
  <c r="W64" i="2"/>
  <c r="L65" i="2" s="1"/>
  <c r="P64" i="2"/>
  <c r="Y64" i="2" s="1"/>
  <c r="W64" i="8"/>
  <c r="L65" i="8" s="1"/>
  <c r="X64" i="8"/>
  <c r="M65" i="8" s="1"/>
  <c r="V64" i="8"/>
  <c r="K65" i="8" s="1"/>
  <c r="U64" i="8"/>
  <c r="J65" i="8" s="1"/>
  <c r="T64" i="8"/>
  <c r="I65" i="8" s="1"/>
  <c r="Q64" i="8"/>
  <c r="R64" i="8" s="1"/>
  <c r="P64" i="8"/>
  <c r="Y64" i="8" s="1"/>
  <c r="N65" i="8" l="1"/>
  <c r="O65" i="8" s="1"/>
  <c r="N65" i="2"/>
  <c r="O65" i="2" s="1"/>
  <c r="V65" i="2" l="1"/>
  <c r="K66" i="2" s="1"/>
  <c r="U65" i="2"/>
  <c r="J66" i="2" s="1"/>
  <c r="T65" i="2"/>
  <c r="I66" i="2" s="1"/>
  <c r="Q65" i="2"/>
  <c r="R65" i="2" s="1"/>
  <c r="X65" i="2"/>
  <c r="M66" i="2" s="1"/>
  <c r="W65" i="2"/>
  <c r="L66" i="2" s="1"/>
  <c r="P65" i="2"/>
  <c r="Y65" i="2" s="1"/>
  <c r="W65" i="8"/>
  <c r="L66" i="8" s="1"/>
  <c r="Q65" i="8"/>
  <c r="R65" i="8" s="1"/>
  <c r="P65" i="8"/>
  <c r="Y65" i="8" s="1"/>
  <c r="V65" i="8"/>
  <c r="K66" i="8" s="1"/>
  <c r="X65" i="8"/>
  <c r="M66" i="8" s="1"/>
  <c r="U65" i="8"/>
  <c r="J66" i="8" s="1"/>
  <c r="T65" i="8"/>
  <c r="I66" i="8" s="1"/>
  <c r="N66" i="8" l="1"/>
  <c r="O66" i="8" s="1"/>
  <c r="N66" i="2"/>
  <c r="O66" i="2" s="1"/>
  <c r="V66" i="2" l="1"/>
  <c r="K67" i="2" s="1"/>
  <c r="U66" i="2"/>
  <c r="J67" i="2" s="1"/>
  <c r="T66" i="2"/>
  <c r="I67" i="2" s="1"/>
  <c r="Q66" i="2"/>
  <c r="R66" i="2" s="1"/>
  <c r="W66" i="2"/>
  <c r="L67" i="2" s="1"/>
  <c r="X66" i="2"/>
  <c r="M67" i="2" s="1"/>
  <c r="P66" i="2"/>
  <c r="Y66" i="2" s="1"/>
  <c r="W66" i="8"/>
  <c r="L67" i="8" s="1"/>
  <c r="U66" i="8"/>
  <c r="J67" i="8" s="1"/>
  <c r="T66" i="8"/>
  <c r="I67" i="8" s="1"/>
  <c r="Q66" i="8"/>
  <c r="R66" i="8" s="1"/>
  <c r="P66" i="8"/>
  <c r="Y66" i="8" s="1"/>
  <c r="V66" i="8"/>
  <c r="K67" i="8" s="1"/>
  <c r="X66" i="8"/>
  <c r="M67" i="8" s="1"/>
  <c r="N67" i="8" l="1"/>
  <c r="O67" i="8" s="1"/>
  <c r="N67" i="2"/>
  <c r="O67" i="2" s="1"/>
  <c r="V67" i="2" l="1"/>
  <c r="K68" i="2" s="1"/>
  <c r="U67" i="2"/>
  <c r="J68" i="2" s="1"/>
  <c r="T67" i="2"/>
  <c r="I68" i="2" s="1"/>
  <c r="Q67" i="2"/>
  <c r="R67" i="2" s="1"/>
  <c r="X67" i="2"/>
  <c r="M68" i="2" s="1"/>
  <c r="W67" i="2"/>
  <c r="L68" i="2" s="1"/>
  <c r="P67" i="2"/>
  <c r="Y67" i="2" s="1"/>
  <c r="W67" i="8"/>
  <c r="L68" i="8" s="1"/>
  <c r="X67" i="8"/>
  <c r="M68" i="8" s="1"/>
  <c r="V67" i="8"/>
  <c r="K68" i="8" s="1"/>
  <c r="U67" i="8"/>
  <c r="J68" i="8" s="1"/>
  <c r="T67" i="8"/>
  <c r="I68" i="8" s="1"/>
  <c r="P67" i="8"/>
  <c r="Y67" i="8" s="1"/>
  <c r="Q67" i="8"/>
  <c r="R67" i="8" s="1"/>
  <c r="N68" i="8" l="1"/>
  <c r="O68" i="8" s="1"/>
  <c r="N68" i="2"/>
  <c r="O68" i="2" s="1"/>
  <c r="V68" i="2" l="1"/>
  <c r="K69" i="2" s="1"/>
  <c r="U68" i="2"/>
  <c r="J69" i="2" s="1"/>
  <c r="T68" i="2"/>
  <c r="I69" i="2" s="1"/>
  <c r="Q68" i="2"/>
  <c r="R68" i="2" s="1"/>
  <c r="X68" i="2"/>
  <c r="M69" i="2" s="1"/>
  <c r="W68" i="2"/>
  <c r="L69" i="2" s="1"/>
  <c r="P68" i="2"/>
  <c r="Y68" i="2" s="1"/>
  <c r="W68" i="8"/>
  <c r="L69" i="8" s="1"/>
  <c r="X68" i="8"/>
  <c r="M69" i="8" s="1"/>
  <c r="V68" i="8"/>
  <c r="K69" i="8" s="1"/>
  <c r="T68" i="8"/>
  <c r="I69" i="8" s="1"/>
  <c r="Q68" i="8"/>
  <c r="R68" i="8" s="1"/>
  <c r="U68" i="8"/>
  <c r="J69" i="8" s="1"/>
  <c r="P68" i="8"/>
  <c r="Y68" i="8" s="1"/>
  <c r="N69" i="8" l="1"/>
  <c r="O69" i="8" s="1"/>
  <c r="N69" i="2"/>
  <c r="O69" i="2" s="1"/>
  <c r="V69" i="2" l="1"/>
  <c r="K70" i="2" s="1"/>
  <c r="U69" i="2"/>
  <c r="J70" i="2" s="1"/>
  <c r="T69" i="2"/>
  <c r="I70" i="2" s="1"/>
  <c r="Q69" i="2"/>
  <c r="R69" i="2" s="1"/>
  <c r="X69" i="2"/>
  <c r="M70" i="2" s="1"/>
  <c r="W69" i="2"/>
  <c r="L70" i="2" s="1"/>
  <c r="P69" i="2"/>
  <c r="Y69" i="2" s="1"/>
  <c r="X69" i="8"/>
  <c r="M70" i="8" s="1"/>
  <c r="W69" i="8"/>
  <c r="L70" i="8" s="1"/>
  <c r="V69" i="8"/>
  <c r="K70" i="8" s="1"/>
  <c r="U69" i="8"/>
  <c r="J70" i="8" s="1"/>
  <c r="Q69" i="8"/>
  <c r="R69" i="8" s="1"/>
  <c r="T69" i="8"/>
  <c r="I70" i="8" s="1"/>
  <c r="P69" i="8"/>
  <c r="Y69" i="8" s="1"/>
  <c r="N70" i="8" l="1"/>
  <c r="O70" i="8" s="1"/>
  <c r="N70" i="2"/>
  <c r="O70" i="2" s="1"/>
  <c r="V70" i="2" l="1"/>
  <c r="K71" i="2" s="1"/>
  <c r="U70" i="2"/>
  <c r="J71" i="2" s="1"/>
  <c r="T70" i="2"/>
  <c r="I71" i="2" s="1"/>
  <c r="Q70" i="2"/>
  <c r="R70" i="2" s="1"/>
  <c r="X70" i="2"/>
  <c r="M71" i="2" s="1"/>
  <c r="W70" i="2"/>
  <c r="L71" i="2" s="1"/>
  <c r="P70" i="2"/>
  <c r="Y70" i="2" s="1"/>
  <c r="X70" i="8"/>
  <c r="M71" i="8" s="1"/>
  <c r="W70" i="8"/>
  <c r="L71" i="8" s="1"/>
  <c r="Q70" i="8"/>
  <c r="R70" i="8" s="1"/>
  <c r="P70" i="8"/>
  <c r="Y70" i="8" s="1"/>
  <c r="V70" i="8"/>
  <c r="K71" i="8" s="1"/>
  <c r="U70" i="8"/>
  <c r="J71" i="8" s="1"/>
  <c r="T70" i="8"/>
  <c r="I71" i="8" s="1"/>
  <c r="N71" i="8" l="1"/>
  <c r="O71" i="8" s="1"/>
  <c r="N71" i="2"/>
  <c r="O71" i="2" s="1"/>
  <c r="V71" i="2" l="1"/>
  <c r="K72" i="2" s="1"/>
  <c r="U71" i="2"/>
  <c r="J72" i="2" s="1"/>
  <c r="T71" i="2"/>
  <c r="I72" i="2" s="1"/>
  <c r="Q71" i="2"/>
  <c r="R71" i="2" s="1"/>
  <c r="X71" i="2"/>
  <c r="M72" i="2" s="1"/>
  <c r="W71" i="2"/>
  <c r="L72" i="2" s="1"/>
  <c r="P71" i="2"/>
  <c r="Y71" i="2" s="1"/>
  <c r="X71" i="8"/>
  <c r="M72" i="8" s="1"/>
  <c r="W71" i="8"/>
  <c r="L72" i="8" s="1"/>
  <c r="V71" i="8"/>
  <c r="K72" i="8" s="1"/>
  <c r="U71" i="8"/>
  <c r="J72" i="8" s="1"/>
  <c r="T71" i="8"/>
  <c r="I72" i="8" s="1"/>
  <c r="Q71" i="8"/>
  <c r="R71" i="8" s="1"/>
  <c r="P71" i="8"/>
  <c r="Y71" i="8" s="1"/>
  <c r="N72" i="8" l="1"/>
  <c r="O72" i="8" s="1"/>
  <c r="N72" i="2"/>
  <c r="O72" i="2" s="1"/>
  <c r="V72" i="2" l="1"/>
  <c r="K73" i="2" s="1"/>
  <c r="U72" i="2"/>
  <c r="J73" i="2" s="1"/>
  <c r="T72" i="2"/>
  <c r="I73" i="2" s="1"/>
  <c r="Q72" i="2"/>
  <c r="R72" i="2" s="1"/>
  <c r="P72" i="2"/>
  <c r="Y72" i="2" s="1"/>
  <c r="X72" i="2"/>
  <c r="M73" i="2" s="1"/>
  <c r="W72" i="2"/>
  <c r="L73" i="2" s="1"/>
  <c r="X72" i="8"/>
  <c r="M73" i="8" s="1"/>
  <c r="W72" i="8"/>
  <c r="L73" i="8" s="1"/>
  <c r="V72" i="8"/>
  <c r="K73" i="8" s="1"/>
  <c r="U72" i="8"/>
  <c r="J73" i="8" s="1"/>
  <c r="Q72" i="8"/>
  <c r="R72" i="8" s="1"/>
  <c r="P72" i="8"/>
  <c r="Y72" i="8" s="1"/>
  <c r="T72" i="8"/>
  <c r="I73" i="8" s="1"/>
  <c r="N73" i="8" l="1"/>
  <c r="O73" i="8" s="1"/>
  <c r="N73" i="2"/>
  <c r="O73" i="2" s="1"/>
  <c r="V73" i="2" l="1"/>
  <c r="K74" i="2" s="1"/>
  <c r="U73" i="2"/>
  <c r="J74" i="2" s="1"/>
  <c r="T73" i="2"/>
  <c r="I74" i="2" s="1"/>
  <c r="Q73" i="2"/>
  <c r="R73" i="2" s="1"/>
  <c r="X73" i="2"/>
  <c r="M74" i="2" s="1"/>
  <c r="W73" i="2"/>
  <c r="L74" i="2" s="1"/>
  <c r="P73" i="2"/>
  <c r="Y73" i="2" s="1"/>
  <c r="X73" i="8"/>
  <c r="M74" i="8" s="1"/>
  <c r="W73" i="8"/>
  <c r="L74" i="8" s="1"/>
  <c r="V73" i="8"/>
  <c r="K74" i="8" s="1"/>
  <c r="U73" i="8"/>
  <c r="J74" i="8" s="1"/>
  <c r="Q73" i="8"/>
  <c r="R73" i="8" s="1"/>
  <c r="P73" i="8"/>
  <c r="Y73" i="8" s="1"/>
  <c r="T73" i="8"/>
  <c r="I74" i="8" s="1"/>
  <c r="N74" i="8" l="1"/>
  <c r="O74" i="8" s="1"/>
  <c r="N74" i="2"/>
  <c r="O74" i="2" s="1"/>
  <c r="V74" i="2" l="1"/>
  <c r="K75" i="2" s="1"/>
  <c r="U74" i="2"/>
  <c r="J75" i="2" s="1"/>
  <c r="T74" i="2"/>
  <c r="I75" i="2" s="1"/>
  <c r="Q74" i="2"/>
  <c r="R74" i="2" s="1"/>
  <c r="X74" i="2"/>
  <c r="M75" i="2" s="1"/>
  <c r="W74" i="2"/>
  <c r="L75" i="2" s="1"/>
  <c r="P74" i="2"/>
  <c r="Y74" i="2" s="1"/>
  <c r="X74" i="8"/>
  <c r="M75" i="8" s="1"/>
  <c r="W74" i="8"/>
  <c r="L75" i="8" s="1"/>
  <c r="Q74" i="8"/>
  <c r="R74" i="8" s="1"/>
  <c r="P74" i="8"/>
  <c r="Y74" i="8" s="1"/>
  <c r="V74" i="8"/>
  <c r="K75" i="8" s="1"/>
  <c r="U74" i="8"/>
  <c r="J75" i="8" s="1"/>
  <c r="T74" i="8"/>
  <c r="I75" i="8" s="1"/>
  <c r="N75" i="8" l="1"/>
  <c r="O75" i="8" s="1"/>
  <c r="N75" i="2"/>
  <c r="O75" i="2" s="1"/>
  <c r="V75" i="2" l="1"/>
  <c r="K76" i="2" s="1"/>
  <c r="U75" i="2"/>
  <c r="J76" i="2" s="1"/>
  <c r="T75" i="2"/>
  <c r="I76" i="2" s="1"/>
  <c r="Q75" i="2"/>
  <c r="R75" i="2" s="1"/>
  <c r="X75" i="2"/>
  <c r="M76" i="2" s="1"/>
  <c r="W75" i="2"/>
  <c r="L76" i="2" s="1"/>
  <c r="P75" i="2"/>
  <c r="Y75" i="2" s="1"/>
  <c r="X75" i="8"/>
  <c r="M76" i="8" s="1"/>
  <c r="W75" i="8"/>
  <c r="L76" i="8" s="1"/>
  <c r="V75" i="8"/>
  <c r="K76" i="8" s="1"/>
  <c r="U75" i="8"/>
  <c r="J76" i="8" s="1"/>
  <c r="T75" i="8"/>
  <c r="I76" i="8" s="1"/>
  <c r="Q75" i="8"/>
  <c r="R75" i="8" s="1"/>
  <c r="P75" i="8"/>
  <c r="Y75" i="8" s="1"/>
  <c r="N76" i="8" l="1"/>
  <c r="O76" i="8" s="1"/>
  <c r="N76" i="2"/>
  <c r="O76" i="2" s="1"/>
  <c r="V76" i="2" l="1"/>
  <c r="K77" i="2" s="1"/>
  <c r="U76" i="2"/>
  <c r="J77" i="2" s="1"/>
  <c r="T76" i="2"/>
  <c r="I77" i="2" s="1"/>
  <c r="Q76" i="2"/>
  <c r="R76" i="2" s="1"/>
  <c r="X76" i="2"/>
  <c r="M77" i="2" s="1"/>
  <c r="W76" i="2"/>
  <c r="L77" i="2" s="1"/>
  <c r="P76" i="2"/>
  <c r="Y76" i="2" s="1"/>
  <c r="X76" i="8"/>
  <c r="M77" i="8" s="1"/>
  <c r="W76" i="8"/>
  <c r="L77" i="8" s="1"/>
  <c r="V76" i="8"/>
  <c r="K77" i="8" s="1"/>
  <c r="U76" i="8"/>
  <c r="J77" i="8" s="1"/>
  <c r="Q76" i="8"/>
  <c r="R76" i="8" s="1"/>
  <c r="P76" i="8"/>
  <c r="Y76" i="8" s="1"/>
  <c r="T76" i="8"/>
  <c r="I77" i="8" s="1"/>
  <c r="N77" i="8" l="1"/>
  <c r="O77" i="8" s="1"/>
  <c r="N77" i="2"/>
  <c r="O77" i="2" s="1"/>
  <c r="V77" i="2" l="1"/>
  <c r="K78" i="2" s="1"/>
  <c r="U77" i="2"/>
  <c r="J78" i="2" s="1"/>
  <c r="T77" i="2"/>
  <c r="I78" i="2" s="1"/>
  <c r="Q77" i="2"/>
  <c r="R77" i="2" s="1"/>
  <c r="X77" i="2"/>
  <c r="M78" i="2" s="1"/>
  <c r="W77" i="2"/>
  <c r="L78" i="2" s="1"/>
  <c r="P77" i="2"/>
  <c r="Y77" i="2" s="1"/>
  <c r="X77" i="8"/>
  <c r="M78" i="8" s="1"/>
  <c r="W77" i="8"/>
  <c r="L78" i="8" s="1"/>
  <c r="V77" i="8"/>
  <c r="K78" i="8" s="1"/>
  <c r="U77" i="8"/>
  <c r="J78" i="8" s="1"/>
  <c r="T77" i="8"/>
  <c r="I78" i="8" s="1"/>
  <c r="Q77" i="8"/>
  <c r="R77" i="8" s="1"/>
  <c r="P77" i="8"/>
  <c r="Y77" i="8" s="1"/>
  <c r="N78" i="2" l="1"/>
  <c r="O78" i="2" s="1"/>
  <c r="N78" i="8"/>
  <c r="O78" i="8" s="1"/>
  <c r="X78" i="8" l="1"/>
  <c r="M79" i="8" s="1"/>
  <c r="W78" i="8"/>
  <c r="L79" i="8" s="1"/>
  <c r="Q78" i="8"/>
  <c r="R78" i="8" s="1"/>
  <c r="P78" i="8"/>
  <c r="Y78" i="8" s="1"/>
  <c r="V78" i="8"/>
  <c r="K79" i="8" s="1"/>
  <c r="T78" i="8"/>
  <c r="I79" i="8" s="1"/>
  <c r="U78" i="8"/>
  <c r="J79" i="8" s="1"/>
  <c r="V78" i="2"/>
  <c r="K79" i="2" s="1"/>
  <c r="U78" i="2"/>
  <c r="J79" i="2" s="1"/>
  <c r="T78" i="2"/>
  <c r="I79" i="2" s="1"/>
  <c r="Q78" i="2"/>
  <c r="R78" i="2" s="1"/>
  <c r="X78" i="2"/>
  <c r="M79" i="2" s="1"/>
  <c r="W78" i="2"/>
  <c r="L79" i="2" s="1"/>
  <c r="P78" i="2"/>
  <c r="Y78" i="2" s="1"/>
  <c r="N79" i="2" l="1"/>
  <c r="O79" i="2" s="1"/>
  <c r="N79" i="8"/>
  <c r="O79" i="8" s="1"/>
  <c r="X79" i="8" l="1"/>
  <c r="M80" i="8" s="1"/>
  <c r="W79" i="8"/>
  <c r="L80" i="8" s="1"/>
  <c r="V79" i="8"/>
  <c r="K80" i="8" s="1"/>
  <c r="U79" i="8"/>
  <c r="J80" i="8" s="1"/>
  <c r="T79" i="8"/>
  <c r="I80" i="8" s="1"/>
  <c r="Q79" i="8"/>
  <c r="R79" i="8" s="1"/>
  <c r="P79" i="8"/>
  <c r="Y79" i="8" s="1"/>
  <c r="V79" i="2"/>
  <c r="K80" i="2" s="1"/>
  <c r="U79" i="2"/>
  <c r="J80" i="2" s="1"/>
  <c r="T79" i="2"/>
  <c r="I80" i="2" s="1"/>
  <c r="Q79" i="2"/>
  <c r="R79" i="2" s="1"/>
  <c r="X79" i="2"/>
  <c r="M80" i="2" s="1"/>
  <c r="W79" i="2"/>
  <c r="L80" i="2" s="1"/>
  <c r="P79" i="2"/>
  <c r="Y79" i="2" s="1"/>
  <c r="N80" i="2" l="1"/>
  <c r="O80" i="2" s="1"/>
  <c r="N80" i="8"/>
  <c r="O80" i="8" s="1"/>
  <c r="X80" i="8" l="1"/>
  <c r="M81" i="8" s="1"/>
  <c r="W80" i="8"/>
  <c r="L81" i="8" s="1"/>
  <c r="V80" i="8"/>
  <c r="K81" i="8" s="1"/>
  <c r="U80" i="8"/>
  <c r="J81" i="8" s="1"/>
  <c r="T80" i="8"/>
  <c r="I81" i="8" s="1"/>
  <c r="Q80" i="8"/>
  <c r="R80" i="8" s="1"/>
  <c r="P80" i="8"/>
  <c r="Y80" i="8" s="1"/>
  <c r="V80" i="2"/>
  <c r="K81" i="2" s="1"/>
  <c r="U80" i="2"/>
  <c r="J81" i="2" s="1"/>
  <c r="T80" i="2"/>
  <c r="I81" i="2" s="1"/>
  <c r="Q80" i="2"/>
  <c r="R80" i="2" s="1"/>
  <c r="X80" i="2"/>
  <c r="M81" i="2" s="1"/>
  <c r="W80" i="2"/>
  <c r="L81" i="2" s="1"/>
  <c r="P80" i="2"/>
  <c r="Y80" i="2" s="1"/>
  <c r="N81" i="8" l="1"/>
  <c r="O81" i="8" s="1"/>
  <c r="N81" i="2"/>
  <c r="O81" i="2" s="1"/>
  <c r="V81" i="2" l="1"/>
  <c r="K82" i="2" s="1"/>
  <c r="U81" i="2"/>
  <c r="J82" i="2" s="1"/>
  <c r="T81" i="2"/>
  <c r="I82" i="2" s="1"/>
  <c r="Q81" i="2"/>
  <c r="R81" i="2" s="1"/>
  <c r="X81" i="2"/>
  <c r="M82" i="2" s="1"/>
  <c r="W81" i="2"/>
  <c r="L82" i="2" s="1"/>
  <c r="P81" i="2"/>
  <c r="Y81" i="2" s="1"/>
  <c r="X81" i="8"/>
  <c r="M82" i="8" s="1"/>
  <c r="W81" i="8"/>
  <c r="L82" i="8" s="1"/>
  <c r="V81" i="8"/>
  <c r="K82" i="8" s="1"/>
  <c r="U81" i="8"/>
  <c r="J82" i="8" s="1"/>
  <c r="T81" i="8"/>
  <c r="I82" i="8" s="1"/>
  <c r="Q81" i="8"/>
  <c r="R81" i="8" s="1"/>
  <c r="P81" i="8"/>
  <c r="Y81" i="8" s="1"/>
  <c r="N82" i="8" l="1"/>
  <c r="O82" i="8" s="1"/>
  <c r="N82" i="2"/>
  <c r="O82" i="2" s="1"/>
  <c r="V82" i="2" l="1"/>
  <c r="K83" i="2" s="1"/>
  <c r="U82" i="2"/>
  <c r="J83" i="2" s="1"/>
  <c r="T82" i="2"/>
  <c r="I83" i="2" s="1"/>
  <c r="Q82" i="2"/>
  <c r="R82" i="2" s="1"/>
  <c r="X82" i="2"/>
  <c r="M83" i="2" s="1"/>
  <c r="W82" i="2"/>
  <c r="L83" i="2" s="1"/>
  <c r="P82" i="2"/>
  <c r="Y82" i="2" s="1"/>
  <c r="X82" i="8"/>
  <c r="M83" i="8" s="1"/>
  <c r="W82" i="8"/>
  <c r="L83" i="8" s="1"/>
  <c r="Q82" i="8"/>
  <c r="R82" i="8" s="1"/>
  <c r="P82" i="8"/>
  <c r="Y82" i="8" s="1"/>
  <c r="V82" i="8"/>
  <c r="K83" i="8" s="1"/>
  <c r="U82" i="8"/>
  <c r="J83" i="8" s="1"/>
  <c r="T82" i="8"/>
  <c r="I83" i="8" s="1"/>
  <c r="N83" i="2" l="1"/>
  <c r="O83" i="2" s="1"/>
  <c r="N83" i="8"/>
  <c r="O83" i="8" s="1"/>
  <c r="X83" i="8" l="1"/>
  <c r="M84" i="8" s="1"/>
  <c r="W83" i="8"/>
  <c r="L84" i="8" s="1"/>
  <c r="V83" i="8"/>
  <c r="K84" i="8" s="1"/>
  <c r="U83" i="8"/>
  <c r="J84" i="8" s="1"/>
  <c r="T83" i="8"/>
  <c r="I84" i="8" s="1"/>
  <c r="Q83" i="8"/>
  <c r="R83" i="8" s="1"/>
  <c r="P83" i="8"/>
  <c r="Y83" i="8" s="1"/>
  <c r="V83" i="2"/>
  <c r="K84" i="2" s="1"/>
  <c r="U83" i="2"/>
  <c r="J84" i="2" s="1"/>
  <c r="T83" i="2"/>
  <c r="I84" i="2" s="1"/>
  <c r="Q83" i="2"/>
  <c r="R83" i="2" s="1"/>
  <c r="X83" i="2"/>
  <c r="M84" i="2" s="1"/>
  <c r="W83" i="2"/>
  <c r="L84" i="2" s="1"/>
  <c r="P83" i="2"/>
  <c r="Y83" i="2" s="1"/>
  <c r="L91" i="2" l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5" i="3"/>
  <c r="N84" i="2"/>
  <c r="O84" i="2" s="1"/>
  <c r="I91" i="2"/>
  <c r="I5" i="3"/>
  <c r="J91" i="2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5" i="3"/>
  <c r="I410" i="8"/>
  <c r="I85" i="8"/>
  <c r="N84" i="8"/>
  <c r="O84" i="8" s="1"/>
  <c r="L410" i="8"/>
  <c r="L411" i="8" s="1"/>
  <c r="L412" i="8" s="1"/>
  <c r="L413" i="8" s="1"/>
  <c r="L414" i="8" s="1"/>
  <c r="L415" i="8" s="1"/>
  <c r="L416" i="8" s="1"/>
  <c r="L417" i="8" s="1"/>
  <c r="L418" i="8" s="1"/>
  <c r="L419" i="8" s="1"/>
  <c r="L420" i="8" s="1"/>
  <c r="L421" i="8" s="1"/>
  <c r="L422" i="8" s="1"/>
  <c r="L423" i="8" s="1"/>
  <c r="L424" i="8" s="1"/>
  <c r="L425" i="8" s="1"/>
  <c r="L426" i="8" s="1"/>
  <c r="L427" i="8" s="1"/>
  <c r="L428" i="8" s="1"/>
  <c r="L429" i="8" s="1"/>
  <c r="L85" i="8"/>
  <c r="M5" i="3"/>
  <c r="M91" i="2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K91" i="2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5" i="3"/>
  <c r="J410" i="8"/>
  <c r="J411" i="8" s="1"/>
  <c r="J412" i="8" s="1"/>
  <c r="J413" i="8" s="1"/>
  <c r="J414" i="8" s="1"/>
  <c r="J415" i="8" s="1"/>
  <c r="J416" i="8" s="1"/>
  <c r="J417" i="8" s="1"/>
  <c r="J418" i="8" s="1"/>
  <c r="J419" i="8" s="1"/>
  <c r="J420" i="8" s="1"/>
  <c r="J421" i="8" s="1"/>
  <c r="J422" i="8" s="1"/>
  <c r="J423" i="8" s="1"/>
  <c r="J424" i="8" s="1"/>
  <c r="J425" i="8" s="1"/>
  <c r="J426" i="8" s="1"/>
  <c r="J427" i="8" s="1"/>
  <c r="J428" i="8" s="1"/>
  <c r="J429" i="8" s="1"/>
  <c r="J85" i="8"/>
  <c r="K410" i="8"/>
  <c r="K411" i="8" s="1"/>
  <c r="K412" i="8" s="1"/>
  <c r="K413" i="8" s="1"/>
  <c r="K414" i="8" s="1"/>
  <c r="K415" i="8" s="1"/>
  <c r="K416" i="8" s="1"/>
  <c r="K417" i="8" s="1"/>
  <c r="K418" i="8" s="1"/>
  <c r="K419" i="8" s="1"/>
  <c r="K420" i="8" s="1"/>
  <c r="K421" i="8" s="1"/>
  <c r="K422" i="8" s="1"/>
  <c r="K423" i="8" s="1"/>
  <c r="K424" i="8" s="1"/>
  <c r="K425" i="8" s="1"/>
  <c r="K426" i="8" s="1"/>
  <c r="K427" i="8" s="1"/>
  <c r="K428" i="8" s="1"/>
  <c r="K429" i="8" s="1"/>
  <c r="K85" i="8"/>
  <c r="M410" i="8"/>
  <c r="M411" i="8" s="1"/>
  <c r="M412" i="8" s="1"/>
  <c r="M413" i="8" s="1"/>
  <c r="M414" i="8" s="1"/>
  <c r="M415" i="8" s="1"/>
  <c r="M416" i="8" s="1"/>
  <c r="M417" i="8" s="1"/>
  <c r="M418" i="8" s="1"/>
  <c r="M419" i="8" s="1"/>
  <c r="M420" i="8" s="1"/>
  <c r="M421" i="8" s="1"/>
  <c r="M422" i="8" s="1"/>
  <c r="M423" i="8" s="1"/>
  <c r="M424" i="8" s="1"/>
  <c r="M425" i="8" s="1"/>
  <c r="M426" i="8" s="1"/>
  <c r="M427" i="8" s="1"/>
  <c r="M428" i="8" s="1"/>
  <c r="M429" i="8" s="1"/>
  <c r="M85" i="8"/>
  <c r="V84" i="2" l="1"/>
  <c r="U84" i="2"/>
  <c r="T84" i="2"/>
  <c r="Q84" i="2"/>
  <c r="R84" i="2" s="1"/>
  <c r="R85" i="2" s="1"/>
  <c r="B5" i="7" s="1"/>
  <c r="X84" i="2"/>
  <c r="W84" i="2"/>
  <c r="P84" i="2"/>
  <c r="Y84" i="2" s="1"/>
  <c r="Y85" i="2" s="1"/>
  <c r="D5" i="7" s="1"/>
  <c r="X84" i="8"/>
  <c r="W84" i="8"/>
  <c r="V84" i="8"/>
  <c r="U84" i="8"/>
  <c r="T84" i="8"/>
  <c r="Q84" i="8"/>
  <c r="R84" i="8" s="1"/>
  <c r="AB84" i="8" s="1"/>
  <c r="P84" i="8"/>
  <c r="Y84" i="8" s="1"/>
  <c r="AA84" i="8" s="1"/>
  <c r="D516" i="8" s="1"/>
  <c r="N85" i="8"/>
  <c r="O85" i="8" s="1"/>
  <c r="N410" i="8"/>
  <c r="O410" i="8" s="1"/>
  <c r="I411" i="8"/>
  <c r="N5" i="3"/>
  <c r="O5" i="3" s="1"/>
  <c r="N91" i="2"/>
  <c r="O91" i="2" s="1"/>
  <c r="I92" i="2"/>
  <c r="Q91" i="2" l="1"/>
  <c r="R91" i="2" s="1"/>
  <c r="P91" i="2"/>
  <c r="Q410" i="8"/>
  <c r="R410" i="8" s="1"/>
  <c r="P410" i="8"/>
  <c r="T410" i="8" s="1"/>
  <c r="X85" i="8"/>
  <c r="M86" i="8" s="1"/>
  <c r="V85" i="8"/>
  <c r="K86" i="8" s="1"/>
  <c r="U85" i="8"/>
  <c r="J86" i="8" s="1"/>
  <c r="W85" i="8"/>
  <c r="L86" i="8" s="1"/>
  <c r="T85" i="8"/>
  <c r="I86" i="8" s="1"/>
  <c r="Q85" i="8"/>
  <c r="R85" i="8" s="1"/>
  <c r="P85" i="8"/>
  <c r="Y85" i="8" s="1"/>
  <c r="I93" i="2"/>
  <c r="N92" i="2"/>
  <c r="O92" i="2" s="1"/>
  <c r="X5" i="3"/>
  <c r="M6" i="3" s="1"/>
  <c r="V5" i="3"/>
  <c r="K6" i="3" s="1"/>
  <c r="U5" i="3"/>
  <c r="J6" i="3" s="1"/>
  <c r="T5" i="3"/>
  <c r="I6" i="3" s="1"/>
  <c r="Q5" i="3"/>
  <c r="R5" i="3" s="1"/>
  <c r="P5" i="3"/>
  <c r="Y5" i="3" s="1"/>
  <c r="W5" i="3"/>
  <c r="L6" i="3" s="1"/>
  <c r="I412" i="8"/>
  <c r="N411" i="8"/>
  <c r="O411" i="8" s="1"/>
  <c r="I94" i="2" l="1"/>
  <c r="N93" i="2"/>
  <c r="O93" i="2" s="1"/>
  <c r="N86" i="8"/>
  <c r="O86" i="8" s="1"/>
  <c r="Q411" i="8"/>
  <c r="R411" i="8" s="1"/>
  <c r="P411" i="8"/>
  <c r="T411" i="8" s="1"/>
  <c r="I413" i="8"/>
  <c r="N412" i="8"/>
  <c r="O412" i="8" s="1"/>
  <c r="T91" i="2"/>
  <c r="Q92" i="2"/>
  <c r="R92" i="2" s="1"/>
  <c r="P92" i="2"/>
  <c r="T92" i="2" s="1"/>
  <c r="N6" i="3"/>
  <c r="O6" i="3" s="1"/>
  <c r="X86" i="8" l="1"/>
  <c r="M87" i="8" s="1"/>
  <c r="V86" i="8"/>
  <c r="K87" i="8" s="1"/>
  <c r="U86" i="8"/>
  <c r="J87" i="8" s="1"/>
  <c r="T86" i="8"/>
  <c r="I87" i="8" s="1"/>
  <c r="P86" i="8"/>
  <c r="Y86" i="8" s="1"/>
  <c r="Q86" i="8"/>
  <c r="R86" i="8" s="1"/>
  <c r="W86" i="8"/>
  <c r="L87" i="8" s="1"/>
  <c r="X6" i="3"/>
  <c r="M7" i="3" s="1"/>
  <c r="W6" i="3"/>
  <c r="L7" i="3" s="1"/>
  <c r="V6" i="3"/>
  <c r="K7" i="3" s="1"/>
  <c r="U6" i="3"/>
  <c r="J7" i="3" s="1"/>
  <c r="P6" i="3"/>
  <c r="Y6" i="3" s="1"/>
  <c r="T6" i="3"/>
  <c r="I7" i="3" s="1"/>
  <c r="Q6" i="3"/>
  <c r="R6" i="3" s="1"/>
  <c r="Q412" i="8"/>
  <c r="R412" i="8" s="1"/>
  <c r="P412" i="8"/>
  <c r="T412" i="8" s="1"/>
  <c r="Q93" i="2"/>
  <c r="R93" i="2" s="1"/>
  <c r="P93" i="2"/>
  <c r="N94" i="2"/>
  <c r="O94" i="2" s="1"/>
  <c r="I95" i="2"/>
  <c r="I414" i="8"/>
  <c r="N413" i="8"/>
  <c r="O413" i="8" s="1"/>
  <c r="N7" i="3" l="1"/>
  <c r="O7" i="3" s="1"/>
  <c r="I415" i="8"/>
  <c r="N414" i="8"/>
  <c r="O414" i="8" s="1"/>
  <c r="T93" i="2"/>
  <c r="Q413" i="8"/>
  <c r="R413" i="8" s="1"/>
  <c r="P413" i="8"/>
  <c r="T413" i="8" s="1"/>
  <c r="I96" i="2"/>
  <c r="N95" i="2"/>
  <c r="O95" i="2" s="1"/>
  <c r="Q94" i="2"/>
  <c r="R94" i="2" s="1"/>
  <c r="P94" i="2"/>
  <c r="T94" i="2" s="1"/>
  <c r="N87" i="8"/>
  <c r="O87" i="8" s="1"/>
  <c r="Q414" i="8" l="1"/>
  <c r="R414" i="8" s="1"/>
  <c r="P414" i="8"/>
  <c r="T414" i="8" s="1"/>
  <c r="X87" i="8"/>
  <c r="M88" i="8" s="1"/>
  <c r="V87" i="8"/>
  <c r="K88" i="8" s="1"/>
  <c r="U87" i="8"/>
  <c r="J88" i="8" s="1"/>
  <c r="T87" i="8"/>
  <c r="I88" i="8" s="1"/>
  <c r="P87" i="8"/>
  <c r="Y87" i="8" s="1"/>
  <c r="W87" i="8"/>
  <c r="L88" i="8" s="1"/>
  <c r="Q87" i="8"/>
  <c r="R87" i="8" s="1"/>
  <c r="P95" i="2"/>
  <c r="Q95" i="2"/>
  <c r="R95" i="2" s="1"/>
  <c r="I97" i="2"/>
  <c r="N96" i="2"/>
  <c r="O96" i="2" s="1"/>
  <c r="X7" i="3"/>
  <c r="M8" i="3" s="1"/>
  <c r="T7" i="3"/>
  <c r="I8" i="3" s="1"/>
  <c r="Q7" i="3"/>
  <c r="R7" i="3" s="1"/>
  <c r="P7" i="3"/>
  <c r="Y7" i="3" s="1"/>
  <c r="W7" i="3"/>
  <c r="L8" i="3" s="1"/>
  <c r="U7" i="3"/>
  <c r="J8" i="3" s="1"/>
  <c r="V7" i="3"/>
  <c r="K8" i="3" s="1"/>
  <c r="N415" i="8"/>
  <c r="O415" i="8" s="1"/>
  <c r="I416" i="8"/>
  <c r="Q96" i="2" l="1"/>
  <c r="R96" i="2" s="1"/>
  <c r="P96" i="2"/>
  <c r="T96" i="2" s="1"/>
  <c r="N88" i="8"/>
  <c r="O88" i="8" s="1"/>
  <c r="N97" i="2"/>
  <c r="O97" i="2" s="1"/>
  <c r="I98" i="2"/>
  <c r="T95" i="2"/>
  <c r="I417" i="8"/>
  <c r="N416" i="8"/>
  <c r="O416" i="8" s="1"/>
  <c r="N8" i="3"/>
  <c r="O8" i="3" s="1"/>
  <c r="Q415" i="8"/>
  <c r="R415" i="8" s="1"/>
  <c r="P415" i="8"/>
  <c r="T415" i="8" s="1"/>
  <c r="X8" i="3" l="1"/>
  <c r="M9" i="3" s="1"/>
  <c r="W8" i="3"/>
  <c r="L9" i="3" s="1"/>
  <c r="V8" i="3"/>
  <c r="K9" i="3" s="1"/>
  <c r="U8" i="3"/>
  <c r="J9" i="3" s="1"/>
  <c r="T8" i="3"/>
  <c r="I9" i="3" s="1"/>
  <c r="Q8" i="3"/>
  <c r="R8" i="3" s="1"/>
  <c r="P8" i="3"/>
  <c r="Y8" i="3" s="1"/>
  <c r="P97" i="2"/>
  <c r="Q97" i="2"/>
  <c r="R97" i="2" s="1"/>
  <c r="I99" i="2"/>
  <c r="N98" i="2"/>
  <c r="O98" i="2" s="1"/>
  <c r="X88" i="8"/>
  <c r="M89" i="8" s="1"/>
  <c r="V88" i="8"/>
  <c r="K89" i="8" s="1"/>
  <c r="U88" i="8"/>
  <c r="J89" i="8" s="1"/>
  <c r="T88" i="8"/>
  <c r="I89" i="8" s="1"/>
  <c r="Q88" i="8"/>
  <c r="R88" i="8" s="1"/>
  <c r="P88" i="8"/>
  <c r="Y88" i="8" s="1"/>
  <c r="W88" i="8"/>
  <c r="L89" i="8" s="1"/>
  <c r="Q416" i="8"/>
  <c r="R416" i="8" s="1"/>
  <c r="P416" i="8"/>
  <c r="T416" i="8" s="1"/>
  <c r="N417" i="8"/>
  <c r="O417" i="8" s="1"/>
  <c r="I418" i="8"/>
  <c r="N89" i="8" l="1"/>
  <c r="O89" i="8" s="1"/>
  <c r="I100" i="2"/>
  <c r="N99" i="2"/>
  <c r="O99" i="2" s="1"/>
  <c r="I419" i="8"/>
  <c r="N418" i="8"/>
  <c r="O418" i="8" s="1"/>
  <c r="Q98" i="2"/>
  <c r="R98" i="2" s="1"/>
  <c r="P98" i="2"/>
  <c r="T98" i="2" s="1"/>
  <c r="Q417" i="8"/>
  <c r="R417" i="8" s="1"/>
  <c r="P417" i="8"/>
  <c r="T417" i="8" s="1"/>
  <c r="T97" i="2"/>
  <c r="N9" i="3"/>
  <c r="O9" i="3" s="1"/>
  <c r="Q99" i="2" l="1"/>
  <c r="R99" i="2" s="1"/>
  <c r="P99" i="2"/>
  <c r="T99" i="2" s="1"/>
  <c r="Q418" i="8"/>
  <c r="R418" i="8" s="1"/>
  <c r="P418" i="8"/>
  <c r="T418" i="8" s="1"/>
  <c r="N419" i="8"/>
  <c r="O419" i="8" s="1"/>
  <c r="I420" i="8"/>
  <c r="X89" i="8"/>
  <c r="M90" i="8" s="1"/>
  <c r="V89" i="8"/>
  <c r="K90" i="8" s="1"/>
  <c r="U89" i="8"/>
  <c r="J90" i="8" s="1"/>
  <c r="T89" i="8"/>
  <c r="I90" i="8" s="1"/>
  <c r="Q89" i="8"/>
  <c r="R89" i="8" s="1"/>
  <c r="P89" i="8"/>
  <c r="Y89" i="8" s="1"/>
  <c r="W89" i="8"/>
  <c r="L90" i="8" s="1"/>
  <c r="X9" i="3"/>
  <c r="M10" i="3" s="1"/>
  <c r="W9" i="3"/>
  <c r="L10" i="3" s="1"/>
  <c r="V9" i="3"/>
  <c r="K10" i="3" s="1"/>
  <c r="U9" i="3"/>
  <c r="J10" i="3" s="1"/>
  <c r="T9" i="3"/>
  <c r="I10" i="3" s="1"/>
  <c r="Q9" i="3"/>
  <c r="R9" i="3" s="1"/>
  <c r="P9" i="3"/>
  <c r="Y9" i="3" s="1"/>
  <c r="N100" i="2"/>
  <c r="O100" i="2" s="1"/>
  <c r="I101" i="2"/>
  <c r="P100" i="2" l="1"/>
  <c r="T100" i="2" s="1"/>
  <c r="Q100" i="2"/>
  <c r="R100" i="2" s="1"/>
  <c r="Q419" i="8"/>
  <c r="R419" i="8" s="1"/>
  <c r="P419" i="8"/>
  <c r="T419" i="8" s="1"/>
  <c r="N90" i="8"/>
  <c r="O90" i="8" s="1"/>
  <c r="I102" i="2"/>
  <c r="N101" i="2"/>
  <c r="O101" i="2" s="1"/>
  <c r="N420" i="8"/>
  <c r="O420" i="8" s="1"/>
  <c r="I421" i="8"/>
  <c r="N10" i="3"/>
  <c r="O10" i="3" s="1"/>
  <c r="X90" i="8" l="1"/>
  <c r="M91" i="8" s="1"/>
  <c r="V90" i="8"/>
  <c r="K91" i="8" s="1"/>
  <c r="U90" i="8"/>
  <c r="J91" i="8" s="1"/>
  <c r="T90" i="8"/>
  <c r="I91" i="8" s="1"/>
  <c r="Q90" i="8"/>
  <c r="R90" i="8" s="1"/>
  <c r="P90" i="8"/>
  <c r="Y90" i="8" s="1"/>
  <c r="W90" i="8"/>
  <c r="L91" i="8" s="1"/>
  <c r="Q101" i="2"/>
  <c r="R101" i="2" s="1"/>
  <c r="P101" i="2"/>
  <c r="P420" i="8"/>
  <c r="T420" i="8" s="1"/>
  <c r="Q420" i="8"/>
  <c r="R420" i="8" s="1"/>
  <c r="X10" i="3"/>
  <c r="M11" i="3" s="1"/>
  <c r="W10" i="3"/>
  <c r="L11" i="3" s="1"/>
  <c r="V10" i="3"/>
  <c r="K11" i="3" s="1"/>
  <c r="U10" i="3"/>
  <c r="J11" i="3" s="1"/>
  <c r="T10" i="3"/>
  <c r="I11" i="3" s="1"/>
  <c r="Q10" i="3"/>
  <c r="R10" i="3" s="1"/>
  <c r="P10" i="3"/>
  <c r="Y10" i="3" s="1"/>
  <c r="N102" i="2"/>
  <c r="O102" i="2" s="1"/>
  <c r="I103" i="2"/>
  <c r="I422" i="8"/>
  <c r="N421" i="8"/>
  <c r="O421" i="8" s="1"/>
  <c r="T101" i="2" l="1"/>
  <c r="N103" i="2"/>
  <c r="O103" i="2" s="1"/>
  <c r="I104" i="2"/>
  <c r="N11" i="3"/>
  <c r="O11" i="3" s="1"/>
  <c r="Q421" i="8"/>
  <c r="R421" i="8" s="1"/>
  <c r="P421" i="8"/>
  <c r="T421" i="8" s="1"/>
  <c r="I423" i="8"/>
  <c r="N422" i="8"/>
  <c r="O422" i="8" s="1"/>
  <c r="N91" i="8"/>
  <c r="O91" i="8" s="1"/>
  <c r="Q102" i="2"/>
  <c r="R102" i="2" s="1"/>
  <c r="P102" i="2"/>
  <c r="T102" i="2" s="1"/>
  <c r="X11" i="3" l="1"/>
  <c r="M12" i="3" s="1"/>
  <c r="T11" i="3"/>
  <c r="I12" i="3" s="1"/>
  <c r="Q11" i="3"/>
  <c r="R11" i="3" s="1"/>
  <c r="P11" i="3"/>
  <c r="Y11" i="3" s="1"/>
  <c r="W11" i="3"/>
  <c r="L12" i="3" s="1"/>
  <c r="V11" i="3"/>
  <c r="K12" i="3" s="1"/>
  <c r="U11" i="3"/>
  <c r="J12" i="3" s="1"/>
  <c r="Q103" i="2"/>
  <c r="R103" i="2" s="1"/>
  <c r="P103" i="2"/>
  <c r="T103" i="2" s="1"/>
  <c r="Q422" i="8"/>
  <c r="R422" i="8" s="1"/>
  <c r="P422" i="8"/>
  <c r="T422" i="8" s="1"/>
  <c r="I105" i="2"/>
  <c r="N104" i="2"/>
  <c r="O104" i="2" s="1"/>
  <c r="N423" i="8"/>
  <c r="O423" i="8" s="1"/>
  <c r="I424" i="8"/>
  <c r="X91" i="8"/>
  <c r="M92" i="8" s="1"/>
  <c r="V91" i="8"/>
  <c r="K92" i="8" s="1"/>
  <c r="U91" i="8"/>
  <c r="J92" i="8" s="1"/>
  <c r="T91" i="8"/>
  <c r="I92" i="8" s="1"/>
  <c r="Q91" i="8"/>
  <c r="R91" i="8" s="1"/>
  <c r="P91" i="8"/>
  <c r="Y91" i="8" s="1"/>
  <c r="W91" i="8"/>
  <c r="L92" i="8" s="1"/>
  <c r="Q423" i="8" l="1"/>
  <c r="R423" i="8" s="1"/>
  <c r="P423" i="8"/>
  <c r="T423" i="8" s="1"/>
  <c r="N92" i="8"/>
  <c r="O92" i="8" s="1"/>
  <c r="Q104" i="2"/>
  <c r="R104" i="2" s="1"/>
  <c r="P104" i="2"/>
  <c r="I106" i="2"/>
  <c r="N105" i="2"/>
  <c r="O105" i="2" s="1"/>
  <c r="N12" i="3"/>
  <c r="O12" i="3" s="1"/>
  <c r="I425" i="8"/>
  <c r="N424" i="8"/>
  <c r="O424" i="8" s="1"/>
  <c r="X12" i="3" l="1"/>
  <c r="M13" i="3" s="1"/>
  <c r="W12" i="3"/>
  <c r="L13" i="3" s="1"/>
  <c r="V12" i="3"/>
  <c r="K13" i="3" s="1"/>
  <c r="U12" i="3"/>
  <c r="J13" i="3" s="1"/>
  <c r="T12" i="3"/>
  <c r="I13" i="3" s="1"/>
  <c r="Q12" i="3"/>
  <c r="R12" i="3" s="1"/>
  <c r="P12" i="3"/>
  <c r="Y12" i="3" s="1"/>
  <c r="I107" i="2"/>
  <c r="N106" i="2"/>
  <c r="O106" i="2" s="1"/>
  <c r="N425" i="8"/>
  <c r="O425" i="8" s="1"/>
  <c r="I426" i="8"/>
  <c r="Q105" i="2"/>
  <c r="R105" i="2" s="1"/>
  <c r="P105" i="2"/>
  <c r="T105" i="2" s="1"/>
  <c r="X92" i="8"/>
  <c r="M93" i="8" s="1"/>
  <c r="V92" i="8"/>
  <c r="K93" i="8" s="1"/>
  <c r="U92" i="8"/>
  <c r="J93" i="8" s="1"/>
  <c r="T92" i="8"/>
  <c r="I93" i="8" s="1"/>
  <c r="Q92" i="8"/>
  <c r="R92" i="8" s="1"/>
  <c r="P92" i="8"/>
  <c r="Y92" i="8" s="1"/>
  <c r="W92" i="8"/>
  <c r="L93" i="8" s="1"/>
  <c r="T104" i="2"/>
  <c r="Q424" i="8"/>
  <c r="R424" i="8" s="1"/>
  <c r="P424" i="8"/>
  <c r="T424" i="8" s="1"/>
  <c r="Q425" i="8" l="1"/>
  <c r="R425" i="8" s="1"/>
  <c r="P425" i="8"/>
  <c r="T425" i="8" s="1"/>
  <c r="P106" i="2"/>
  <c r="T106" i="2" s="1"/>
  <c r="Q106" i="2"/>
  <c r="R106" i="2" s="1"/>
  <c r="I108" i="2"/>
  <c r="N107" i="2"/>
  <c r="O107" i="2" s="1"/>
  <c r="N13" i="3"/>
  <c r="O13" i="3" s="1"/>
  <c r="N426" i="8"/>
  <c r="O426" i="8" s="1"/>
  <c r="I427" i="8"/>
  <c r="N93" i="8"/>
  <c r="O93" i="8" s="1"/>
  <c r="I109" i="2" l="1"/>
  <c r="N108" i="2"/>
  <c r="O108" i="2" s="1"/>
  <c r="Q107" i="2"/>
  <c r="R107" i="2" s="1"/>
  <c r="P107" i="2"/>
  <c r="T107" i="2" s="1"/>
  <c r="Q426" i="8"/>
  <c r="R426" i="8" s="1"/>
  <c r="P426" i="8"/>
  <c r="T426" i="8" s="1"/>
  <c r="X13" i="3"/>
  <c r="M14" i="3" s="1"/>
  <c r="W13" i="3"/>
  <c r="L14" i="3" s="1"/>
  <c r="V13" i="3"/>
  <c r="K14" i="3" s="1"/>
  <c r="U13" i="3"/>
  <c r="J14" i="3" s="1"/>
  <c r="T13" i="3"/>
  <c r="I14" i="3" s="1"/>
  <c r="Q13" i="3"/>
  <c r="R13" i="3" s="1"/>
  <c r="P13" i="3"/>
  <c r="Y13" i="3" s="1"/>
  <c r="X93" i="8"/>
  <c r="M94" i="8" s="1"/>
  <c r="V93" i="8"/>
  <c r="K94" i="8" s="1"/>
  <c r="U93" i="8"/>
  <c r="J94" i="8" s="1"/>
  <c r="T93" i="8"/>
  <c r="I94" i="8" s="1"/>
  <c r="Q93" i="8"/>
  <c r="R93" i="8" s="1"/>
  <c r="P93" i="8"/>
  <c r="Y93" i="8" s="1"/>
  <c r="W93" i="8"/>
  <c r="L94" i="8" s="1"/>
  <c r="I428" i="8"/>
  <c r="N427" i="8"/>
  <c r="O427" i="8" s="1"/>
  <c r="N14" i="3" l="1"/>
  <c r="O14" i="3" s="1"/>
  <c r="N428" i="8"/>
  <c r="O428" i="8" s="1"/>
  <c r="I429" i="8"/>
  <c r="N429" i="8" s="1"/>
  <c r="O429" i="8" s="1"/>
  <c r="Q427" i="8"/>
  <c r="R427" i="8" s="1"/>
  <c r="P427" i="8"/>
  <c r="T427" i="8" s="1"/>
  <c r="Q108" i="2"/>
  <c r="R108" i="2" s="1"/>
  <c r="P108" i="2"/>
  <c r="T108" i="2" s="1"/>
  <c r="N94" i="8"/>
  <c r="O94" i="8" s="1"/>
  <c r="N109" i="2"/>
  <c r="O109" i="2" s="1"/>
  <c r="I110" i="2"/>
  <c r="N110" i="2" s="1"/>
  <c r="O110" i="2" s="1"/>
  <c r="Q429" i="8" l="1"/>
  <c r="R429" i="8" s="1"/>
  <c r="P429" i="8"/>
  <c r="T429" i="8" s="1"/>
  <c r="Q428" i="8"/>
  <c r="R428" i="8" s="1"/>
  <c r="P428" i="8"/>
  <c r="T428" i="8" s="1"/>
  <c r="X94" i="8"/>
  <c r="M95" i="8" s="1"/>
  <c r="V94" i="8"/>
  <c r="K95" i="8" s="1"/>
  <c r="U94" i="8"/>
  <c r="J95" i="8" s="1"/>
  <c r="T94" i="8"/>
  <c r="I95" i="8" s="1"/>
  <c r="Q94" i="8"/>
  <c r="R94" i="8" s="1"/>
  <c r="P94" i="8"/>
  <c r="Y94" i="8" s="1"/>
  <c r="W94" i="8"/>
  <c r="L95" i="8" s="1"/>
  <c r="Q110" i="2"/>
  <c r="R110" i="2" s="1"/>
  <c r="P110" i="2"/>
  <c r="P109" i="2"/>
  <c r="T109" i="2" s="1"/>
  <c r="Q109" i="2"/>
  <c r="R109" i="2" s="1"/>
  <c r="X14" i="3"/>
  <c r="M15" i="3" s="1"/>
  <c r="W14" i="3"/>
  <c r="L15" i="3" s="1"/>
  <c r="V14" i="3"/>
  <c r="K15" i="3" s="1"/>
  <c r="U14" i="3"/>
  <c r="J15" i="3" s="1"/>
  <c r="Q14" i="3"/>
  <c r="R14" i="3" s="1"/>
  <c r="P14" i="3"/>
  <c r="Y14" i="3" s="1"/>
  <c r="T14" i="3"/>
  <c r="I15" i="3" s="1"/>
  <c r="N15" i="3" l="1"/>
  <c r="O15" i="3" s="1"/>
  <c r="T110" i="2"/>
  <c r="T111" i="2" s="1"/>
  <c r="E5" i="7" s="1"/>
  <c r="D116" i="2"/>
  <c r="C116" i="2"/>
  <c r="C117" i="2"/>
  <c r="D117" i="2"/>
  <c r="N95" i="8"/>
  <c r="O95" i="8" s="1"/>
  <c r="R111" i="2"/>
  <c r="C5" i="7" s="1"/>
  <c r="V429" i="8"/>
  <c r="E516" i="8" s="1"/>
  <c r="W429" i="8"/>
  <c r="C516" i="8" s="1"/>
  <c r="J117" i="2" l="1"/>
  <c r="J116" i="2"/>
  <c r="J118" i="2" s="1"/>
  <c r="J115" i="2"/>
  <c r="X15" i="3"/>
  <c r="M16" i="3" s="1"/>
  <c r="T15" i="3"/>
  <c r="I16" i="3" s="1"/>
  <c r="Q15" i="3"/>
  <c r="R15" i="3" s="1"/>
  <c r="P15" i="3"/>
  <c r="Y15" i="3" s="1"/>
  <c r="W15" i="3"/>
  <c r="L16" i="3" s="1"/>
  <c r="V15" i="3"/>
  <c r="K16" i="3" s="1"/>
  <c r="U15" i="3"/>
  <c r="J16" i="3" s="1"/>
  <c r="X95" i="8"/>
  <c r="M96" i="8" s="1"/>
  <c r="V95" i="8"/>
  <c r="K96" i="8" s="1"/>
  <c r="U95" i="8"/>
  <c r="J96" i="8" s="1"/>
  <c r="T95" i="8"/>
  <c r="I96" i="8" s="1"/>
  <c r="Q95" i="8"/>
  <c r="R95" i="8" s="1"/>
  <c r="P95" i="8"/>
  <c r="Y95" i="8" s="1"/>
  <c r="W95" i="8"/>
  <c r="L96" i="8" s="1"/>
  <c r="N96" i="8" l="1"/>
  <c r="O96" i="8" s="1"/>
  <c r="N16" i="3"/>
  <c r="O16" i="3" s="1"/>
  <c r="X16" i="3" l="1"/>
  <c r="M17" i="3" s="1"/>
  <c r="W16" i="3"/>
  <c r="L17" i="3" s="1"/>
  <c r="V16" i="3"/>
  <c r="K17" i="3" s="1"/>
  <c r="U16" i="3"/>
  <c r="J17" i="3" s="1"/>
  <c r="T16" i="3"/>
  <c r="I17" i="3" s="1"/>
  <c r="Q16" i="3"/>
  <c r="R16" i="3" s="1"/>
  <c r="P16" i="3"/>
  <c r="Y16" i="3" s="1"/>
  <c r="X96" i="8"/>
  <c r="M97" i="8" s="1"/>
  <c r="V96" i="8"/>
  <c r="K97" i="8" s="1"/>
  <c r="U96" i="8"/>
  <c r="J97" i="8" s="1"/>
  <c r="T96" i="8"/>
  <c r="I97" i="8" s="1"/>
  <c r="Q96" i="8"/>
  <c r="R96" i="8" s="1"/>
  <c r="P96" i="8"/>
  <c r="Y96" i="8" s="1"/>
  <c r="W96" i="8"/>
  <c r="L97" i="8" s="1"/>
  <c r="N97" i="8" l="1"/>
  <c r="O97" i="8" s="1"/>
  <c r="N17" i="3"/>
  <c r="O17" i="3" s="1"/>
  <c r="X17" i="3" l="1"/>
  <c r="M18" i="3" s="1"/>
  <c r="W17" i="3"/>
  <c r="L18" i="3" s="1"/>
  <c r="V17" i="3"/>
  <c r="K18" i="3" s="1"/>
  <c r="U17" i="3"/>
  <c r="J18" i="3" s="1"/>
  <c r="T17" i="3"/>
  <c r="I18" i="3" s="1"/>
  <c r="Q17" i="3"/>
  <c r="R17" i="3" s="1"/>
  <c r="P17" i="3"/>
  <c r="Y17" i="3" s="1"/>
  <c r="X97" i="8"/>
  <c r="M98" i="8" s="1"/>
  <c r="V97" i="8"/>
  <c r="K98" i="8" s="1"/>
  <c r="U97" i="8"/>
  <c r="J98" i="8" s="1"/>
  <c r="T97" i="8"/>
  <c r="I98" i="8" s="1"/>
  <c r="Q97" i="8"/>
  <c r="R97" i="8" s="1"/>
  <c r="P97" i="8"/>
  <c r="Y97" i="8" s="1"/>
  <c r="W97" i="8"/>
  <c r="L98" i="8" s="1"/>
  <c r="N98" i="8" l="1"/>
  <c r="O98" i="8" s="1"/>
  <c r="N18" i="3"/>
  <c r="O18" i="3" s="1"/>
  <c r="X18" i="3" l="1"/>
  <c r="M19" i="3" s="1"/>
  <c r="W18" i="3"/>
  <c r="L19" i="3" s="1"/>
  <c r="V18" i="3"/>
  <c r="K19" i="3" s="1"/>
  <c r="U18" i="3"/>
  <c r="J19" i="3" s="1"/>
  <c r="T18" i="3"/>
  <c r="I19" i="3" s="1"/>
  <c r="Q18" i="3"/>
  <c r="R18" i="3" s="1"/>
  <c r="P18" i="3"/>
  <c r="Y18" i="3" s="1"/>
  <c r="X98" i="8"/>
  <c r="M99" i="8" s="1"/>
  <c r="V98" i="8"/>
  <c r="K99" i="8" s="1"/>
  <c r="U98" i="8"/>
  <c r="J99" i="8" s="1"/>
  <c r="T98" i="8"/>
  <c r="I99" i="8" s="1"/>
  <c r="Q98" i="8"/>
  <c r="R98" i="8" s="1"/>
  <c r="P98" i="8"/>
  <c r="Y98" i="8" s="1"/>
  <c r="W98" i="8"/>
  <c r="L99" i="8" s="1"/>
  <c r="N99" i="8" l="1"/>
  <c r="O99" i="8" s="1"/>
  <c r="N19" i="3"/>
  <c r="O19" i="3" s="1"/>
  <c r="X19" i="3" l="1"/>
  <c r="M20" i="3" s="1"/>
  <c r="T19" i="3"/>
  <c r="I20" i="3" s="1"/>
  <c r="Q19" i="3"/>
  <c r="R19" i="3" s="1"/>
  <c r="P19" i="3"/>
  <c r="Y19" i="3" s="1"/>
  <c r="W19" i="3"/>
  <c r="L20" i="3" s="1"/>
  <c r="U19" i="3"/>
  <c r="J20" i="3" s="1"/>
  <c r="V19" i="3"/>
  <c r="K20" i="3" s="1"/>
  <c r="X99" i="8"/>
  <c r="M100" i="8" s="1"/>
  <c r="V99" i="8"/>
  <c r="K100" i="8" s="1"/>
  <c r="U99" i="8"/>
  <c r="J100" i="8" s="1"/>
  <c r="T99" i="8"/>
  <c r="I100" i="8" s="1"/>
  <c r="Q99" i="8"/>
  <c r="R99" i="8" s="1"/>
  <c r="P99" i="8"/>
  <c r="Y99" i="8" s="1"/>
  <c r="W99" i="8"/>
  <c r="L100" i="8" s="1"/>
  <c r="N20" i="3" l="1"/>
  <c r="O20" i="3" s="1"/>
  <c r="N100" i="8"/>
  <c r="O100" i="8" s="1"/>
  <c r="X100" i="8" l="1"/>
  <c r="M101" i="8" s="1"/>
  <c r="V100" i="8"/>
  <c r="K101" i="8" s="1"/>
  <c r="U100" i="8"/>
  <c r="J101" i="8" s="1"/>
  <c r="T100" i="8"/>
  <c r="I101" i="8" s="1"/>
  <c r="Q100" i="8"/>
  <c r="R100" i="8" s="1"/>
  <c r="P100" i="8"/>
  <c r="Y100" i="8" s="1"/>
  <c r="W100" i="8"/>
  <c r="L101" i="8" s="1"/>
  <c r="X20" i="3"/>
  <c r="M21" i="3" s="1"/>
  <c r="W20" i="3"/>
  <c r="L21" i="3" s="1"/>
  <c r="V20" i="3"/>
  <c r="K21" i="3" s="1"/>
  <c r="U20" i="3"/>
  <c r="J21" i="3" s="1"/>
  <c r="T20" i="3"/>
  <c r="I21" i="3" s="1"/>
  <c r="Q20" i="3"/>
  <c r="R20" i="3" s="1"/>
  <c r="P20" i="3"/>
  <c r="Y20" i="3" s="1"/>
  <c r="N21" i="3" l="1"/>
  <c r="O21" i="3" s="1"/>
  <c r="N101" i="8"/>
  <c r="O101" i="8" s="1"/>
  <c r="X101" i="8" l="1"/>
  <c r="M102" i="8" s="1"/>
  <c r="V101" i="8"/>
  <c r="K102" i="8" s="1"/>
  <c r="U101" i="8"/>
  <c r="J102" i="8" s="1"/>
  <c r="T101" i="8"/>
  <c r="I102" i="8" s="1"/>
  <c r="Q101" i="8"/>
  <c r="R101" i="8" s="1"/>
  <c r="P101" i="8"/>
  <c r="Y101" i="8" s="1"/>
  <c r="W101" i="8"/>
  <c r="L102" i="8" s="1"/>
  <c r="X21" i="3"/>
  <c r="M22" i="3" s="1"/>
  <c r="W21" i="3"/>
  <c r="L22" i="3" s="1"/>
  <c r="V21" i="3"/>
  <c r="K22" i="3" s="1"/>
  <c r="U21" i="3"/>
  <c r="J22" i="3" s="1"/>
  <c r="T21" i="3"/>
  <c r="I22" i="3" s="1"/>
  <c r="Q21" i="3"/>
  <c r="R21" i="3" s="1"/>
  <c r="P21" i="3"/>
  <c r="Y21" i="3" s="1"/>
  <c r="N102" i="8" l="1"/>
  <c r="O102" i="8" s="1"/>
  <c r="N22" i="3"/>
  <c r="O22" i="3" s="1"/>
  <c r="X22" i="3" l="1"/>
  <c r="M23" i="3" s="1"/>
  <c r="W22" i="3"/>
  <c r="L23" i="3" s="1"/>
  <c r="V22" i="3"/>
  <c r="K23" i="3" s="1"/>
  <c r="U22" i="3"/>
  <c r="J23" i="3" s="1"/>
  <c r="T22" i="3"/>
  <c r="I23" i="3" s="1"/>
  <c r="Q22" i="3"/>
  <c r="R22" i="3" s="1"/>
  <c r="P22" i="3"/>
  <c r="Y22" i="3" s="1"/>
  <c r="X102" i="8"/>
  <c r="M103" i="8" s="1"/>
  <c r="V102" i="8"/>
  <c r="K103" i="8" s="1"/>
  <c r="U102" i="8"/>
  <c r="J103" i="8" s="1"/>
  <c r="T102" i="8"/>
  <c r="I103" i="8" s="1"/>
  <c r="Q102" i="8"/>
  <c r="R102" i="8" s="1"/>
  <c r="P102" i="8"/>
  <c r="Y102" i="8" s="1"/>
  <c r="W102" i="8"/>
  <c r="L103" i="8" s="1"/>
  <c r="N103" i="8" l="1"/>
  <c r="O103" i="8" s="1"/>
  <c r="N23" i="3"/>
  <c r="O23" i="3" s="1"/>
  <c r="X23" i="3" l="1"/>
  <c r="M24" i="3" s="1"/>
  <c r="T23" i="3"/>
  <c r="I24" i="3" s="1"/>
  <c r="Q23" i="3"/>
  <c r="R23" i="3" s="1"/>
  <c r="P23" i="3"/>
  <c r="Y23" i="3" s="1"/>
  <c r="W23" i="3"/>
  <c r="L24" i="3" s="1"/>
  <c r="V23" i="3"/>
  <c r="K24" i="3" s="1"/>
  <c r="U23" i="3"/>
  <c r="J24" i="3" s="1"/>
  <c r="X103" i="8"/>
  <c r="M104" i="8" s="1"/>
  <c r="V103" i="8"/>
  <c r="K104" i="8" s="1"/>
  <c r="U103" i="8"/>
  <c r="J104" i="8" s="1"/>
  <c r="T103" i="8"/>
  <c r="I104" i="8" s="1"/>
  <c r="Q103" i="8"/>
  <c r="R103" i="8" s="1"/>
  <c r="P103" i="8"/>
  <c r="Y103" i="8" s="1"/>
  <c r="W103" i="8"/>
  <c r="L104" i="8" s="1"/>
  <c r="N24" i="3" l="1"/>
  <c r="O24" i="3" s="1"/>
  <c r="N104" i="8"/>
  <c r="O104" i="8" s="1"/>
  <c r="X24" i="3" l="1"/>
  <c r="M25" i="3" s="1"/>
  <c r="W24" i="3"/>
  <c r="L25" i="3" s="1"/>
  <c r="V24" i="3"/>
  <c r="K25" i="3" s="1"/>
  <c r="U24" i="3"/>
  <c r="J25" i="3" s="1"/>
  <c r="T24" i="3"/>
  <c r="I25" i="3" s="1"/>
  <c r="Q24" i="3"/>
  <c r="R24" i="3" s="1"/>
  <c r="P24" i="3"/>
  <c r="Y24" i="3" s="1"/>
  <c r="X104" i="8"/>
  <c r="M105" i="8" s="1"/>
  <c r="V104" i="8"/>
  <c r="K105" i="8" s="1"/>
  <c r="U104" i="8"/>
  <c r="J105" i="8" s="1"/>
  <c r="T104" i="8"/>
  <c r="I105" i="8" s="1"/>
  <c r="Q104" i="8"/>
  <c r="R104" i="8" s="1"/>
  <c r="P104" i="8"/>
  <c r="Y104" i="8" s="1"/>
  <c r="W104" i="8"/>
  <c r="L105" i="8" s="1"/>
  <c r="N25" i="3" l="1"/>
  <c r="O25" i="3" s="1"/>
  <c r="N105" i="8"/>
  <c r="O105" i="8" s="1"/>
  <c r="X105" i="8" l="1"/>
  <c r="M106" i="8" s="1"/>
  <c r="V105" i="8"/>
  <c r="K106" i="8" s="1"/>
  <c r="U105" i="8"/>
  <c r="J106" i="8" s="1"/>
  <c r="T105" i="8"/>
  <c r="I106" i="8" s="1"/>
  <c r="Q105" i="8"/>
  <c r="R105" i="8" s="1"/>
  <c r="P105" i="8"/>
  <c r="Y105" i="8" s="1"/>
  <c r="W105" i="8"/>
  <c r="L106" i="8" s="1"/>
  <c r="X25" i="3"/>
  <c r="M26" i="3" s="1"/>
  <c r="W25" i="3"/>
  <c r="L26" i="3" s="1"/>
  <c r="V25" i="3"/>
  <c r="K26" i="3" s="1"/>
  <c r="U25" i="3"/>
  <c r="J26" i="3" s="1"/>
  <c r="T25" i="3"/>
  <c r="I26" i="3" s="1"/>
  <c r="Q25" i="3"/>
  <c r="R25" i="3" s="1"/>
  <c r="P25" i="3"/>
  <c r="Y25" i="3" s="1"/>
  <c r="N26" i="3" l="1"/>
  <c r="O26" i="3" s="1"/>
  <c r="N106" i="8"/>
  <c r="O106" i="8" s="1"/>
  <c r="X106" i="8" l="1"/>
  <c r="M107" i="8" s="1"/>
  <c r="V106" i="8"/>
  <c r="K107" i="8" s="1"/>
  <c r="U106" i="8"/>
  <c r="J107" i="8" s="1"/>
  <c r="T106" i="8"/>
  <c r="I107" i="8" s="1"/>
  <c r="Q106" i="8"/>
  <c r="R106" i="8" s="1"/>
  <c r="P106" i="8"/>
  <c r="Y106" i="8" s="1"/>
  <c r="W106" i="8"/>
  <c r="L107" i="8" s="1"/>
  <c r="X26" i="3"/>
  <c r="M27" i="3" s="1"/>
  <c r="W26" i="3"/>
  <c r="L27" i="3" s="1"/>
  <c r="V26" i="3"/>
  <c r="K27" i="3" s="1"/>
  <c r="U26" i="3"/>
  <c r="J27" i="3" s="1"/>
  <c r="Q26" i="3"/>
  <c r="R26" i="3" s="1"/>
  <c r="P26" i="3"/>
  <c r="Y26" i="3" s="1"/>
  <c r="T26" i="3"/>
  <c r="I27" i="3" s="1"/>
  <c r="N27" i="3" l="1"/>
  <c r="O27" i="3" s="1"/>
  <c r="N107" i="8"/>
  <c r="O107" i="8" s="1"/>
  <c r="X107" i="8" l="1"/>
  <c r="M108" i="8" s="1"/>
  <c r="V107" i="8"/>
  <c r="K108" i="8" s="1"/>
  <c r="U107" i="8"/>
  <c r="J108" i="8" s="1"/>
  <c r="T107" i="8"/>
  <c r="I108" i="8" s="1"/>
  <c r="Q107" i="8"/>
  <c r="R107" i="8" s="1"/>
  <c r="P107" i="8"/>
  <c r="Y107" i="8" s="1"/>
  <c r="W107" i="8"/>
  <c r="L108" i="8" s="1"/>
  <c r="X27" i="3"/>
  <c r="M28" i="3" s="1"/>
  <c r="T27" i="3"/>
  <c r="I28" i="3" s="1"/>
  <c r="Q27" i="3"/>
  <c r="R27" i="3" s="1"/>
  <c r="P27" i="3"/>
  <c r="Y27" i="3" s="1"/>
  <c r="W27" i="3"/>
  <c r="L28" i="3" s="1"/>
  <c r="V27" i="3"/>
  <c r="K28" i="3" s="1"/>
  <c r="U27" i="3"/>
  <c r="J28" i="3" s="1"/>
  <c r="N28" i="3" l="1"/>
  <c r="O28" i="3" s="1"/>
  <c r="N108" i="8"/>
  <c r="O108" i="8" s="1"/>
  <c r="X108" i="8" l="1"/>
  <c r="M109" i="8" s="1"/>
  <c r="V108" i="8"/>
  <c r="K109" i="8" s="1"/>
  <c r="U108" i="8"/>
  <c r="J109" i="8" s="1"/>
  <c r="T108" i="8"/>
  <c r="I109" i="8" s="1"/>
  <c r="Q108" i="8"/>
  <c r="R108" i="8" s="1"/>
  <c r="P108" i="8"/>
  <c r="Y108" i="8" s="1"/>
  <c r="W108" i="8"/>
  <c r="L109" i="8" s="1"/>
  <c r="X28" i="3"/>
  <c r="M29" i="3" s="1"/>
  <c r="W28" i="3"/>
  <c r="L29" i="3" s="1"/>
  <c r="V28" i="3"/>
  <c r="K29" i="3" s="1"/>
  <c r="U28" i="3"/>
  <c r="J29" i="3" s="1"/>
  <c r="T28" i="3"/>
  <c r="I29" i="3" s="1"/>
  <c r="Q28" i="3"/>
  <c r="R28" i="3" s="1"/>
  <c r="P28" i="3"/>
  <c r="Y28" i="3" s="1"/>
  <c r="N29" i="3" l="1"/>
  <c r="O29" i="3" s="1"/>
  <c r="N109" i="8"/>
  <c r="O109" i="8" s="1"/>
  <c r="X109" i="8" l="1"/>
  <c r="M110" i="8" s="1"/>
  <c r="V109" i="8"/>
  <c r="K110" i="8" s="1"/>
  <c r="U109" i="8"/>
  <c r="J110" i="8" s="1"/>
  <c r="T109" i="8"/>
  <c r="I110" i="8" s="1"/>
  <c r="Q109" i="8"/>
  <c r="R109" i="8" s="1"/>
  <c r="P109" i="8"/>
  <c r="Y109" i="8" s="1"/>
  <c r="W109" i="8"/>
  <c r="L110" i="8" s="1"/>
  <c r="X29" i="3"/>
  <c r="M30" i="3" s="1"/>
  <c r="W29" i="3"/>
  <c r="L30" i="3" s="1"/>
  <c r="V29" i="3"/>
  <c r="K30" i="3" s="1"/>
  <c r="U29" i="3"/>
  <c r="J30" i="3" s="1"/>
  <c r="T29" i="3"/>
  <c r="I30" i="3" s="1"/>
  <c r="Q29" i="3"/>
  <c r="R29" i="3" s="1"/>
  <c r="P29" i="3"/>
  <c r="Y29" i="3" s="1"/>
  <c r="N30" i="3" l="1"/>
  <c r="O30" i="3" s="1"/>
  <c r="N110" i="8"/>
  <c r="O110" i="8" s="1"/>
  <c r="X110" i="8" l="1"/>
  <c r="M111" i="8" s="1"/>
  <c r="V110" i="8"/>
  <c r="K111" i="8" s="1"/>
  <c r="U110" i="8"/>
  <c r="J111" i="8" s="1"/>
  <c r="T110" i="8"/>
  <c r="I111" i="8" s="1"/>
  <c r="Q110" i="8"/>
  <c r="R110" i="8" s="1"/>
  <c r="P110" i="8"/>
  <c r="Y110" i="8" s="1"/>
  <c r="W110" i="8"/>
  <c r="L111" i="8" s="1"/>
  <c r="X30" i="3"/>
  <c r="M31" i="3" s="1"/>
  <c r="W30" i="3"/>
  <c r="L31" i="3" s="1"/>
  <c r="V30" i="3"/>
  <c r="K31" i="3" s="1"/>
  <c r="U30" i="3"/>
  <c r="J31" i="3" s="1"/>
  <c r="T30" i="3"/>
  <c r="I31" i="3" s="1"/>
  <c r="Q30" i="3"/>
  <c r="R30" i="3" s="1"/>
  <c r="P30" i="3"/>
  <c r="Y30" i="3" s="1"/>
  <c r="N31" i="3" l="1"/>
  <c r="O31" i="3" s="1"/>
  <c r="N111" i="8"/>
  <c r="O111" i="8" s="1"/>
  <c r="X111" i="8" l="1"/>
  <c r="M112" i="8" s="1"/>
  <c r="V111" i="8"/>
  <c r="K112" i="8" s="1"/>
  <c r="U111" i="8"/>
  <c r="J112" i="8" s="1"/>
  <c r="T111" i="8"/>
  <c r="I112" i="8" s="1"/>
  <c r="Q111" i="8"/>
  <c r="R111" i="8" s="1"/>
  <c r="P111" i="8"/>
  <c r="Y111" i="8" s="1"/>
  <c r="W111" i="8"/>
  <c r="L112" i="8" s="1"/>
  <c r="X31" i="3"/>
  <c r="M32" i="3" s="1"/>
  <c r="T31" i="3"/>
  <c r="I32" i="3" s="1"/>
  <c r="Q31" i="3"/>
  <c r="R31" i="3" s="1"/>
  <c r="P31" i="3"/>
  <c r="Y31" i="3" s="1"/>
  <c r="W31" i="3"/>
  <c r="L32" i="3" s="1"/>
  <c r="V31" i="3"/>
  <c r="K32" i="3" s="1"/>
  <c r="U31" i="3"/>
  <c r="J32" i="3" s="1"/>
  <c r="N32" i="3" l="1"/>
  <c r="O32" i="3" s="1"/>
  <c r="N112" i="8"/>
  <c r="O112" i="8" s="1"/>
  <c r="X112" i="8" l="1"/>
  <c r="M113" i="8" s="1"/>
  <c r="V112" i="8"/>
  <c r="K113" i="8" s="1"/>
  <c r="U112" i="8"/>
  <c r="J113" i="8" s="1"/>
  <c r="T112" i="8"/>
  <c r="I113" i="8" s="1"/>
  <c r="Q112" i="8"/>
  <c r="R112" i="8" s="1"/>
  <c r="P112" i="8"/>
  <c r="Y112" i="8" s="1"/>
  <c r="W112" i="8"/>
  <c r="L113" i="8" s="1"/>
  <c r="X32" i="3"/>
  <c r="M33" i="3" s="1"/>
  <c r="W32" i="3"/>
  <c r="L33" i="3" s="1"/>
  <c r="V32" i="3"/>
  <c r="K33" i="3" s="1"/>
  <c r="U32" i="3"/>
  <c r="J33" i="3" s="1"/>
  <c r="T32" i="3"/>
  <c r="I33" i="3" s="1"/>
  <c r="Q32" i="3"/>
  <c r="R32" i="3" s="1"/>
  <c r="P32" i="3"/>
  <c r="Y32" i="3" s="1"/>
  <c r="N33" i="3" l="1"/>
  <c r="O33" i="3" s="1"/>
  <c r="N113" i="8"/>
  <c r="O113" i="8" s="1"/>
  <c r="X113" i="8" l="1"/>
  <c r="M114" i="8" s="1"/>
  <c r="V113" i="8"/>
  <c r="K114" i="8" s="1"/>
  <c r="U113" i="8"/>
  <c r="J114" i="8" s="1"/>
  <c r="T113" i="8"/>
  <c r="I114" i="8" s="1"/>
  <c r="Q113" i="8"/>
  <c r="R113" i="8" s="1"/>
  <c r="P113" i="8"/>
  <c r="Y113" i="8" s="1"/>
  <c r="W113" i="8"/>
  <c r="L114" i="8" s="1"/>
  <c r="X33" i="3"/>
  <c r="M34" i="3" s="1"/>
  <c r="W33" i="3"/>
  <c r="L34" i="3" s="1"/>
  <c r="V33" i="3"/>
  <c r="K34" i="3" s="1"/>
  <c r="U33" i="3"/>
  <c r="J34" i="3" s="1"/>
  <c r="T33" i="3"/>
  <c r="I34" i="3" s="1"/>
  <c r="Q33" i="3"/>
  <c r="R33" i="3" s="1"/>
  <c r="P33" i="3"/>
  <c r="Y33" i="3" s="1"/>
  <c r="N34" i="3" l="1"/>
  <c r="O34" i="3" s="1"/>
  <c r="N114" i="8"/>
  <c r="O114" i="8" s="1"/>
  <c r="X34" i="3" l="1"/>
  <c r="M35" i="3" s="1"/>
  <c r="W34" i="3"/>
  <c r="L35" i="3" s="1"/>
  <c r="V34" i="3"/>
  <c r="K35" i="3" s="1"/>
  <c r="U34" i="3"/>
  <c r="J35" i="3" s="1"/>
  <c r="P34" i="3"/>
  <c r="Y34" i="3" s="1"/>
  <c r="T34" i="3"/>
  <c r="I35" i="3" s="1"/>
  <c r="Q34" i="3"/>
  <c r="R34" i="3" s="1"/>
  <c r="X114" i="8"/>
  <c r="M115" i="8" s="1"/>
  <c r="V114" i="8"/>
  <c r="K115" i="8" s="1"/>
  <c r="U114" i="8"/>
  <c r="J115" i="8" s="1"/>
  <c r="T114" i="8"/>
  <c r="I115" i="8" s="1"/>
  <c r="Q114" i="8"/>
  <c r="R114" i="8" s="1"/>
  <c r="P114" i="8"/>
  <c r="Y114" i="8" s="1"/>
  <c r="W114" i="8"/>
  <c r="L115" i="8" s="1"/>
  <c r="N115" i="8" l="1"/>
  <c r="O115" i="8" s="1"/>
  <c r="N35" i="3"/>
  <c r="O35" i="3" s="1"/>
  <c r="P35" i="3" l="1"/>
  <c r="Y35" i="3" s="1"/>
  <c r="X35" i="3"/>
  <c r="M36" i="3" s="1"/>
  <c r="U35" i="3"/>
  <c r="J36" i="3" s="1"/>
  <c r="T35" i="3"/>
  <c r="I36" i="3" s="1"/>
  <c r="Q35" i="3"/>
  <c r="R35" i="3" s="1"/>
  <c r="W35" i="3"/>
  <c r="L36" i="3" s="1"/>
  <c r="V35" i="3"/>
  <c r="K36" i="3" s="1"/>
  <c r="X115" i="8"/>
  <c r="M116" i="8" s="1"/>
  <c r="V115" i="8"/>
  <c r="K116" i="8" s="1"/>
  <c r="U115" i="8"/>
  <c r="J116" i="8" s="1"/>
  <c r="T115" i="8"/>
  <c r="I116" i="8" s="1"/>
  <c r="Q115" i="8"/>
  <c r="R115" i="8" s="1"/>
  <c r="P115" i="8"/>
  <c r="Y115" i="8" s="1"/>
  <c r="W115" i="8"/>
  <c r="L116" i="8" s="1"/>
  <c r="N116" i="8" l="1"/>
  <c r="O116" i="8" s="1"/>
  <c r="N36" i="3"/>
  <c r="O36" i="3" s="1"/>
  <c r="P36" i="3" l="1"/>
  <c r="Y36" i="3" s="1"/>
  <c r="X36" i="3"/>
  <c r="M37" i="3" s="1"/>
  <c r="W36" i="3"/>
  <c r="L37" i="3" s="1"/>
  <c r="V36" i="3"/>
  <c r="K37" i="3" s="1"/>
  <c r="U36" i="3"/>
  <c r="J37" i="3" s="1"/>
  <c r="T36" i="3"/>
  <c r="I37" i="3" s="1"/>
  <c r="Q36" i="3"/>
  <c r="R36" i="3" s="1"/>
  <c r="X116" i="8"/>
  <c r="M117" i="8" s="1"/>
  <c r="V116" i="8"/>
  <c r="K117" i="8" s="1"/>
  <c r="U116" i="8"/>
  <c r="J117" i="8" s="1"/>
  <c r="T116" i="8"/>
  <c r="I117" i="8" s="1"/>
  <c r="Q116" i="8"/>
  <c r="R116" i="8" s="1"/>
  <c r="P116" i="8"/>
  <c r="Y116" i="8" s="1"/>
  <c r="W116" i="8"/>
  <c r="L117" i="8" s="1"/>
  <c r="N117" i="8" l="1"/>
  <c r="O117" i="8" s="1"/>
  <c r="N37" i="3"/>
  <c r="O37" i="3" s="1"/>
  <c r="P117" i="8" l="1"/>
  <c r="Y117" i="8" s="1"/>
  <c r="W117" i="8"/>
  <c r="L118" i="8" s="1"/>
  <c r="V117" i="8"/>
  <c r="K118" i="8" s="1"/>
  <c r="U117" i="8"/>
  <c r="J118" i="8" s="1"/>
  <c r="T117" i="8"/>
  <c r="I118" i="8" s="1"/>
  <c r="Q117" i="8"/>
  <c r="R117" i="8" s="1"/>
  <c r="X117" i="8"/>
  <c r="M118" i="8" s="1"/>
  <c r="P37" i="3"/>
  <c r="Y37" i="3" s="1"/>
  <c r="X37" i="3"/>
  <c r="M38" i="3" s="1"/>
  <c r="W37" i="3"/>
  <c r="L38" i="3" s="1"/>
  <c r="V37" i="3"/>
  <c r="K38" i="3" s="1"/>
  <c r="T37" i="3"/>
  <c r="I38" i="3" s="1"/>
  <c r="U37" i="3"/>
  <c r="J38" i="3" s="1"/>
  <c r="Q37" i="3"/>
  <c r="R37" i="3" s="1"/>
  <c r="N118" i="8" l="1"/>
  <c r="O118" i="8" s="1"/>
  <c r="N38" i="3"/>
  <c r="O38" i="3" s="1"/>
  <c r="P38" i="3" l="1"/>
  <c r="Y38" i="3" s="1"/>
  <c r="X38" i="3"/>
  <c r="M39" i="3" s="1"/>
  <c r="W38" i="3"/>
  <c r="L39" i="3" s="1"/>
  <c r="V38" i="3"/>
  <c r="K39" i="3" s="1"/>
  <c r="U38" i="3"/>
  <c r="J39" i="3" s="1"/>
  <c r="T38" i="3"/>
  <c r="I39" i="3" s="1"/>
  <c r="Q38" i="3"/>
  <c r="R38" i="3" s="1"/>
  <c r="Q118" i="8"/>
  <c r="R118" i="8" s="1"/>
  <c r="P118" i="8"/>
  <c r="Y118" i="8" s="1"/>
  <c r="X118" i="8"/>
  <c r="M119" i="8" s="1"/>
  <c r="W118" i="8"/>
  <c r="L119" i="8" s="1"/>
  <c r="V118" i="8"/>
  <c r="K119" i="8" s="1"/>
  <c r="U118" i="8"/>
  <c r="J119" i="8" s="1"/>
  <c r="T118" i="8"/>
  <c r="I119" i="8" s="1"/>
  <c r="N119" i="8" l="1"/>
  <c r="O119" i="8" s="1"/>
  <c r="N39" i="3"/>
  <c r="O39" i="3" s="1"/>
  <c r="P39" i="3" l="1"/>
  <c r="Y39" i="3" s="1"/>
  <c r="X39" i="3"/>
  <c r="M40" i="3" s="1"/>
  <c r="W39" i="3"/>
  <c r="L40" i="3" s="1"/>
  <c r="V39" i="3"/>
  <c r="K40" i="3" s="1"/>
  <c r="U39" i="3"/>
  <c r="J40" i="3" s="1"/>
  <c r="T39" i="3"/>
  <c r="I40" i="3" s="1"/>
  <c r="Q39" i="3"/>
  <c r="R39" i="3" s="1"/>
  <c r="Q119" i="8"/>
  <c r="R119" i="8" s="1"/>
  <c r="P119" i="8"/>
  <c r="Y119" i="8" s="1"/>
  <c r="X119" i="8"/>
  <c r="M120" i="8" s="1"/>
  <c r="W119" i="8"/>
  <c r="L120" i="8" s="1"/>
  <c r="V119" i="8"/>
  <c r="K120" i="8" s="1"/>
  <c r="U119" i="8"/>
  <c r="J120" i="8" s="1"/>
  <c r="T119" i="8"/>
  <c r="I120" i="8" s="1"/>
  <c r="N40" i="3" l="1"/>
  <c r="O40" i="3" s="1"/>
  <c r="N120" i="8"/>
  <c r="O120" i="8" s="1"/>
  <c r="Q120" i="8" l="1"/>
  <c r="R120" i="8" s="1"/>
  <c r="P120" i="8"/>
  <c r="Y120" i="8" s="1"/>
  <c r="V120" i="8"/>
  <c r="K121" i="8" s="1"/>
  <c r="U120" i="8"/>
  <c r="J121" i="8" s="1"/>
  <c r="T120" i="8"/>
  <c r="I121" i="8" s="1"/>
  <c r="X120" i="8"/>
  <c r="M121" i="8" s="1"/>
  <c r="W120" i="8"/>
  <c r="L121" i="8" s="1"/>
  <c r="P40" i="3"/>
  <c r="Y40" i="3" s="1"/>
  <c r="X40" i="3"/>
  <c r="M41" i="3" s="1"/>
  <c r="Q40" i="3"/>
  <c r="R40" i="3" s="1"/>
  <c r="V40" i="3"/>
  <c r="K41" i="3" s="1"/>
  <c r="W40" i="3"/>
  <c r="L41" i="3" s="1"/>
  <c r="U40" i="3"/>
  <c r="J41" i="3" s="1"/>
  <c r="T40" i="3"/>
  <c r="I41" i="3" s="1"/>
  <c r="N41" i="3" l="1"/>
  <c r="O41" i="3" s="1"/>
  <c r="N121" i="8"/>
  <c r="O121" i="8" s="1"/>
  <c r="Q121" i="8" l="1"/>
  <c r="R121" i="8" s="1"/>
  <c r="P121" i="8"/>
  <c r="Y121" i="8" s="1"/>
  <c r="X121" i="8"/>
  <c r="M122" i="8" s="1"/>
  <c r="V121" i="8"/>
  <c r="K122" i="8" s="1"/>
  <c r="U121" i="8"/>
  <c r="J122" i="8" s="1"/>
  <c r="T121" i="8"/>
  <c r="I122" i="8" s="1"/>
  <c r="W121" i="8"/>
  <c r="L122" i="8" s="1"/>
  <c r="Q41" i="3"/>
  <c r="R41" i="3" s="1"/>
  <c r="P41" i="3"/>
  <c r="Y41" i="3" s="1"/>
  <c r="X41" i="3"/>
  <c r="M42" i="3" s="1"/>
  <c r="W41" i="3"/>
  <c r="L42" i="3" s="1"/>
  <c r="V41" i="3"/>
  <c r="K42" i="3" s="1"/>
  <c r="U41" i="3"/>
  <c r="J42" i="3" s="1"/>
  <c r="T41" i="3"/>
  <c r="I42" i="3" s="1"/>
  <c r="N42" i="3" l="1"/>
  <c r="O42" i="3" s="1"/>
  <c r="N122" i="8"/>
  <c r="O122" i="8" s="1"/>
  <c r="Q122" i="8" l="1"/>
  <c r="R122" i="8" s="1"/>
  <c r="P122" i="8"/>
  <c r="Y122" i="8" s="1"/>
  <c r="X122" i="8"/>
  <c r="M123" i="8" s="1"/>
  <c r="W122" i="8"/>
  <c r="L123" i="8" s="1"/>
  <c r="V122" i="8"/>
  <c r="K123" i="8" s="1"/>
  <c r="U122" i="8"/>
  <c r="J123" i="8" s="1"/>
  <c r="T122" i="8"/>
  <c r="I123" i="8" s="1"/>
  <c r="Q42" i="3"/>
  <c r="R42" i="3" s="1"/>
  <c r="P42" i="3"/>
  <c r="Y42" i="3" s="1"/>
  <c r="X42" i="3"/>
  <c r="M43" i="3" s="1"/>
  <c r="W42" i="3"/>
  <c r="L43" i="3" s="1"/>
  <c r="V42" i="3"/>
  <c r="K43" i="3" s="1"/>
  <c r="T42" i="3"/>
  <c r="I43" i="3" s="1"/>
  <c r="U42" i="3"/>
  <c r="J43" i="3" s="1"/>
  <c r="N43" i="3" l="1"/>
  <c r="O43" i="3" s="1"/>
  <c r="N123" i="8"/>
  <c r="O123" i="8" s="1"/>
  <c r="Q43" i="3" l="1"/>
  <c r="R43" i="3" s="1"/>
  <c r="P43" i="3"/>
  <c r="Y43" i="3" s="1"/>
  <c r="X43" i="3"/>
  <c r="M44" i="3" s="1"/>
  <c r="W43" i="3"/>
  <c r="L44" i="3" s="1"/>
  <c r="V43" i="3"/>
  <c r="K44" i="3" s="1"/>
  <c r="U43" i="3"/>
  <c r="J44" i="3" s="1"/>
  <c r="T43" i="3"/>
  <c r="I44" i="3" s="1"/>
  <c r="Q123" i="8"/>
  <c r="R123" i="8" s="1"/>
  <c r="P123" i="8"/>
  <c r="Y123" i="8" s="1"/>
  <c r="X123" i="8"/>
  <c r="M124" i="8" s="1"/>
  <c r="W123" i="8"/>
  <c r="L124" i="8" s="1"/>
  <c r="V123" i="8"/>
  <c r="K124" i="8" s="1"/>
  <c r="U123" i="8"/>
  <c r="J124" i="8" s="1"/>
  <c r="T123" i="8"/>
  <c r="I124" i="8" s="1"/>
  <c r="N124" i="8" l="1"/>
  <c r="O124" i="8" s="1"/>
  <c r="N44" i="3"/>
  <c r="O44" i="3" s="1"/>
  <c r="Q44" i="3" l="1"/>
  <c r="R44" i="3" s="1"/>
  <c r="P44" i="3"/>
  <c r="Y44" i="3" s="1"/>
  <c r="X44" i="3"/>
  <c r="M45" i="3" s="1"/>
  <c r="W44" i="3"/>
  <c r="L45" i="3" s="1"/>
  <c r="V44" i="3"/>
  <c r="K45" i="3" s="1"/>
  <c r="U44" i="3"/>
  <c r="J45" i="3" s="1"/>
  <c r="T44" i="3"/>
  <c r="I45" i="3" s="1"/>
  <c r="Q124" i="8"/>
  <c r="R124" i="8" s="1"/>
  <c r="P124" i="8"/>
  <c r="Y124" i="8" s="1"/>
  <c r="V124" i="8"/>
  <c r="K125" i="8" s="1"/>
  <c r="U124" i="8"/>
  <c r="J125" i="8" s="1"/>
  <c r="T124" i="8"/>
  <c r="I125" i="8" s="1"/>
  <c r="X124" i="8"/>
  <c r="M125" i="8" s="1"/>
  <c r="W124" i="8"/>
  <c r="L125" i="8" s="1"/>
  <c r="N125" i="8" l="1"/>
  <c r="O125" i="8" s="1"/>
  <c r="N45" i="3"/>
  <c r="O45" i="3" s="1"/>
  <c r="Q45" i="3" l="1"/>
  <c r="R45" i="3" s="1"/>
  <c r="P45" i="3"/>
  <c r="Y45" i="3" s="1"/>
  <c r="X45" i="3"/>
  <c r="M46" i="3" s="1"/>
  <c r="V45" i="3"/>
  <c r="K46" i="3" s="1"/>
  <c r="U45" i="3"/>
  <c r="J46" i="3" s="1"/>
  <c r="T45" i="3"/>
  <c r="I46" i="3" s="1"/>
  <c r="W45" i="3"/>
  <c r="L46" i="3" s="1"/>
  <c r="Q125" i="8"/>
  <c r="R125" i="8" s="1"/>
  <c r="P125" i="8"/>
  <c r="Y125" i="8" s="1"/>
  <c r="X125" i="8"/>
  <c r="M126" i="8" s="1"/>
  <c r="V125" i="8"/>
  <c r="K126" i="8" s="1"/>
  <c r="U125" i="8"/>
  <c r="J126" i="8" s="1"/>
  <c r="T125" i="8"/>
  <c r="I126" i="8" s="1"/>
  <c r="W125" i="8"/>
  <c r="L126" i="8" s="1"/>
  <c r="N126" i="8" l="1"/>
  <c r="O126" i="8" s="1"/>
  <c r="N46" i="3"/>
  <c r="O46" i="3" s="1"/>
  <c r="Q46" i="3" l="1"/>
  <c r="R46" i="3" s="1"/>
  <c r="P46" i="3"/>
  <c r="Y46" i="3" s="1"/>
  <c r="X46" i="3"/>
  <c r="M47" i="3" s="1"/>
  <c r="W46" i="3"/>
  <c r="L47" i="3" s="1"/>
  <c r="V46" i="3"/>
  <c r="K47" i="3" s="1"/>
  <c r="U46" i="3"/>
  <c r="J47" i="3" s="1"/>
  <c r="T46" i="3"/>
  <c r="I47" i="3" s="1"/>
  <c r="Q126" i="8"/>
  <c r="R126" i="8" s="1"/>
  <c r="P126" i="8"/>
  <c r="Y126" i="8" s="1"/>
  <c r="X126" i="8"/>
  <c r="M127" i="8" s="1"/>
  <c r="W126" i="8"/>
  <c r="L127" i="8" s="1"/>
  <c r="V126" i="8"/>
  <c r="K127" i="8" s="1"/>
  <c r="U126" i="8"/>
  <c r="J127" i="8" s="1"/>
  <c r="T126" i="8"/>
  <c r="I127" i="8" s="1"/>
  <c r="N47" i="3" l="1"/>
  <c r="O47" i="3" s="1"/>
  <c r="N127" i="8"/>
  <c r="O127" i="8" s="1"/>
  <c r="Q127" i="8" l="1"/>
  <c r="R127" i="8" s="1"/>
  <c r="P127" i="8"/>
  <c r="Y127" i="8" s="1"/>
  <c r="X127" i="8"/>
  <c r="M128" i="8" s="1"/>
  <c r="W127" i="8"/>
  <c r="L128" i="8" s="1"/>
  <c r="V127" i="8"/>
  <c r="K128" i="8" s="1"/>
  <c r="U127" i="8"/>
  <c r="J128" i="8" s="1"/>
  <c r="T127" i="8"/>
  <c r="I128" i="8" s="1"/>
  <c r="Q47" i="3"/>
  <c r="R47" i="3" s="1"/>
  <c r="P47" i="3"/>
  <c r="Y47" i="3" s="1"/>
  <c r="X47" i="3"/>
  <c r="M48" i="3" s="1"/>
  <c r="U47" i="3"/>
  <c r="J48" i="3" s="1"/>
  <c r="T47" i="3"/>
  <c r="I48" i="3" s="1"/>
  <c r="W47" i="3"/>
  <c r="L48" i="3" s="1"/>
  <c r="V47" i="3"/>
  <c r="K48" i="3" s="1"/>
  <c r="N48" i="3" l="1"/>
  <c r="O48" i="3" s="1"/>
  <c r="N128" i="8"/>
  <c r="O128" i="8" s="1"/>
  <c r="Q128" i="8" l="1"/>
  <c r="R128" i="8" s="1"/>
  <c r="P128" i="8"/>
  <c r="Y128" i="8" s="1"/>
  <c r="V128" i="8"/>
  <c r="K129" i="8" s="1"/>
  <c r="U128" i="8"/>
  <c r="J129" i="8" s="1"/>
  <c r="T128" i="8"/>
  <c r="I129" i="8" s="1"/>
  <c r="X128" i="8"/>
  <c r="M129" i="8" s="1"/>
  <c r="W128" i="8"/>
  <c r="L129" i="8" s="1"/>
  <c r="Q48" i="3"/>
  <c r="R48" i="3" s="1"/>
  <c r="P48" i="3"/>
  <c r="Y48" i="3" s="1"/>
  <c r="X48" i="3"/>
  <c r="M49" i="3" s="1"/>
  <c r="W48" i="3"/>
  <c r="L49" i="3" s="1"/>
  <c r="V48" i="3"/>
  <c r="K49" i="3" s="1"/>
  <c r="U48" i="3"/>
  <c r="J49" i="3" s="1"/>
  <c r="T48" i="3"/>
  <c r="I49" i="3" s="1"/>
  <c r="N49" i="3" l="1"/>
  <c r="O49" i="3" s="1"/>
  <c r="N129" i="8"/>
  <c r="O129" i="8" s="1"/>
  <c r="Q129" i="8" l="1"/>
  <c r="R129" i="8" s="1"/>
  <c r="P129" i="8"/>
  <c r="Y129" i="8" s="1"/>
  <c r="X129" i="8"/>
  <c r="M130" i="8" s="1"/>
  <c r="V129" i="8"/>
  <c r="K130" i="8" s="1"/>
  <c r="U129" i="8"/>
  <c r="J130" i="8" s="1"/>
  <c r="T129" i="8"/>
  <c r="I130" i="8" s="1"/>
  <c r="W129" i="8"/>
  <c r="L130" i="8" s="1"/>
  <c r="Q49" i="3"/>
  <c r="R49" i="3" s="1"/>
  <c r="P49" i="3"/>
  <c r="Y49" i="3" s="1"/>
  <c r="X49" i="3"/>
  <c r="M50" i="3" s="1"/>
  <c r="W49" i="3"/>
  <c r="L50" i="3" s="1"/>
  <c r="V49" i="3"/>
  <c r="K50" i="3" s="1"/>
  <c r="U49" i="3"/>
  <c r="J50" i="3" s="1"/>
  <c r="T49" i="3"/>
  <c r="I50" i="3" s="1"/>
  <c r="N130" i="8" l="1"/>
  <c r="O130" i="8" s="1"/>
  <c r="N50" i="3"/>
  <c r="O50" i="3" s="1"/>
  <c r="Q50" i="3" l="1"/>
  <c r="R50" i="3" s="1"/>
  <c r="P50" i="3"/>
  <c r="Y50" i="3" s="1"/>
  <c r="X50" i="3"/>
  <c r="M51" i="3" s="1"/>
  <c r="W50" i="3"/>
  <c r="L51" i="3" s="1"/>
  <c r="V50" i="3"/>
  <c r="K51" i="3" s="1"/>
  <c r="U50" i="3"/>
  <c r="J51" i="3" s="1"/>
  <c r="T50" i="3"/>
  <c r="I51" i="3" s="1"/>
  <c r="Q130" i="8"/>
  <c r="R130" i="8" s="1"/>
  <c r="P130" i="8"/>
  <c r="Y130" i="8" s="1"/>
  <c r="X130" i="8"/>
  <c r="M131" i="8" s="1"/>
  <c r="W130" i="8"/>
  <c r="L131" i="8" s="1"/>
  <c r="V130" i="8"/>
  <c r="K131" i="8" s="1"/>
  <c r="U130" i="8"/>
  <c r="J131" i="8" s="1"/>
  <c r="T130" i="8"/>
  <c r="I131" i="8" s="1"/>
  <c r="N131" i="8" l="1"/>
  <c r="O131" i="8" s="1"/>
  <c r="N51" i="3"/>
  <c r="O51" i="3" s="1"/>
  <c r="Q51" i="3" l="1"/>
  <c r="R51" i="3" s="1"/>
  <c r="P51" i="3"/>
  <c r="Y51" i="3" s="1"/>
  <c r="X51" i="3"/>
  <c r="M52" i="3" s="1"/>
  <c r="W51" i="3"/>
  <c r="L52" i="3" s="1"/>
  <c r="V51" i="3"/>
  <c r="K52" i="3" s="1"/>
  <c r="U51" i="3"/>
  <c r="J52" i="3" s="1"/>
  <c r="T51" i="3"/>
  <c r="I52" i="3" s="1"/>
  <c r="Q131" i="8"/>
  <c r="R131" i="8" s="1"/>
  <c r="P131" i="8"/>
  <c r="Y131" i="8" s="1"/>
  <c r="X131" i="8"/>
  <c r="M132" i="8" s="1"/>
  <c r="W131" i="8"/>
  <c r="L132" i="8" s="1"/>
  <c r="V131" i="8"/>
  <c r="K132" i="8" s="1"/>
  <c r="U131" i="8"/>
  <c r="J132" i="8" s="1"/>
  <c r="T131" i="8"/>
  <c r="I132" i="8" s="1"/>
  <c r="N52" i="3" l="1"/>
  <c r="O52" i="3" s="1"/>
  <c r="N132" i="8"/>
  <c r="O132" i="8" s="1"/>
  <c r="Q132" i="8" l="1"/>
  <c r="R132" i="8" s="1"/>
  <c r="P132" i="8"/>
  <c r="Y132" i="8" s="1"/>
  <c r="V132" i="8"/>
  <c r="K133" i="8" s="1"/>
  <c r="U132" i="8"/>
  <c r="J133" i="8" s="1"/>
  <c r="T132" i="8"/>
  <c r="I133" i="8" s="1"/>
  <c r="X132" i="8"/>
  <c r="M133" i="8" s="1"/>
  <c r="W132" i="8"/>
  <c r="L133" i="8" s="1"/>
  <c r="Q52" i="3"/>
  <c r="R52" i="3" s="1"/>
  <c r="P52" i="3"/>
  <c r="Y52" i="3" s="1"/>
  <c r="X52" i="3"/>
  <c r="M53" i="3" s="1"/>
  <c r="W52" i="3"/>
  <c r="L53" i="3" s="1"/>
  <c r="U52" i="3"/>
  <c r="J53" i="3" s="1"/>
  <c r="T52" i="3"/>
  <c r="I53" i="3" s="1"/>
  <c r="V52" i="3"/>
  <c r="K53" i="3" s="1"/>
  <c r="N133" i="8" l="1"/>
  <c r="O133" i="8" s="1"/>
  <c r="N53" i="3"/>
  <c r="O53" i="3" s="1"/>
  <c r="Q53" i="3" l="1"/>
  <c r="R53" i="3" s="1"/>
  <c r="P53" i="3"/>
  <c r="Y53" i="3" s="1"/>
  <c r="X53" i="3"/>
  <c r="M54" i="3" s="1"/>
  <c r="W53" i="3"/>
  <c r="L54" i="3" s="1"/>
  <c r="V53" i="3"/>
  <c r="K54" i="3" s="1"/>
  <c r="U53" i="3"/>
  <c r="J54" i="3" s="1"/>
  <c r="T53" i="3"/>
  <c r="I54" i="3" s="1"/>
  <c r="Q133" i="8"/>
  <c r="R133" i="8" s="1"/>
  <c r="P133" i="8"/>
  <c r="Y133" i="8" s="1"/>
  <c r="X133" i="8"/>
  <c r="M134" i="8" s="1"/>
  <c r="W133" i="8"/>
  <c r="L134" i="8" s="1"/>
  <c r="V133" i="8"/>
  <c r="K134" i="8" s="1"/>
  <c r="U133" i="8"/>
  <c r="J134" i="8" s="1"/>
  <c r="T133" i="8"/>
  <c r="I134" i="8" s="1"/>
  <c r="N134" i="8" l="1"/>
  <c r="O134" i="8" s="1"/>
  <c r="N54" i="3"/>
  <c r="O54" i="3" s="1"/>
  <c r="Q54" i="3" l="1"/>
  <c r="R54" i="3" s="1"/>
  <c r="P54" i="3"/>
  <c r="Y54" i="3" s="1"/>
  <c r="X54" i="3"/>
  <c r="M55" i="3" s="1"/>
  <c r="T54" i="3"/>
  <c r="I55" i="3" s="1"/>
  <c r="W54" i="3"/>
  <c r="L55" i="3" s="1"/>
  <c r="V54" i="3"/>
  <c r="K55" i="3" s="1"/>
  <c r="U54" i="3"/>
  <c r="J55" i="3" s="1"/>
  <c r="Q134" i="8"/>
  <c r="R134" i="8" s="1"/>
  <c r="P134" i="8"/>
  <c r="Y134" i="8" s="1"/>
  <c r="X134" i="8"/>
  <c r="M135" i="8" s="1"/>
  <c r="W134" i="8"/>
  <c r="L135" i="8" s="1"/>
  <c r="V134" i="8"/>
  <c r="K135" i="8" s="1"/>
  <c r="U134" i="8"/>
  <c r="J135" i="8" s="1"/>
  <c r="T134" i="8"/>
  <c r="I135" i="8" s="1"/>
  <c r="N135" i="8" l="1"/>
  <c r="O135" i="8" s="1"/>
  <c r="N55" i="3"/>
  <c r="O55" i="3" s="1"/>
  <c r="Q55" i="3" l="1"/>
  <c r="R55" i="3" s="1"/>
  <c r="P55" i="3"/>
  <c r="Y55" i="3" s="1"/>
  <c r="X55" i="3"/>
  <c r="M56" i="3" s="1"/>
  <c r="W55" i="3"/>
  <c r="L56" i="3" s="1"/>
  <c r="V55" i="3"/>
  <c r="K56" i="3" s="1"/>
  <c r="U55" i="3"/>
  <c r="J56" i="3" s="1"/>
  <c r="T55" i="3"/>
  <c r="I56" i="3" s="1"/>
  <c r="Q135" i="8"/>
  <c r="R135" i="8" s="1"/>
  <c r="P135" i="8"/>
  <c r="Y135" i="8" s="1"/>
  <c r="X135" i="8"/>
  <c r="M136" i="8" s="1"/>
  <c r="W135" i="8"/>
  <c r="L136" i="8" s="1"/>
  <c r="T135" i="8"/>
  <c r="I136" i="8" s="1"/>
  <c r="V135" i="8"/>
  <c r="K136" i="8" s="1"/>
  <c r="U135" i="8"/>
  <c r="J136" i="8" s="1"/>
  <c r="N136" i="8" l="1"/>
  <c r="O136" i="8" s="1"/>
  <c r="N56" i="3"/>
  <c r="O56" i="3" s="1"/>
  <c r="Q56" i="3" l="1"/>
  <c r="R56" i="3" s="1"/>
  <c r="P56" i="3"/>
  <c r="Y56" i="3" s="1"/>
  <c r="X56" i="3"/>
  <c r="M57" i="3" s="1"/>
  <c r="V56" i="3"/>
  <c r="K57" i="3" s="1"/>
  <c r="U56" i="3"/>
  <c r="J57" i="3" s="1"/>
  <c r="T56" i="3"/>
  <c r="I57" i="3" s="1"/>
  <c r="W56" i="3"/>
  <c r="L57" i="3" s="1"/>
  <c r="Q136" i="8"/>
  <c r="R136" i="8" s="1"/>
  <c r="P136" i="8"/>
  <c r="Y136" i="8" s="1"/>
  <c r="V136" i="8"/>
  <c r="K137" i="8" s="1"/>
  <c r="U136" i="8"/>
  <c r="J137" i="8" s="1"/>
  <c r="T136" i="8"/>
  <c r="I137" i="8" s="1"/>
  <c r="W136" i="8"/>
  <c r="L137" i="8" s="1"/>
  <c r="X136" i="8"/>
  <c r="M137" i="8" s="1"/>
  <c r="N57" i="3" l="1"/>
  <c r="O57" i="3" s="1"/>
  <c r="N137" i="8"/>
  <c r="O137" i="8" s="1"/>
  <c r="Q137" i="8" l="1"/>
  <c r="R137" i="8" s="1"/>
  <c r="P137" i="8"/>
  <c r="Y137" i="8" s="1"/>
  <c r="X137" i="8"/>
  <c r="M138" i="8" s="1"/>
  <c r="W137" i="8"/>
  <c r="L138" i="8" s="1"/>
  <c r="V137" i="8"/>
  <c r="K138" i="8" s="1"/>
  <c r="U137" i="8"/>
  <c r="J138" i="8" s="1"/>
  <c r="T137" i="8"/>
  <c r="I138" i="8" s="1"/>
  <c r="Q57" i="3"/>
  <c r="R57" i="3" s="1"/>
  <c r="P57" i="3"/>
  <c r="Y57" i="3" s="1"/>
  <c r="X57" i="3"/>
  <c r="M58" i="3" s="1"/>
  <c r="W57" i="3"/>
  <c r="L58" i="3" s="1"/>
  <c r="V57" i="3"/>
  <c r="K58" i="3" s="1"/>
  <c r="U57" i="3"/>
  <c r="J58" i="3" s="1"/>
  <c r="T57" i="3"/>
  <c r="I58" i="3" s="1"/>
  <c r="N58" i="3" l="1"/>
  <c r="O58" i="3" s="1"/>
  <c r="N138" i="8"/>
  <c r="O138" i="8" s="1"/>
  <c r="Q138" i="8" l="1"/>
  <c r="R138" i="8" s="1"/>
  <c r="P138" i="8"/>
  <c r="Y138" i="8" s="1"/>
  <c r="X138" i="8"/>
  <c r="M139" i="8" s="1"/>
  <c r="W138" i="8"/>
  <c r="L139" i="8" s="1"/>
  <c r="V138" i="8"/>
  <c r="K139" i="8" s="1"/>
  <c r="U138" i="8"/>
  <c r="J139" i="8" s="1"/>
  <c r="T138" i="8"/>
  <c r="I139" i="8" s="1"/>
  <c r="Q58" i="3"/>
  <c r="R58" i="3" s="1"/>
  <c r="P58" i="3"/>
  <c r="Y58" i="3" s="1"/>
  <c r="X58" i="3"/>
  <c r="M59" i="3" s="1"/>
  <c r="W58" i="3"/>
  <c r="L59" i="3" s="1"/>
  <c r="V58" i="3"/>
  <c r="K59" i="3" s="1"/>
  <c r="U58" i="3"/>
  <c r="J59" i="3" s="1"/>
  <c r="T58" i="3"/>
  <c r="I59" i="3" s="1"/>
  <c r="N59" i="3" l="1"/>
  <c r="O59" i="3" s="1"/>
  <c r="N139" i="8"/>
  <c r="O139" i="8" s="1"/>
  <c r="Q139" i="8" l="1"/>
  <c r="R139" i="8" s="1"/>
  <c r="P139" i="8"/>
  <c r="Y139" i="8" s="1"/>
  <c r="X139" i="8"/>
  <c r="M140" i="8" s="1"/>
  <c r="W139" i="8"/>
  <c r="L140" i="8" s="1"/>
  <c r="V139" i="8"/>
  <c r="K140" i="8" s="1"/>
  <c r="U139" i="8"/>
  <c r="J140" i="8" s="1"/>
  <c r="T139" i="8"/>
  <c r="I140" i="8" s="1"/>
  <c r="Q59" i="3"/>
  <c r="R59" i="3" s="1"/>
  <c r="P59" i="3"/>
  <c r="Y59" i="3" s="1"/>
  <c r="X59" i="3"/>
  <c r="M60" i="3" s="1"/>
  <c r="T59" i="3"/>
  <c r="I60" i="3" s="1"/>
  <c r="W59" i="3"/>
  <c r="L60" i="3" s="1"/>
  <c r="V59" i="3"/>
  <c r="K60" i="3" s="1"/>
  <c r="U59" i="3"/>
  <c r="J60" i="3" s="1"/>
  <c r="N60" i="3" l="1"/>
  <c r="O60" i="3" s="1"/>
  <c r="N140" i="8"/>
  <c r="O140" i="8" s="1"/>
  <c r="Q140" i="8" l="1"/>
  <c r="R140" i="8" s="1"/>
  <c r="P140" i="8"/>
  <c r="Y140" i="8" s="1"/>
  <c r="V140" i="8"/>
  <c r="K141" i="8" s="1"/>
  <c r="U140" i="8"/>
  <c r="J141" i="8" s="1"/>
  <c r="T140" i="8"/>
  <c r="I141" i="8" s="1"/>
  <c r="W140" i="8"/>
  <c r="L141" i="8" s="1"/>
  <c r="X140" i="8"/>
  <c r="M141" i="8" s="1"/>
  <c r="Q60" i="3"/>
  <c r="R60" i="3" s="1"/>
  <c r="P60" i="3"/>
  <c r="Y60" i="3" s="1"/>
  <c r="X60" i="3"/>
  <c r="M61" i="3" s="1"/>
  <c r="W60" i="3"/>
  <c r="L61" i="3" s="1"/>
  <c r="V60" i="3"/>
  <c r="K61" i="3" s="1"/>
  <c r="U60" i="3"/>
  <c r="J61" i="3" s="1"/>
  <c r="T60" i="3"/>
  <c r="I61" i="3" s="1"/>
  <c r="N141" i="8" l="1"/>
  <c r="O141" i="8" s="1"/>
  <c r="N61" i="3"/>
  <c r="O61" i="3" s="1"/>
  <c r="Q61" i="3" l="1"/>
  <c r="R61" i="3" s="1"/>
  <c r="P61" i="3"/>
  <c r="Y61" i="3" s="1"/>
  <c r="X61" i="3"/>
  <c r="M62" i="3" s="1"/>
  <c r="W61" i="3"/>
  <c r="L62" i="3" s="1"/>
  <c r="V61" i="3"/>
  <c r="K62" i="3" s="1"/>
  <c r="U61" i="3"/>
  <c r="J62" i="3" s="1"/>
  <c r="T61" i="3"/>
  <c r="I62" i="3" s="1"/>
  <c r="Q141" i="8"/>
  <c r="R141" i="8" s="1"/>
  <c r="P141" i="8"/>
  <c r="Y141" i="8" s="1"/>
  <c r="X141" i="8"/>
  <c r="M142" i="8" s="1"/>
  <c r="W141" i="8"/>
  <c r="L142" i="8" s="1"/>
  <c r="V141" i="8"/>
  <c r="K142" i="8" s="1"/>
  <c r="U141" i="8"/>
  <c r="J142" i="8" s="1"/>
  <c r="T141" i="8"/>
  <c r="I142" i="8" s="1"/>
  <c r="N142" i="8" l="1"/>
  <c r="O142" i="8" s="1"/>
  <c r="N62" i="3"/>
  <c r="O62" i="3" s="1"/>
  <c r="Q62" i="3" l="1"/>
  <c r="R62" i="3" s="1"/>
  <c r="P62" i="3"/>
  <c r="Y62" i="3" s="1"/>
  <c r="X62" i="3"/>
  <c r="M63" i="3" s="1"/>
  <c r="W62" i="3"/>
  <c r="L63" i="3" s="1"/>
  <c r="U62" i="3"/>
  <c r="J63" i="3" s="1"/>
  <c r="V62" i="3"/>
  <c r="K63" i="3" s="1"/>
  <c r="T62" i="3"/>
  <c r="I63" i="3" s="1"/>
  <c r="Q142" i="8"/>
  <c r="R142" i="8" s="1"/>
  <c r="P142" i="8"/>
  <c r="Y142" i="8" s="1"/>
  <c r="X142" i="8"/>
  <c r="M143" i="8" s="1"/>
  <c r="W142" i="8"/>
  <c r="L143" i="8" s="1"/>
  <c r="V142" i="8"/>
  <c r="K143" i="8" s="1"/>
  <c r="U142" i="8"/>
  <c r="J143" i="8" s="1"/>
  <c r="T142" i="8"/>
  <c r="I143" i="8" s="1"/>
  <c r="N143" i="8" l="1"/>
  <c r="O143" i="8" s="1"/>
  <c r="N63" i="3"/>
  <c r="O63" i="3" s="1"/>
  <c r="Q63" i="3" l="1"/>
  <c r="R63" i="3" s="1"/>
  <c r="P63" i="3"/>
  <c r="Y63" i="3" s="1"/>
  <c r="X63" i="3"/>
  <c r="M64" i="3" s="1"/>
  <c r="W63" i="3"/>
  <c r="L64" i="3" s="1"/>
  <c r="V63" i="3"/>
  <c r="K64" i="3" s="1"/>
  <c r="U63" i="3"/>
  <c r="J64" i="3" s="1"/>
  <c r="T63" i="3"/>
  <c r="I64" i="3" s="1"/>
  <c r="Q143" i="8"/>
  <c r="R143" i="8" s="1"/>
  <c r="P143" i="8"/>
  <c r="Y143" i="8" s="1"/>
  <c r="X143" i="8"/>
  <c r="M144" i="8" s="1"/>
  <c r="W143" i="8"/>
  <c r="L144" i="8" s="1"/>
  <c r="V143" i="8"/>
  <c r="K144" i="8" s="1"/>
  <c r="U143" i="8"/>
  <c r="J144" i="8" s="1"/>
  <c r="T143" i="8"/>
  <c r="I144" i="8" s="1"/>
  <c r="N144" i="8" l="1"/>
  <c r="O144" i="8" s="1"/>
  <c r="N64" i="3"/>
  <c r="O64" i="3" s="1"/>
  <c r="Q64" i="3" l="1"/>
  <c r="R64" i="3" s="1"/>
  <c r="P64" i="3"/>
  <c r="Y64" i="3" s="1"/>
  <c r="X64" i="3"/>
  <c r="M65" i="3" s="1"/>
  <c r="V64" i="3"/>
  <c r="K65" i="3" s="1"/>
  <c r="U64" i="3"/>
  <c r="J65" i="3" s="1"/>
  <c r="T64" i="3"/>
  <c r="I65" i="3" s="1"/>
  <c r="W64" i="3"/>
  <c r="L65" i="3" s="1"/>
  <c r="Q144" i="8"/>
  <c r="R144" i="8" s="1"/>
  <c r="P144" i="8"/>
  <c r="Y144" i="8" s="1"/>
  <c r="V144" i="8"/>
  <c r="K145" i="8" s="1"/>
  <c r="U144" i="8"/>
  <c r="J145" i="8" s="1"/>
  <c r="T144" i="8"/>
  <c r="I145" i="8" s="1"/>
  <c r="X144" i="8"/>
  <c r="M145" i="8" s="1"/>
  <c r="W144" i="8"/>
  <c r="L145" i="8" s="1"/>
  <c r="N65" i="3" l="1"/>
  <c r="O65" i="3" s="1"/>
  <c r="N145" i="8"/>
  <c r="O145" i="8" s="1"/>
  <c r="Q145" i="8" l="1"/>
  <c r="R145" i="8" s="1"/>
  <c r="P145" i="8"/>
  <c r="Y145" i="8" s="1"/>
  <c r="X145" i="8"/>
  <c r="M146" i="8" s="1"/>
  <c r="W145" i="8"/>
  <c r="L146" i="8" s="1"/>
  <c r="V145" i="8"/>
  <c r="K146" i="8" s="1"/>
  <c r="U145" i="8"/>
  <c r="J146" i="8" s="1"/>
  <c r="T145" i="8"/>
  <c r="I146" i="8" s="1"/>
  <c r="Q65" i="3"/>
  <c r="R65" i="3" s="1"/>
  <c r="P65" i="3"/>
  <c r="Y65" i="3" s="1"/>
  <c r="X65" i="3"/>
  <c r="M66" i="3" s="1"/>
  <c r="W65" i="3"/>
  <c r="L66" i="3" s="1"/>
  <c r="V65" i="3"/>
  <c r="K66" i="3" s="1"/>
  <c r="U65" i="3"/>
  <c r="J66" i="3" s="1"/>
  <c r="T65" i="3"/>
  <c r="I66" i="3" s="1"/>
  <c r="N66" i="3" l="1"/>
  <c r="O66" i="3" s="1"/>
  <c r="N146" i="8"/>
  <c r="O146" i="8" s="1"/>
  <c r="Q146" i="8" l="1"/>
  <c r="R146" i="8" s="1"/>
  <c r="P146" i="8"/>
  <c r="Y146" i="8" s="1"/>
  <c r="X146" i="8"/>
  <c r="M147" i="8" s="1"/>
  <c r="W146" i="8"/>
  <c r="L147" i="8" s="1"/>
  <c r="V146" i="8"/>
  <c r="K147" i="8" s="1"/>
  <c r="U146" i="8"/>
  <c r="J147" i="8" s="1"/>
  <c r="T146" i="8"/>
  <c r="I147" i="8" s="1"/>
  <c r="Q66" i="3"/>
  <c r="R66" i="3" s="1"/>
  <c r="P66" i="3"/>
  <c r="Y66" i="3" s="1"/>
  <c r="X66" i="3"/>
  <c r="M67" i="3" s="1"/>
  <c r="W66" i="3"/>
  <c r="L67" i="3" s="1"/>
  <c r="V66" i="3"/>
  <c r="K67" i="3" s="1"/>
  <c r="U66" i="3"/>
  <c r="J67" i="3" s="1"/>
  <c r="T66" i="3"/>
  <c r="I67" i="3" s="1"/>
  <c r="N67" i="3" l="1"/>
  <c r="O67" i="3" s="1"/>
  <c r="N147" i="8"/>
  <c r="O147" i="8" s="1"/>
  <c r="Q147" i="8" l="1"/>
  <c r="R147" i="8" s="1"/>
  <c r="P147" i="8"/>
  <c r="Y147" i="8" s="1"/>
  <c r="X147" i="8"/>
  <c r="M148" i="8" s="1"/>
  <c r="W147" i="8"/>
  <c r="L148" i="8" s="1"/>
  <c r="V147" i="8"/>
  <c r="K148" i="8" s="1"/>
  <c r="U147" i="8"/>
  <c r="J148" i="8" s="1"/>
  <c r="T147" i="8"/>
  <c r="I148" i="8" s="1"/>
  <c r="Q67" i="3"/>
  <c r="R67" i="3" s="1"/>
  <c r="P67" i="3"/>
  <c r="Y67" i="3" s="1"/>
  <c r="X67" i="3"/>
  <c r="M68" i="3" s="1"/>
  <c r="T67" i="3"/>
  <c r="I68" i="3" s="1"/>
  <c r="W67" i="3"/>
  <c r="L68" i="3" s="1"/>
  <c r="U67" i="3"/>
  <c r="J68" i="3" s="1"/>
  <c r="V67" i="3"/>
  <c r="K68" i="3" s="1"/>
  <c r="N148" i="8" l="1"/>
  <c r="O148" i="8" s="1"/>
  <c r="N68" i="3"/>
  <c r="O68" i="3" s="1"/>
  <c r="Q68" i="3" l="1"/>
  <c r="R68" i="3" s="1"/>
  <c r="P68" i="3"/>
  <c r="Y68" i="3" s="1"/>
  <c r="X68" i="3"/>
  <c r="M69" i="3" s="1"/>
  <c r="W68" i="3"/>
  <c r="L69" i="3" s="1"/>
  <c r="V68" i="3"/>
  <c r="K69" i="3" s="1"/>
  <c r="U68" i="3"/>
  <c r="J69" i="3" s="1"/>
  <c r="T68" i="3"/>
  <c r="I69" i="3" s="1"/>
  <c r="Q148" i="8"/>
  <c r="R148" i="8" s="1"/>
  <c r="P148" i="8"/>
  <c r="Y148" i="8" s="1"/>
  <c r="V148" i="8"/>
  <c r="K149" i="8" s="1"/>
  <c r="U148" i="8"/>
  <c r="J149" i="8" s="1"/>
  <c r="T148" i="8"/>
  <c r="I149" i="8" s="1"/>
  <c r="X148" i="8"/>
  <c r="M149" i="8" s="1"/>
  <c r="W148" i="8"/>
  <c r="L149" i="8" s="1"/>
  <c r="N149" i="8" l="1"/>
  <c r="O149" i="8" s="1"/>
  <c r="N69" i="3"/>
  <c r="O69" i="3" s="1"/>
  <c r="Q69" i="3" l="1"/>
  <c r="R69" i="3" s="1"/>
  <c r="P69" i="3"/>
  <c r="Y69" i="3" s="1"/>
  <c r="X69" i="3"/>
  <c r="M70" i="3" s="1"/>
  <c r="W69" i="3"/>
  <c r="L70" i="3" s="1"/>
  <c r="V69" i="3"/>
  <c r="K70" i="3" s="1"/>
  <c r="U69" i="3"/>
  <c r="J70" i="3" s="1"/>
  <c r="T69" i="3"/>
  <c r="I70" i="3" s="1"/>
  <c r="T149" i="8"/>
  <c r="I150" i="8" s="1"/>
  <c r="Q149" i="8"/>
  <c r="R149" i="8" s="1"/>
  <c r="P149" i="8"/>
  <c r="Y149" i="8" s="1"/>
  <c r="X149" i="8"/>
  <c r="M150" i="8" s="1"/>
  <c r="W149" i="8"/>
  <c r="L150" i="8" s="1"/>
  <c r="V149" i="8"/>
  <c r="K150" i="8" s="1"/>
  <c r="U149" i="8"/>
  <c r="J150" i="8" s="1"/>
  <c r="N150" i="8" l="1"/>
  <c r="O150" i="8" s="1"/>
  <c r="N70" i="3"/>
  <c r="O70" i="3" s="1"/>
  <c r="T150" i="8" l="1"/>
  <c r="I151" i="8" s="1"/>
  <c r="Q150" i="8"/>
  <c r="R150" i="8" s="1"/>
  <c r="P150" i="8"/>
  <c r="Y150" i="8" s="1"/>
  <c r="X150" i="8"/>
  <c r="M151" i="8" s="1"/>
  <c r="W150" i="8"/>
  <c r="L151" i="8" s="1"/>
  <c r="V150" i="8"/>
  <c r="K151" i="8" s="1"/>
  <c r="U150" i="8"/>
  <c r="J151" i="8" s="1"/>
  <c r="Q70" i="3"/>
  <c r="R70" i="3" s="1"/>
  <c r="P70" i="3"/>
  <c r="Y70" i="3" s="1"/>
  <c r="X70" i="3"/>
  <c r="M71" i="3" s="1"/>
  <c r="W70" i="3"/>
  <c r="L71" i="3" s="1"/>
  <c r="U70" i="3"/>
  <c r="J71" i="3" s="1"/>
  <c r="T70" i="3"/>
  <c r="I71" i="3" s="1"/>
  <c r="V70" i="3"/>
  <c r="K71" i="3" s="1"/>
  <c r="N71" i="3" l="1"/>
  <c r="O71" i="3" s="1"/>
  <c r="N151" i="8"/>
  <c r="O151" i="8" s="1"/>
  <c r="T151" i="8" l="1"/>
  <c r="I152" i="8" s="1"/>
  <c r="Q151" i="8"/>
  <c r="R151" i="8" s="1"/>
  <c r="P151" i="8"/>
  <c r="Y151" i="8" s="1"/>
  <c r="X151" i="8"/>
  <c r="M152" i="8" s="1"/>
  <c r="W151" i="8"/>
  <c r="L152" i="8" s="1"/>
  <c r="V151" i="8"/>
  <c r="K152" i="8" s="1"/>
  <c r="U151" i="8"/>
  <c r="J152" i="8" s="1"/>
  <c r="Q71" i="3"/>
  <c r="R71" i="3" s="1"/>
  <c r="P71" i="3"/>
  <c r="Y71" i="3" s="1"/>
  <c r="X71" i="3"/>
  <c r="M72" i="3" s="1"/>
  <c r="W71" i="3"/>
  <c r="L72" i="3" s="1"/>
  <c r="V71" i="3"/>
  <c r="K72" i="3" s="1"/>
  <c r="U71" i="3"/>
  <c r="J72" i="3" s="1"/>
  <c r="T71" i="3"/>
  <c r="I72" i="3" s="1"/>
  <c r="N72" i="3" l="1"/>
  <c r="O72" i="3" s="1"/>
  <c r="N152" i="8"/>
  <c r="O152" i="8" s="1"/>
  <c r="T152" i="8" l="1"/>
  <c r="I153" i="8" s="1"/>
  <c r="Q152" i="8"/>
  <c r="R152" i="8" s="1"/>
  <c r="P152" i="8"/>
  <c r="Y152" i="8" s="1"/>
  <c r="X152" i="8"/>
  <c r="M153" i="8" s="1"/>
  <c r="W152" i="8"/>
  <c r="L153" i="8" s="1"/>
  <c r="V152" i="8"/>
  <c r="K153" i="8" s="1"/>
  <c r="U152" i="8"/>
  <c r="J153" i="8" s="1"/>
  <c r="Q72" i="3"/>
  <c r="R72" i="3" s="1"/>
  <c r="P72" i="3"/>
  <c r="Y72" i="3" s="1"/>
  <c r="X72" i="3"/>
  <c r="M73" i="3" s="1"/>
  <c r="V72" i="3"/>
  <c r="K73" i="3" s="1"/>
  <c r="U72" i="3"/>
  <c r="J73" i="3" s="1"/>
  <c r="T72" i="3"/>
  <c r="I73" i="3" s="1"/>
  <c r="W72" i="3"/>
  <c r="L73" i="3" s="1"/>
  <c r="N73" i="3" l="1"/>
  <c r="O73" i="3" s="1"/>
  <c r="N153" i="8"/>
  <c r="O153" i="8" s="1"/>
  <c r="T153" i="8" l="1"/>
  <c r="I154" i="8" s="1"/>
  <c r="Q153" i="8"/>
  <c r="R153" i="8" s="1"/>
  <c r="P153" i="8"/>
  <c r="Y153" i="8" s="1"/>
  <c r="X153" i="8"/>
  <c r="M154" i="8" s="1"/>
  <c r="W153" i="8"/>
  <c r="L154" i="8" s="1"/>
  <c r="U153" i="8"/>
  <c r="J154" i="8" s="1"/>
  <c r="V153" i="8"/>
  <c r="K154" i="8" s="1"/>
  <c r="Q73" i="3"/>
  <c r="R73" i="3" s="1"/>
  <c r="P73" i="3"/>
  <c r="Y73" i="3" s="1"/>
  <c r="X73" i="3"/>
  <c r="M74" i="3" s="1"/>
  <c r="W73" i="3"/>
  <c r="L74" i="3" s="1"/>
  <c r="V73" i="3"/>
  <c r="K74" i="3" s="1"/>
  <c r="U73" i="3"/>
  <c r="J74" i="3" s="1"/>
  <c r="T73" i="3"/>
  <c r="I74" i="3" s="1"/>
  <c r="N74" i="3" l="1"/>
  <c r="O74" i="3" s="1"/>
  <c r="N154" i="8"/>
  <c r="O154" i="8" s="1"/>
  <c r="T154" i="8" l="1"/>
  <c r="I155" i="8" s="1"/>
  <c r="Q154" i="8"/>
  <c r="R154" i="8" s="1"/>
  <c r="P154" i="8"/>
  <c r="Y154" i="8" s="1"/>
  <c r="X154" i="8"/>
  <c r="M155" i="8" s="1"/>
  <c r="W154" i="8"/>
  <c r="L155" i="8" s="1"/>
  <c r="V154" i="8"/>
  <c r="K155" i="8" s="1"/>
  <c r="U154" i="8"/>
  <c r="J155" i="8" s="1"/>
  <c r="Q74" i="3"/>
  <c r="R74" i="3" s="1"/>
  <c r="P74" i="3"/>
  <c r="Y74" i="3" s="1"/>
  <c r="X74" i="3"/>
  <c r="M75" i="3" s="1"/>
  <c r="W74" i="3"/>
  <c r="L75" i="3" s="1"/>
  <c r="V74" i="3"/>
  <c r="K75" i="3" s="1"/>
  <c r="U74" i="3"/>
  <c r="J75" i="3" s="1"/>
  <c r="T74" i="3"/>
  <c r="I75" i="3" s="1"/>
  <c r="N75" i="3" l="1"/>
  <c r="O75" i="3" s="1"/>
  <c r="N155" i="8"/>
  <c r="O155" i="8" s="1"/>
  <c r="T155" i="8" l="1"/>
  <c r="I156" i="8" s="1"/>
  <c r="Q155" i="8"/>
  <c r="R155" i="8" s="1"/>
  <c r="P155" i="8"/>
  <c r="Y155" i="8" s="1"/>
  <c r="X155" i="8"/>
  <c r="M156" i="8" s="1"/>
  <c r="W155" i="8"/>
  <c r="L156" i="8" s="1"/>
  <c r="V155" i="8"/>
  <c r="K156" i="8" s="1"/>
  <c r="U155" i="8"/>
  <c r="J156" i="8" s="1"/>
  <c r="Q75" i="3"/>
  <c r="R75" i="3" s="1"/>
  <c r="P75" i="3"/>
  <c r="Y75" i="3" s="1"/>
  <c r="X75" i="3"/>
  <c r="M76" i="3" s="1"/>
  <c r="T75" i="3"/>
  <c r="I76" i="3" s="1"/>
  <c r="W75" i="3"/>
  <c r="L76" i="3" s="1"/>
  <c r="V75" i="3"/>
  <c r="K76" i="3" s="1"/>
  <c r="U75" i="3"/>
  <c r="J76" i="3" s="1"/>
  <c r="N76" i="3" l="1"/>
  <c r="O76" i="3" s="1"/>
  <c r="N156" i="8"/>
  <c r="O156" i="8" s="1"/>
  <c r="T156" i="8" l="1"/>
  <c r="I157" i="8" s="1"/>
  <c r="Q156" i="8"/>
  <c r="R156" i="8" s="1"/>
  <c r="P156" i="8"/>
  <c r="Y156" i="8" s="1"/>
  <c r="X156" i="8"/>
  <c r="M157" i="8" s="1"/>
  <c r="W156" i="8"/>
  <c r="L157" i="8" s="1"/>
  <c r="V156" i="8"/>
  <c r="K157" i="8" s="1"/>
  <c r="U156" i="8"/>
  <c r="J157" i="8" s="1"/>
  <c r="Q76" i="3"/>
  <c r="R76" i="3" s="1"/>
  <c r="P76" i="3"/>
  <c r="Y76" i="3" s="1"/>
  <c r="X76" i="3"/>
  <c r="M77" i="3" s="1"/>
  <c r="W76" i="3"/>
  <c r="L77" i="3" s="1"/>
  <c r="V76" i="3"/>
  <c r="K77" i="3" s="1"/>
  <c r="U76" i="3"/>
  <c r="J77" i="3" s="1"/>
  <c r="T76" i="3"/>
  <c r="I77" i="3" s="1"/>
  <c r="N77" i="3" l="1"/>
  <c r="O77" i="3" s="1"/>
  <c r="N157" i="8"/>
  <c r="O157" i="8" s="1"/>
  <c r="T157" i="8" l="1"/>
  <c r="I158" i="8" s="1"/>
  <c r="Q157" i="8"/>
  <c r="R157" i="8" s="1"/>
  <c r="P157" i="8"/>
  <c r="Y157" i="8" s="1"/>
  <c r="X157" i="8"/>
  <c r="M158" i="8" s="1"/>
  <c r="W157" i="8"/>
  <c r="L158" i="8" s="1"/>
  <c r="V157" i="8"/>
  <c r="K158" i="8" s="1"/>
  <c r="U157" i="8"/>
  <c r="J158" i="8" s="1"/>
  <c r="Q77" i="3"/>
  <c r="R77" i="3" s="1"/>
  <c r="P77" i="3"/>
  <c r="Y77" i="3" s="1"/>
  <c r="X77" i="3"/>
  <c r="M78" i="3" s="1"/>
  <c r="W77" i="3"/>
  <c r="L78" i="3" s="1"/>
  <c r="V77" i="3"/>
  <c r="K78" i="3" s="1"/>
  <c r="U77" i="3"/>
  <c r="J78" i="3" s="1"/>
  <c r="T77" i="3"/>
  <c r="I78" i="3" s="1"/>
  <c r="N78" i="3" l="1"/>
  <c r="O78" i="3" s="1"/>
  <c r="N158" i="8"/>
  <c r="O158" i="8" s="1"/>
  <c r="T158" i="8" l="1"/>
  <c r="I159" i="8" s="1"/>
  <c r="Q158" i="8"/>
  <c r="R158" i="8" s="1"/>
  <c r="P158" i="8"/>
  <c r="Y158" i="8" s="1"/>
  <c r="X158" i="8"/>
  <c r="M159" i="8" s="1"/>
  <c r="W158" i="8"/>
  <c r="L159" i="8" s="1"/>
  <c r="V158" i="8"/>
  <c r="K159" i="8" s="1"/>
  <c r="U158" i="8"/>
  <c r="J159" i="8" s="1"/>
  <c r="Q78" i="3"/>
  <c r="R78" i="3" s="1"/>
  <c r="P78" i="3"/>
  <c r="Y78" i="3" s="1"/>
  <c r="X78" i="3"/>
  <c r="M79" i="3" s="1"/>
  <c r="W78" i="3"/>
  <c r="L79" i="3" s="1"/>
  <c r="U78" i="3"/>
  <c r="J79" i="3" s="1"/>
  <c r="V78" i="3"/>
  <c r="K79" i="3" s="1"/>
  <c r="T78" i="3"/>
  <c r="I79" i="3" s="1"/>
  <c r="N79" i="3" l="1"/>
  <c r="O79" i="3" s="1"/>
  <c r="N159" i="8"/>
  <c r="O159" i="8" s="1"/>
  <c r="T159" i="8" l="1"/>
  <c r="I160" i="8" s="1"/>
  <c r="Q159" i="8"/>
  <c r="R159" i="8" s="1"/>
  <c r="P159" i="8"/>
  <c r="Y159" i="8" s="1"/>
  <c r="X159" i="8"/>
  <c r="M160" i="8" s="1"/>
  <c r="U159" i="8"/>
  <c r="J160" i="8" s="1"/>
  <c r="W159" i="8"/>
  <c r="L160" i="8" s="1"/>
  <c r="V159" i="8"/>
  <c r="K160" i="8" s="1"/>
  <c r="Q79" i="3"/>
  <c r="R79" i="3" s="1"/>
  <c r="P79" i="3"/>
  <c r="Y79" i="3" s="1"/>
  <c r="X79" i="3"/>
  <c r="M80" i="3" s="1"/>
  <c r="W79" i="3"/>
  <c r="L80" i="3" s="1"/>
  <c r="V79" i="3"/>
  <c r="K80" i="3" s="1"/>
  <c r="U79" i="3"/>
  <c r="J80" i="3" s="1"/>
  <c r="T79" i="3"/>
  <c r="I80" i="3" s="1"/>
  <c r="N80" i="3" l="1"/>
  <c r="O80" i="3" s="1"/>
  <c r="N160" i="8"/>
  <c r="O160" i="8" s="1"/>
  <c r="T160" i="8" l="1"/>
  <c r="I161" i="8" s="1"/>
  <c r="Q160" i="8"/>
  <c r="R160" i="8" s="1"/>
  <c r="P160" i="8"/>
  <c r="Y160" i="8" s="1"/>
  <c r="X160" i="8"/>
  <c r="M161" i="8" s="1"/>
  <c r="W160" i="8"/>
  <c r="L161" i="8" s="1"/>
  <c r="V160" i="8"/>
  <c r="K161" i="8" s="1"/>
  <c r="U160" i="8"/>
  <c r="J161" i="8" s="1"/>
  <c r="Q80" i="3"/>
  <c r="R80" i="3" s="1"/>
  <c r="P80" i="3"/>
  <c r="Y80" i="3" s="1"/>
  <c r="X80" i="3"/>
  <c r="M81" i="3" s="1"/>
  <c r="V80" i="3"/>
  <c r="K81" i="3" s="1"/>
  <c r="U80" i="3"/>
  <c r="J81" i="3" s="1"/>
  <c r="T80" i="3"/>
  <c r="I81" i="3" s="1"/>
  <c r="W80" i="3"/>
  <c r="L81" i="3" s="1"/>
  <c r="N81" i="3" l="1"/>
  <c r="O81" i="3" s="1"/>
  <c r="N161" i="8"/>
  <c r="O161" i="8" s="1"/>
  <c r="T161" i="8" l="1"/>
  <c r="I162" i="8" s="1"/>
  <c r="Q161" i="8"/>
  <c r="R161" i="8" s="1"/>
  <c r="P161" i="8"/>
  <c r="Y161" i="8" s="1"/>
  <c r="U161" i="8"/>
  <c r="J162" i="8" s="1"/>
  <c r="X161" i="8"/>
  <c r="M162" i="8" s="1"/>
  <c r="V161" i="8"/>
  <c r="K162" i="8" s="1"/>
  <c r="W161" i="8"/>
  <c r="L162" i="8" s="1"/>
  <c r="Q81" i="3"/>
  <c r="R81" i="3" s="1"/>
  <c r="P81" i="3"/>
  <c r="Y81" i="3" s="1"/>
  <c r="X81" i="3"/>
  <c r="M82" i="3" s="1"/>
  <c r="W81" i="3"/>
  <c r="L82" i="3" s="1"/>
  <c r="V81" i="3"/>
  <c r="K82" i="3" s="1"/>
  <c r="U81" i="3"/>
  <c r="J82" i="3" s="1"/>
  <c r="T81" i="3"/>
  <c r="I82" i="3" s="1"/>
  <c r="N82" i="3" l="1"/>
  <c r="O82" i="3" s="1"/>
  <c r="N162" i="8"/>
  <c r="O162" i="8" s="1"/>
  <c r="T162" i="8" l="1"/>
  <c r="I163" i="8" s="1"/>
  <c r="Q162" i="8"/>
  <c r="R162" i="8" s="1"/>
  <c r="P162" i="8"/>
  <c r="Y162" i="8" s="1"/>
  <c r="X162" i="8"/>
  <c r="M163" i="8" s="1"/>
  <c r="W162" i="8"/>
  <c r="L163" i="8" s="1"/>
  <c r="V162" i="8"/>
  <c r="K163" i="8" s="1"/>
  <c r="U162" i="8"/>
  <c r="J163" i="8" s="1"/>
  <c r="Q82" i="3"/>
  <c r="R82" i="3" s="1"/>
  <c r="P82" i="3"/>
  <c r="Y82" i="3" s="1"/>
  <c r="X82" i="3"/>
  <c r="M83" i="3" s="1"/>
  <c r="W82" i="3"/>
  <c r="L83" i="3" s="1"/>
  <c r="V82" i="3"/>
  <c r="K83" i="3" s="1"/>
  <c r="U82" i="3"/>
  <c r="J83" i="3" s="1"/>
  <c r="T82" i="3"/>
  <c r="I83" i="3" s="1"/>
  <c r="N83" i="3" l="1"/>
  <c r="O83" i="3" s="1"/>
  <c r="N163" i="8"/>
  <c r="O163" i="8" s="1"/>
  <c r="T163" i="8" l="1"/>
  <c r="I164" i="8" s="1"/>
  <c r="Q163" i="8"/>
  <c r="R163" i="8" s="1"/>
  <c r="P163" i="8"/>
  <c r="Y163" i="8" s="1"/>
  <c r="X163" i="8"/>
  <c r="M164" i="8" s="1"/>
  <c r="W163" i="8"/>
  <c r="L164" i="8" s="1"/>
  <c r="V163" i="8"/>
  <c r="K164" i="8" s="1"/>
  <c r="U163" i="8"/>
  <c r="J164" i="8" s="1"/>
  <c r="Q83" i="3"/>
  <c r="R83" i="3" s="1"/>
  <c r="P83" i="3"/>
  <c r="Y83" i="3" s="1"/>
  <c r="X83" i="3"/>
  <c r="M84" i="3" s="1"/>
  <c r="V83" i="3"/>
  <c r="K84" i="3" s="1"/>
  <c r="T83" i="3"/>
  <c r="I84" i="3" s="1"/>
  <c r="W83" i="3"/>
  <c r="L84" i="3" s="1"/>
  <c r="U83" i="3"/>
  <c r="J84" i="3" s="1"/>
  <c r="M91" i="3" l="1"/>
  <c r="M92" i="3" s="1"/>
  <c r="M93" i="3" s="1"/>
  <c r="M94" i="3" s="1"/>
  <c r="M95" i="3" s="1"/>
  <c r="M96" i="3" s="1"/>
  <c r="M97" i="3" s="1"/>
  <c r="M98" i="3" s="1"/>
  <c r="M99" i="3" s="1"/>
  <c r="M100" i="3" s="1"/>
  <c r="M101" i="3" s="1"/>
  <c r="M102" i="3" s="1"/>
  <c r="M103" i="3" s="1"/>
  <c r="M104" i="3" s="1"/>
  <c r="M105" i="3" s="1"/>
  <c r="M106" i="3" s="1"/>
  <c r="M107" i="3" s="1"/>
  <c r="M108" i="3" s="1"/>
  <c r="M109" i="3" s="1"/>
  <c r="M110" i="3" s="1"/>
  <c r="M5" i="4"/>
  <c r="J91" i="3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5" i="4"/>
  <c r="J430" i="8"/>
  <c r="J431" i="8" s="1"/>
  <c r="J432" i="8" s="1"/>
  <c r="J433" i="8" s="1"/>
  <c r="J434" i="8" s="1"/>
  <c r="J435" i="8" s="1"/>
  <c r="J436" i="8" s="1"/>
  <c r="J437" i="8" s="1"/>
  <c r="J438" i="8" s="1"/>
  <c r="J439" i="8" s="1"/>
  <c r="J440" i="8" s="1"/>
  <c r="J441" i="8" s="1"/>
  <c r="J442" i="8" s="1"/>
  <c r="J443" i="8" s="1"/>
  <c r="J444" i="8" s="1"/>
  <c r="J445" i="8" s="1"/>
  <c r="J446" i="8" s="1"/>
  <c r="J447" i="8" s="1"/>
  <c r="J448" i="8" s="1"/>
  <c r="J449" i="8" s="1"/>
  <c r="J165" i="8"/>
  <c r="L91" i="3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5" i="4"/>
  <c r="K91" i="3"/>
  <c r="K92" i="3" s="1"/>
  <c r="K93" i="3" s="1"/>
  <c r="K94" i="3" s="1"/>
  <c r="K95" i="3" s="1"/>
  <c r="K96" i="3" s="1"/>
  <c r="K97" i="3" s="1"/>
  <c r="K98" i="3" s="1"/>
  <c r="K99" i="3" s="1"/>
  <c r="K100" i="3" s="1"/>
  <c r="K101" i="3" s="1"/>
  <c r="K102" i="3" s="1"/>
  <c r="K103" i="3" s="1"/>
  <c r="K104" i="3" s="1"/>
  <c r="K105" i="3" s="1"/>
  <c r="K106" i="3" s="1"/>
  <c r="K107" i="3" s="1"/>
  <c r="K108" i="3" s="1"/>
  <c r="K109" i="3" s="1"/>
  <c r="K110" i="3" s="1"/>
  <c r="K5" i="4"/>
  <c r="L430" i="8"/>
  <c r="L431" i="8" s="1"/>
  <c r="L432" i="8" s="1"/>
  <c r="L433" i="8" s="1"/>
  <c r="L434" i="8" s="1"/>
  <c r="L435" i="8" s="1"/>
  <c r="L436" i="8" s="1"/>
  <c r="L437" i="8" s="1"/>
  <c r="L438" i="8" s="1"/>
  <c r="L439" i="8" s="1"/>
  <c r="L440" i="8" s="1"/>
  <c r="L441" i="8" s="1"/>
  <c r="L442" i="8" s="1"/>
  <c r="L443" i="8" s="1"/>
  <c r="L444" i="8" s="1"/>
  <c r="L445" i="8" s="1"/>
  <c r="L446" i="8" s="1"/>
  <c r="L447" i="8" s="1"/>
  <c r="L448" i="8" s="1"/>
  <c r="L449" i="8" s="1"/>
  <c r="L165" i="8"/>
  <c r="N84" i="3"/>
  <c r="O84" i="3" s="1"/>
  <c r="I91" i="3"/>
  <c r="I5" i="4"/>
  <c r="K430" i="8"/>
  <c r="K431" i="8" s="1"/>
  <c r="K432" i="8" s="1"/>
  <c r="K433" i="8" s="1"/>
  <c r="K434" i="8" s="1"/>
  <c r="K435" i="8" s="1"/>
  <c r="K436" i="8" s="1"/>
  <c r="K437" i="8" s="1"/>
  <c r="K438" i="8" s="1"/>
  <c r="K439" i="8" s="1"/>
  <c r="K440" i="8" s="1"/>
  <c r="K441" i="8" s="1"/>
  <c r="K442" i="8" s="1"/>
  <c r="K443" i="8" s="1"/>
  <c r="K444" i="8" s="1"/>
  <c r="K445" i="8" s="1"/>
  <c r="K446" i="8" s="1"/>
  <c r="K447" i="8" s="1"/>
  <c r="K448" i="8" s="1"/>
  <c r="K449" i="8" s="1"/>
  <c r="K165" i="8"/>
  <c r="M430" i="8"/>
  <c r="M431" i="8" s="1"/>
  <c r="M432" i="8" s="1"/>
  <c r="M433" i="8" s="1"/>
  <c r="M434" i="8" s="1"/>
  <c r="M435" i="8" s="1"/>
  <c r="M436" i="8" s="1"/>
  <c r="M437" i="8" s="1"/>
  <c r="M438" i="8" s="1"/>
  <c r="M439" i="8" s="1"/>
  <c r="M440" i="8" s="1"/>
  <c r="M441" i="8" s="1"/>
  <c r="M442" i="8" s="1"/>
  <c r="M443" i="8" s="1"/>
  <c r="M444" i="8" s="1"/>
  <c r="M445" i="8" s="1"/>
  <c r="M446" i="8" s="1"/>
  <c r="M447" i="8" s="1"/>
  <c r="M448" i="8" s="1"/>
  <c r="M449" i="8" s="1"/>
  <c r="M165" i="8"/>
  <c r="I430" i="8"/>
  <c r="N164" i="8"/>
  <c r="O164" i="8" s="1"/>
  <c r="I165" i="8"/>
  <c r="Q84" i="3" l="1"/>
  <c r="R84" i="3" s="1"/>
  <c r="R85" i="3" s="1"/>
  <c r="B6" i="7" s="1"/>
  <c r="P84" i="3"/>
  <c r="Y84" i="3" s="1"/>
  <c r="Y85" i="3" s="1"/>
  <c r="D6" i="7" s="1"/>
  <c r="X84" i="3"/>
  <c r="V84" i="3"/>
  <c r="W84" i="3"/>
  <c r="U84" i="3"/>
  <c r="T84" i="3"/>
  <c r="N5" i="4"/>
  <c r="O5" i="4" s="1"/>
  <c r="T164" i="8"/>
  <c r="Q164" i="8"/>
  <c r="R164" i="8" s="1"/>
  <c r="AB164" i="8" s="1"/>
  <c r="B517" i="8" s="1"/>
  <c r="P164" i="8"/>
  <c r="Y164" i="8" s="1"/>
  <c r="AA164" i="8" s="1"/>
  <c r="D517" i="8" s="1"/>
  <c r="X164" i="8"/>
  <c r="W164" i="8"/>
  <c r="V164" i="8"/>
  <c r="U164" i="8"/>
  <c r="N430" i="8"/>
  <c r="O430" i="8" s="1"/>
  <c r="I431" i="8"/>
  <c r="N165" i="8"/>
  <c r="O165" i="8" s="1"/>
  <c r="N91" i="3"/>
  <c r="O91" i="3" s="1"/>
  <c r="I92" i="3"/>
  <c r="X5" i="4" l="1"/>
  <c r="M6" i="4" s="1"/>
  <c r="W5" i="4"/>
  <c r="L6" i="4" s="1"/>
  <c r="V5" i="4"/>
  <c r="K6" i="4" s="1"/>
  <c r="U5" i="4"/>
  <c r="J6" i="4" s="1"/>
  <c r="T5" i="4"/>
  <c r="I6" i="4" s="1"/>
  <c r="Q5" i="4"/>
  <c r="R5" i="4" s="1"/>
  <c r="P5" i="4"/>
  <c r="Y5" i="4" s="1"/>
  <c r="N92" i="3"/>
  <c r="O92" i="3" s="1"/>
  <c r="I93" i="3"/>
  <c r="Q165" i="8"/>
  <c r="R165" i="8" s="1"/>
  <c r="P165" i="8"/>
  <c r="Y165" i="8" s="1"/>
  <c r="X165" i="8"/>
  <c r="M166" i="8" s="1"/>
  <c r="W165" i="8"/>
  <c r="L166" i="8" s="1"/>
  <c r="V165" i="8"/>
  <c r="K166" i="8" s="1"/>
  <c r="U165" i="8"/>
  <c r="J166" i="8" s="1"/>
  <c r="T165" i="8"/>
  <c r="I166" i="8" s="1"/>
  <c r="Q91" i="3"/>
  <c r="R91" i="3" s="1"/>
  <c r="P91" i="3"/>
  <c r="I432" i="8"/>
  <c r="N431" i="8"/>
  <c r="O431" i="8" s="1"/>
  <c r="P430" i="8"/>
  <c r="T430" i="8" s="1"/>
  <c r="Q430" i="8"/>
  <c r="R430" i="8" s="1"/>
  <c r="N6" i="4" l="1"/>
  <c r="O6" i="4" s="1"/>
  <c r="Q92" i="3"/>
  <c r="R92" i="3" s="1"/>
  <c r="P92" i="3"/>
  <c r="T92" i="3" s="1"/>
  <c r="T91" i="3"/>
  <c r="N166" i="8"/>
  <c r="O166" i="8" s="1"/>
  <c r="I94" i="3"/>
  <c r="N93" i="3"/>
  <c r="O93" i="3" s="1"/>
  <c r="Q431" i="8"/>
  <c r="R431" i="8" s="1"/>
  <c r="P431" i="8"/>
  <c r="T431" i="8" s="1"/>
  <c r="N432" i="8"/>
  <c r="O432" i="8" s="1"/>
  <c r="I433" i="8"/>
  <c r="P432" i="8" l="1"/>
  <c r="T432" i="8" s="1"/>
  <c r="Q432" i="8"/>
  <c r="R432" i="8" s="1"/>
  <c r="P93" i="3"/>
  <c r="Q93" i="3"/>
  <c r="R93" i="3" s="1"/>
  <c r="N433" i="8"/>
  <c r="O433" i="8" s="1"/>
  <c r="I434" i="8"/>
  <c r="X6" i="4"/>
  <c r="M7" i="4" s="1"/>
  <c r="W6" i="4"/>
  <c r="L7" i="4" s="1"/>
  <c r="V6" i="4"/>
  <c r="K7" i="4" s="1"/>
  <c r="U6" i="4"/>
  <c r="J7" i="4" s="1"/>
  <c r="T6" i="4"/>
  <c r="I7" i="4" s="1"/>
  <c r="Q6" i="4"/>
  <c r="R6" i="4" s="1"/>
  <c r="P6" i="4"/>
  <c r="Y6" i="4" s="1"/>
  <c r="I95" i="3"/>
  <c r="N94" i="3"/>
  <c r="O94" i="3" s="1"/>
  <c r="Q166" i="8"/>
  <c r="R166" i="8" s="1"/>
  <c r="P166" i="8"/>
  <c r="Y166" i="8" s="1"/>
  <c r="T166" i="8"/>
  <c r="I167" i="8" s="1"/>
  <c r="X166" i="8"/>
  <c r="M167" i="8" s="1"/>
  <c r="W166" i="8"/>
  <c r="L167" i="8" s="1"/>
  <c r="V166" i="8"/>
  <c r="K167" i="8" s="1"/>
  <c r="U166" i="8"/>
  <c r="J167" i="8" s="1"/>
  <c r="N7" i="4" l="1"/>
  <c r="O7" i="4" s="1"/>
  <c r="N95" i="3"/>
  <c r="O95" i="3" s="1"/>
  <c r="I96" i="3"/>
  <c r="I435" i="8"/>
  <c r="N434" i="8"/>
  <c r="O434" i="8" s="1"/>
  <c r="Q94" i="3"/>
  <c r="R94" i="3" s="1"/>
  <c r="P94" i="3"/>
  <c r="T94" i="3" s="1"/>
  <c r="T93" i="3"/>
  <c r="Q433" i="8"/>
  <c r="R433" i="8" s="1"/>
  <c r="P433" i="8"/>
  <c r="T433" i="8" s="1"/>
  <c r="N167" i="8"/>
  <c r="O167" i="8" s="1"/>
  <c r="Q434" i="8" l="1"/>
  <c r="R434" i="8" s="1"/>
  <c r="P434" i="8"/>
  <c r="T434" i="8" s="1"/>
  <c r="Q95" i="3"/>
  <c r="R95" i="3" s="1"/>
  <c r="P95" i="3"/>
  <c r="T95" i="3" s="1"/>
  <c r="X7" i="4"/>
  <c r="M8" i="4" s="1"/>
  <c r="W7" i="4"/>
  <c r="L8" i="4" s="1"/>
  <c r="V7" i="4"/>
  <c r="K8" i="4" s="1"/>
  <c r="U7" i="4"/>
  <c r="J8" i="4" s="1"/>
  <c r="T7" i="4"/>
  <c r="I8" i="4" s="1"/>
  <c r="Q7" i="4"/>
  <c r="R7" i="4" s="1"/>
  <c r="P7" i="4"/>
  <c r="Y7" i="4" s="1"/>
  <c r="Q167" i="8"/>
  <c r="R167" i="8" s="1"/>
  <c r="P167" i="8"/>
  <c r="Y167" i="8" s="1"/>
  <c r="X167" i="8"/>
  <c r="M168" i="8" s="1"/>
  <c r="W167" i="8"/>
  <c r="L168" i="8" s="1"/>
  <c r="V167" i="8"/>
  <c r="K168" i="8" s="1"/>
  <c r="U167" i="8"/>
  <c r="J168" i="8" s="1"/>
  <c r="T167" i="8"/>
  <c r="I168" i="8" s="1"/>
  <c r="I436" i="8"/>
  <c r="N435" i="8"/>
  <c r="O435" i="8" s="1"/>
  <c r="I97" i="3"/>
  <c r="N96" i="3"/>
  <c r="O96" i="3" s="1"/>
  <c r="N436" i="8" l="1"/>
  <c r="O436" i="8" s="1"/>
  <c r="I437" i="8"/>
  <c r="I98" i="3"/>
  <c r="N97" i="3"/>
  <c r="O97" i="3" s="1"/>
  <c r="Q435" i="8"/>
  <c r="R435" i="8" s="1"/>
  <c r="P435" i="8"/>
  <c r="T435" i="8" s="1"/>
  <c r="Q96" i="3"/>
  <c r="R96" i="3" s="1"/>
  <c r="P96" i="3"/>
  <c r="N8" i="4"/>
  <c r="O8" i="4" s="1"/>
  <c r="N168" i="8"/>
  <c r="O168" i="8" s="1"/>
  <c r="I438" i="8" l="1"/>
  <c r="N437" i="8"/>
  <c r="O437" i="8" s="1"/>
  <c r="P97" i="3"/>
  <c r="Q97" i="3"/>
  <c r="R97" i="3" s="1"/>
  <c r="X8" i="4"/>
  <c r="M9" i="4" s="1"/>
  <c r="W8" i="4"/>
  <c r="L9" i="4" s="1"/>
  <c r="V8" i="4"/>
  <c r="K9" i="4" s="1"/>
  <c r="U8" i="4"/>
  <c r="J9" i="4" s="1"/>
  <c r="T8" i="4"/>
  <c r="I9" i="4" s="1"/>
  <c r="Q8" i="4"/>
  <c r="R8" i="4" s="1"/>
  <c r="P8" i="4"/>
  <c r="Y8" i="4" s="1"/>
  <c r="P436" i="8"/>
  <c r="T436" i="8" s="1"/>
  <c r="Q436" i="8"/>
  <c r="R436" i="8" s="1"/>
  <c r="T96" i="3"/>
  <c r="N98" i="3"/>
  <c r="O98" i="3" s="1"/>
  <c r="I99" i="3"/>
  <c r="Q168" i="8"/>
  <c r="R168" i="8" s="1"/>
  <c r="P168" i="8"/>
  <c r="Y168" i="8" s="1"/>
  <c r="X168" i="8"/>
  <c r="M169" i="8" s="1"/>
  <c r="W168" i="8"/>
  <c r="L169" i="8" s="1"/>
  <c r="V168" i="8"/>
  <c r="K169" i="8" s="1"/>
  <c r="U168" i="8"/>
  <c r="J169" i="8" s="1"/>
  <c r="T168" i="8"/>
  <c r="I169" i="8" s="1"/>
  <c r="Q98" i="3" l="1"/>
  <c r="R98" i="3" s="1"/>
  <c r="P98" i="3"/>
  <c r="N9" i="4"/>
  <c r="O9" i="4" s="1"/>
  <c r="T97" i="3"/>
  <c r="N169" i="8"/>
  <c r="O169" i="8" s="1"/>
  <c r="Q437" i="8"/>
  <c r="R437" i="8" s="1"/>
  <c r="P437" i="8"/>
  <c r="T437" i="8" s="1"/>
  <c r="I100" i="3"/>
  <c r="N99" i="3"/>
  <c r="O99" i="3" s="1"/>
  <c r="N438" i="8"/>
  <c r="O438" i="8" s="1"/>
  <c r="I439" i="8"/>
  <c r="I440" i="8" l="1"/>
  <c r="N439" i="8"/>
  <c r="O439" i="8" s="1"/>
  <c r="Q438" i="8"/>
  <c r="R438" i="8" s="1"/>
  <c r="P438" i="8"/>
  <c r="T438" i="8" s="1"/>
  <c r="Q169" i="8"/>
  <c r="R169" i="8" s="1"/>
  <c r="P169" i="8"/>
  <c r="Y169" i="8" s="1"/>
  <c r="X169" i="8"/>
  <c r="M170" i="8" s="1"/>
  <c r="W169" i="8"/>
  <c r="L170" i="8" s="1"/>
  <c r="T169" i="8"/>
  <c r="I170" i="8" s="1"/>
  <c r="V169" i="8"/>
  <c r="K170" i="8" s="1"/>
  <c r="U169" i="8"/>
  <c r="J170" i="8" s="1"/>
  <c r="Q99" i="3"/>
  <c r="R99" i="3" s="1"/>
  <c r="P99" i="3"/>
  <c r="T99" i="3" s="1"/>
  <c r="T98" i="3"/>
  <c r="X9" i="4"/>
  <c r="M10" i="4" s="1"/>
  <c r="W9" i="4"/>
  <c r="L10" i="4" s="1"/>
  <c r="V9" i="4"/>
  <c r="K10" i="4" s="1"/>
  <c r="U9" i="4"/>
  <c r="J10" i="4" s="1"/>
  <c r="T9" i="4"/>
  <c r="I10" i="4" s="1"/>
  <c r="Q9" i="4"/>
  <c r="R9" i="4" s="1"/>
  <c r="P9" i="4"/>
  <c r="Y9" i="4" s="1"/>
  <c r="I101" i="3"/>
  <c r="N100" i="3"/>
  <c r="O100" i="3" s="1"/>
  <c r="N170" i="8" l="1"/>
  <c r="O170" i="8" s="1"/>
  <c r="N101" i="3"/>
  <c r="O101" i="3" s="1"/>
  <c r="I102" i="3"/>
  <c r="N10" i="4"/>
  <c r="O10" i="4" s="1"/>
  <c r="Q439" i="8"/>
  <c r="R439" i="8" s="1"/>
  <c r="P439" i="8"/>
  <c r="T439" i="8" s="1"/>
  <c r="Q100" i="3"/>
  <c r="R100" i="3" s="1"/>
  <c r="P100" i="3"/>
  <c r="T100" i="3" s="1"/>
  <c r="I441" i="8"/>
  <c r="N440" i="8"/>
  <c r="O440" i="8" s="1"/>
  <c r="X10" i="4" l="1"/>
  <c r="M11" i="4" s="1"/>
  <c r="W10" i="4"/>
  <c r="L11" i="4" s="1"/>
  <c r="V10" i="4"/>
  <c r="K11" i="4" s="1"/>
  <c r="U10" i="4"/>
  <c r="J11" i="4" s="1"/>
  <c r="T10" i="4"/>
  <c r="I11" i="4" s="1"/>
  <c r="Q10" i="4"/>
  <c r="R10" i="4" s="1"/>
  <c r="P10" i="4"/>
  <c r="Y10" i="4" s="1"/>
  <c r="P101" i="3"/>
  <c r="Q101" i="3"/>
  <c r="R101" i="3" s="1"/>
  <c r="Q170" i="8"/>
  <c r="R170" i="8" s="1"/>
  <c r="P170" i="8"/>
  <c r="Y170" i="8" s="1"/>
  <c r="X170" i="8"/>
  <c r="M171" i="8" s="1"/>
  <c r="W170" i="8"/>
  <c r="L171" i="8" s="1"/>
  <c r="V170" i="8"/>
  <c r="K171" i="8" s="1"/>
  <c r="U170" i="8"/>
  <c r="J171" i="8" s="1"/>
  <c r="T170" i="8"/>
  <c r="I171" i="8" s="1"/>
  <c r="I103" i="3"/>
  <c r="N102" i="3"/>
  <c r="O102" i="3" s="1"/>
  <c r="Q440" i="8"/>
  <c r="R440" i="8" s="1"/>
  <c r="P440" i="8"/>
  <c r="T440" i="8" s="1"/>
  <c r="I442" i="8"/>
  <c r="N441" i="8"/>
  <c r="O441" i="8" s="1"/>
  <c r="N442" i="8" l="1"/>
  <c r="O442" i="8" s="1"/>
  <c r="I443" i="8"/>
  <c r="T101" i="3"/>
  <c r="N11" i="4"/>
  <c r="O11" i="4" s="1"/>
  <c r="N171" i="8"/>
  <c r="O171" i="8" s="1"/>
  <c r="Q102" i="3"/>
  <c r="R102" i="3" s="1"/>
  <c r="P102" i="3"/>
  <c r="T102" i="3" s="1"/>
  <c r="Q441" i="8"/>
  <c r="R441" i="8" s="1"/>
  <c r="P441" i="8"/>
  <c r="T441" i="8" s="1"/>
  <c r="I104" i="3"/>
  <c r="N103" i="3"/>
  <c r="O103" i="3" s="1"/>
  <c r="Q103" i="3" l="1"/>
  <c r="R103" i="3" s="1"/>
  <c r="P103" i="3"/>
  <c r="T103" i="3" s="1"/>
  <c r="Q171" i="8"/>
  <c r="R171" i="8" s="1"/>
  <c r="P171" i="8"/>
  <c r="Y171" i="8" s="1"/>
  <c r="V171" i="8"/>
  <c r="K172" i="8" s="1"/>
  <c r="U171" i="8"/>
  <c r="J172" i="8" s="1"/>
  <c r="T171" i="8"/>
  <c r="I172" i="8" s="1"/>
  <c r="W171" i="8"/>
  <c r="L172" i="8" s="1"/>
  <c r="X171" i="8"/>
  <c r="M172" i="8" s="1"/>
  <c r="N104" i="3"/>
  <c r="O104" i="3" s="1"/>
  <c r="I105" i="3"/>
  <c r="X11" i="4"/>
  <c r="M12" i="4" s="1"/>
  <c r="W11" i="4"/>
  <c r="L12" i="4" s="1"/>
  <c r="V11" i="4"/>
  <c r="K12" i="4" s="1"/>
  <c r="U11" i="4"/>
  <c r="J12" i="4" s="1"/>
  <c r="T11" i="4"/>
  <c r="I12" i="4" s="1"/>
  <c r="Q11" i="4"/>
  <c r="R11" i="4" s="1"/>
  <c r="P11" i="4"/>
  <c r="Y11" i="4" s="1"/>
  <c r="N443" i="8"/>
  <c r="O443" i="8" s="1"/>
  <c r="I444" i="8"/>
  <c r="Q442" i="8"/>
  <c r="R442" i="8" s="1"/>
  <c r="P442" i="8"/>
  <c r="T442" i="8" s="1"/>
  <c r="I445" i="8" l="1"/>
  <c r="N444" i="8"/>
  <c r="O444" i="8" s="1"/>
  <c r="Q104" i="3"/>
  <c r="R104" i="3" s="1"/>
  <c r="P104" i="3"/>
  <c r="N172" i="8"/>
  <c r="O172" i="8" s="1"/>
  <c r="Q443" i="8"/>
  <c r="R443" i="8" s="1"/>
  <c r="P443" i="8"/>
  <c r="T443" i="8" s="1"/>
  <c r="I106" i="3"/>
  <c r="N105" i="3"/>
  <c r="O105" i="3" s="1"/>
  <c r="N12" i="4"/>
  <c r="O12" i="4" s="1"/>
  <c r="I107" i="3" l="1"/>
  <c r="N106" i="3"/>
  <c r="O106" i="3" s="1"/>
  <c r="Q172" i="8"/>
  <c r="R172" i="8" s="1"/>
  <c r="P172" i="8"/>
  <c r="Y172" i="8" s="1"/>
  <c r="X172" i="8"/>
  <c r="M173" i="8" s="1"/>
  <c r="W172" i="8"/>
  <c r="L173" i="8" s="1"/>
  <c r="V172" i="8"/>
  <c r="K173" i="8" s="1"/>
  <c r="U172" i="8"/>
  <c r="J173" i="8" s="1"/>
  <c r="T172" i="8"/>
  <c r="I173" i="8" s="1"/>
  <c r="X12" i="4"/>
  <c r="M13" i="4" s="1"/>
  <c r="W12" i="4"/>
  <c r="L13" i="4" s="1"/>
  <c r="V12" i="4"/>
  <c r="K13" i="4" s="1"/>
  <c r="U12" i="4"/>
  <c r="J13" i="4" s="1"/>
  <c r="T12" i="4"/>
  <c r="I13" i="4" s="1"/>
  <c r="Q12" i="4"/>
  <c r="R12" i="4" s="1"/>
  <c r="P12" i="4"/>
  <c r="Y12" i="4" s="1"/>
  <c r="I446" i="8"/>
  <c r="N445" i="8"/>
  <c r="O445" i="8" s="1"/>
  <c r="Q105" i="3"/>
  <c r="R105" i="3" s="1"/>
  <c r="P105" i="3"/>
  <c r="T105" i="3" s="1"/>
  <c r="T104" i="3"/>
  <c r="P444" i="8"/>
  <c r="T444" i="8" s="1"/>
  <c r="Q444" i="8"/>
  <c r="R444" i="8" s="1"/>
  <c r="N13" i="4" l="1"/>
  <c r="O13" i="4" s="1"/>
  <c r="Q106" i="3"/>
  <c r="R106" i="3" s="1"/>
  <c r="P106" i="3"/>
  <c r="N173" i="8"/>
  <c r="O173" i="8" s="1"/>
  <c r="Q445" i="8"/>
  <c r="R445" i="8" s="1"/>
  <c r="P445" i="8"/>
  <c r="T445" i="8" s="1"/>
  <c r="N446" i="8"/>
  <c r="O446" i="8" s="1"/>
  <c r="I447" i="8"/>
  <c r="N107" i="3"/>
  <c r="O107" i="3" s="1"/>
  <c r="I108" i="3"/>
  <c r="Q173" i="8" l="1"/>
  <c r="R173" i="8" s="1"/>
  <c r="P173" i="8"/>
  <c r="Y173" i="8" s="1"/>
  <c r="X173" i="8"/>
  <c r="M174" i="8" s="1"/>
  <c r="W173" i="8"/>
  <c r="L174" i="8" s="1"/>
  <c r="V173" i="8"/>
  <c r="K174" i="8" s="1"/>
  <c r="U173" i="8"/>
  <c r="J174" i="8" s="1"/>
  <c r="T173" i="8"/>
  <c r="I174" i="8" s="1"/>
  <c r="T106" i="3"/>
  <c r="I448" i="8"/>
  <c r="N447" i="8"/>
  <c r="O447" i="8" s="1"/>
  <c r="X13" i="4"/>
  <c r="M14" i="4" s="1"/>
  <c r="W13" i="4"/>
  <c r="L14" i="4" s="1"/>
  <c r="V13" i="4"/>
  <c r="K14" i="4" s="1"/>
  <c r="U13" i="4"/>
  <c r="J14" i="4" s="1"/>
  <c r="T13" i="4"/>
  <c r="I14" i="4" s="1"/>
  <c r="Q13" i="4"/>
  <c r="R13" i="4" s="1"/>
  <c r="P13" i="4"/>
  <c r="Y13" i="4" s="1"/>
  <c r="N108" i="3"/>
  <c r="O108" i="3" s="1"/>
  <c r="I109" i="3"/>
  <c r="Q107" i="3"/>
  <c r="R107" i="3" s="1"/>
  <c r="P107" i="3"/>
  <c r="T107" i="3" s="1"/>
  <c r="P446" i="8"/>
  <c r="T446" i="8" s="1"/>
  <c r="Q446" i="8"/>
  <c r="R446" i="8" s="1"/>
  <c r="Q447" i="8" l="1"/>
  <c r="R447" i="8" s="1"/>
  <c r="P447" i="8"/>
  <c r="T447" i="8" s="1"/>
  <c r="N174" i="8"/>
  <c r="O174" i="8" s="1"/>
  <c r="I449" i="8"/>
  <c r="N449" i="8" s="1"/>
  <c r="O449" i="8" s="1"/>
  <c r="N448" i="8"/>
  <c r="O448" i="8" s="1"/>
  <c r="Q108" i="3"/>
  <c r="R108" i="3" s="1"/>
  <c r="P108" i="3"/>
  <c r="I110" i="3"/>
  <c r="N110" i="3" s="1"/>
  <c r="O110" i="3" s="1"/>
  <c r="N109" i="3"/>
  <c r="O109" i="3" s="1"/>
  <c r="N14" i="4"/>
  <c r="O14" i="4" s="1"/>
  <c r="T108" i="3" l="1"/>
  <c r="Q449" i="8"/>
  <c r="R449" i="8" s="1"/>
  <c r="W449" i="8" s="1"/>
  <c r="C517" i="8" s="1"/>
  <c r="P449" i="8"/>
  <c r="T449" i="8" s="1"/>
  <c r="V449" i="8" s="1"/>
  <c r="E517" i="8" s="1"/>
  <c r="P109" i="3"/>
  <c r="T109" i="3" s="1"/>
  <c r="Q109" i="3"/>
  <c r="R109" i="3" s="1"/>
  <c r="X14" i="4"/>
  <c r="M15" i="4" s="1"/>
  <c r="W14" i="4"/>
  <c r="L15" i="4" s="1"/>
  <c r="V14" i="4"/>
  <c r="K15" i="4" s="1"/>
  <c r="U14" i="4"/>
  <c r="J15" i="4" s="1"/>
  <c r="T14" i="4"/>
  <c r="I15" i="4" s="1"/>
  <c r="Q14" i="4"/>
  <c r="R14" i="4" s="1"/>
  <c r="P14" i="4"/>
  <c r="Y14" i="4" s="1"/>
  <c r="Q110" i="3"/>
  <c r="R110" i="3" s="1"/>
  <c r="R111" i="3" s="1"/>
  <c r="C6" i="7" s="1"/>
  <c r="P110" i="3"/>
  <c r="P448" i="8"/>
  <c r="T448" i="8" s="1"/>
  <c r="Q448" i="8"/>
  <c r="R448" i="8" s="1"/>
  <c r="Q174" i="8"/>
  <c r="R174" i="8" s="1"/>
  <c r="P174" i="8"/>
  <c r="Y174" i="8" s="1"/>
  <c r="T174" i="8"/>
  <c r="I175" i="8" s="1"/>
  <c r="X174" i="8"/>
  <c r="M175" i="8" s="1"/>
  <c r="W174" i="8"/>
  <c r="L175" i="8" s="1"/>
  <c r="V174" i="8"/>
  <c r="K175" i="8" s="1"/>
  <c r="U174" i="8"/>
  <c r="J175" i="8" s="1"/>
  <c r="N15" i="4" l="1"/>
  <c r="O15" i="4" s="1"/>
  <c r="N175" i="8"/>
  <c r="O175" i="8" s="1"/>
  <c r="T110" i="3"/>
  <c r="T111" i="3" s="1"/>
  <c r="E6" i="7" s="1"/>
  <c r="C116" i="3"/>
  <c r="J115" i="3" s="1"/>
  <c r="D116" i="3"/>
  <c r="C117" i="3"/>
  <c r="D117" i="3"/>
  <c r="X15" i="4" l="1"/>
  <c r="M16" i="4" s="1"/>
  <c r="W15" i="4"/>
  <c r="L16" i="4" s="1"/>
  <c r="V15" i="4"/>
  <c r="K16" i="4" s="1"/>
  <c r="U15" i="4"/>
  <c r="J16" i="4" s="1"/>
  <c r="T15" i="4"/>
  <c r="I16" i="4" s="1"/>
  <c r="Q15" i="4"/>
  <c r="R15" i="4" s="1"/>
  <c r="P15" i="4"/>
  <c r="Y15" i="4" s="1"/>
  <c r="Q175" i="8"/>
  <c r="R175" i="8" s="1"/>
  <c r="P175" i="8"/>
  <c r="Y175" i="8" s="1"/>
  <c r="X175" i="8"/>
  <c r="M176" i="8" s="1"/>
  <c r="W175" i="8"/>
  <c r="L176" i="8" s="1"/>
  <c r="V175" i="8"/>
  <c r="K176" i="8" s="1"/>
  <c r="U175" i="8"/>
  <c r="J176" i="8" s="1"/>
  <c r="T175" i="8"/>
  <c r="I176" i="8" s="1"/>
  <c r="J117" i="3"/>
  <c r="J116" i="3"/>
  <c r="J118" i="3" s="1"/>
  <c r="N176" i="8" l="1"/>
  <c r="O176" i="8" s="1"/>
  <c r="N16" i="4"/>
  <c r="O16" i="4" s="1"/>
  <c r="X16" i="4" l="1"/>
  <c r="M17" i="4" s="1"/>
  <c r="U16" i="4"/>
  <c r="J17" i="4" s="1"/>
  <c r="W16" i="4"/>
  <c r="L17" i="4" s="1"/>
  <c r="V16" i="4"/>
  <c r="K17" i="4" s="1"/>
  <c r="T16" i="4"/>
  <c r="I17" i="4" s="1"/>
  <c r="Q16" i="4"/>
  <c r="R16" i="4" s="1"/>
  <c r="P16" i="4"/>
  <c r="Y16" i="4" s="1"/>
  <c r="Q176" i="8"/>
  <c r="R176" i="8" s="1"/>
  <c r="P176" i="8"/>
  <c r="Y176" i="8" s="1"/>
  <c r="X176" i="8"/>
  <c r="M177" i="8" s="1"/>
  <c r="W176" i="8"/>
  <c r="L177" i="8" s="1"/>
  <c r="V176" i="8"/>
  <c r="K177" i="8" s="1"/>
  <c r="U176" i="8"/>
  <c r="J177" i="8" s="1"/>
  <c r="T176" i="8"/>
  <c r="I177" i="8" s="1"/>
  <c r="N17" i="4" l="1"/>
  <c r="O17" i="4" s="1"/>
  <c r="N177" i="8"/>
  <c r="O177" i="8" s="1"/>
  <c r="Q177" i="8" l="1"/>
  <c r="R177" i="8" s="1"/>
  <c r="P177" i="8"/>
  <c r="Y177" i="8" s="1"/>
  <c r="U177" i="8"/>
  <c r="J178" i="8" s="1"/>
  <c r="T177" i="8"/>
  <c r="I178" i="8" s="1"/>
  <c r="X177" i="8"/>
  <c r="M178" i="8" s="1"/>
  <c r="W177" i="8"/>
  <c r="L178" i="8" s="1"/>
  <c r="V177" i="8"/>
  <c r="K178" i="8" s="1"/>
  <c r="X17" i="4"/>
  <c r="M18" i="4" s="1"/>
  <c r="U17" i="4"/>
  <c r="J18" i="4" s="1"/>
  <c r="W17" i="4"/>
  <c r="L18" i="4" s="1"/>
  <c r="T17" i="4"/>
  <c r="I18" i="4" s="1"/>
  <c r="Q17" i="4"/>
  <c r="R17" i="4" s="1"/>
  <c r="P17" i="4"/>
  <c r="Y17" i="4" s="1"/>
  <c r="V17" i="4"/>
  <c r="K18" i="4" s="1"/>
  <c r="N18" i="4" l="1"/>
  <c r="O18" i="4" s="1"/>
  <c r="N178" i="8"/>
  <c r="O178" i="8" s="1"/>
  <c r="Q178" i="8" l="1"/>
  <c r="R178" i="8" s="1"/>
  <c r="P178" i="8"/>
  <c r="Y178" i="8" s="1"/>
  <c r="X178" i="8"/>
  <c r="M179" i="8" s="1"/>
  <c r="W178" i="8"/>
  <c r="L179" i="8" s="1"/>
  <c r="V178" i="8"/>
  <c r="K179" i="8" s="1"/>
  <c r="U178" i="8"/>
  <c r="J179" i="8" s="1"/>
  <c r="T178" i="8"/>
  <c r="I179" i="8" s="1"/>
  <c r="X18" i="4"/>
  <c r="M19" i="4" s="1"/>
  <c r="U18" i="4"/>
  <c r="J19" i="4" s="1"/>
  <c r="W18" i="4"/>
  <c r="L19" i="4" s="1"/>
  <c r="V18" i="4"/>
  <c r="K19" i="4" s="1"/>
  <c r="Q18" i="4"/>
  <c r="R18" i="4" s="1"/>
  <c r="P18" i="4"/>
  <c r="Y18" i="4" s="1"/>
  <c r="T18" i="4"/>
  <c r="I19" i="4" s="1"/>
  <c r="N19" i="4" l="1"/>
  <c r="O19" i="4" s="1"/>
  <c r="N179" i="8"/>
  <c r="O179" i="8" s="1"/>
  <c r="Q179" i="8" l="1"/>
  <c r="R179" i="8" s="1"/>
  <c r="P179" i="8"/>
  <c r="Y179" i="8" s="1"/>
  <c r="X179" i="8"/>
  <c r="M180" i="8" s="1"/>
  <c r="W179" i="8"/>
  <c r="L180" i="8" s="1"/>
  <c r="V179" i="8"/>
  <c r="K180" i="8" s="1"/>
  <c r="U179" i="8"/>
  <c r="J180" i="8" s="1"/>
  <c r="T179" i="8"/>
  <c r="I180" i="8" s="1"/>
  <c r="X19" i="4"/>
  <c r="M20" i="4" s="1"/>
  <c r="U19" i="4"/>
  <c r="J20" i="4" s="1"/>
  <c r="P19" i="4"/>
  <c r="Y19" i="4" s="1"/>
  <c r="W19" i="4"/>
  <c r="L20" i="4" s="1"/>
  <c r="V19" i="4"/>
  <c r="K20" i="4" s="1"/>
  <c r="T19" i="4"/>
  <c r="I20" i="4" s="1"/>
  <c r="Q19" i="4"/>
  <c r="R19" i="4" s="1"/>
  <c r="N20" i="4" l="1"/>
  <c r="O20" i="4" s="1"/>
  <c r="N180" i="8"/>
  <c r="O180" i="8" s="1"/>
  <c r="Q180" i="8" l="1"/>
  <c r="R180" i="8" s="1"/>
  <c r="P180" i="8"/>
  <c r="Y180" i="8" s="1"/>
  <c r="V180" i="8"/>
  <c r="K181" i="8" s="1"/>
  <c r="U180" i="8"/>
  <c r="J181" i="8" s="1"/>
  <c r="T180" i="8"/>
  <c r="I181" i="8" s="1"/>
  <c r="W180" i="8"/>
  <c r="L181" i="8" s="1"/>
  <c r="X180" i="8"/>
  <c r="M181" i="8" s="1"/>
  <c r="X20" i="4"/>
  <c r="M21" i="4" s="1"/>
  <c r="U20" i="4"/>
  <c r="J21" i="4" s="1"/>
  <c r="V20" i="4"/>
  <c r="K21" i="4" s="1"/>
  <c r="T20" i="4"/>
  <c r="I21" i="4" s="1"/>
  <c r="Q20" i="4"/>
  <c r="R20" i="4" s="1"/>
  <c r="P20" i="4"/>
  <c r="Y20" i="4" s="1"/>
  <c r="W20" i="4"/>
  <c r="L21" i="4" s="1"/>
  <c r="N21" i="4" l="1"/>
  <c r="O21" i="4" s="1"/>
  <c r="N181" i="8"/>
  <c r="O181" i="8" s="1"/>
  <c r="Q181" i="8" l="1"/>
  <c r="R181" i="8" s="1"/>
  <c r="P181" i="8"/>
  <c r="Y181" i="8" s="1"/>
  <c r="X181" i="8"/>
  <c r="M182" i="8" s="1"/>
  <c r="W181" i="8"/>
  <c r="L182" i="8" s="1"/>
  <c r="V181" i="8"/>
  <c r="K182" i="8" s="1"/>
  <c r="U181" i="8"/>
  <c r="J182" i="8" s="1"/>
  <c r="T181" i="8"/>
  <c r="I182" i="8" s="1"/>
  <c r="X21" i="4"/>
  <c r="M22" i="4" s="1"/>
  <c r="U21" i="4"/>
  <c r="J22" i="4" s="1"/>
  <c r="W21" i="4"/>
  <c r="L22" i="4" s="1"/>
  <c r="V21" i="4"/>
  <c r="K22" i="4" s="1"/>
  <c r="T21" i="4"/>
  <c r="I22" i="4" s="1"/>
  <c r="Q21" i="4"/>
  <c r="R21" i="4" s="1"/>
  <c r="P21" i="4"/>
  <c r="Y21" i="4" s="1"/>
  <c r="N22" i="4" l="1"/>
  <c r="O22" i="4" s="1"/>
  <c r="N182" i="8"/>
  <c r="O182" i="8" s="1"/>
  <c r="Q182" i="8" l="1"/>
  <c r="R182" i="8" s="1"/>
  <c r="P182" i="8"/>
  <c r="Y182" i="8" s="1"/>
  <c r="X182" i="8"/>
  <c r="M183" i="8" s="1"/>
  <c r="W182" i="8"/>
  <c r="L183" i="8" s="1"/>
  <c r="V182" i="8"/>
  <c r="K183" i="8" s="1"/>
  <c r="U182" i="8"/>
  <c r="J183" i="8" s="1"/>
  <c r="T182" i="8"/>
  <c r="I183" i="8" s="1"/>
  <c r="X22" i="4"/>
  <c r="M23" i="4" s="1"/>
  <c r="U22" i="4"/>
  <c r="J23" i="4" s="1"/>
  <c r="W22" i="4"/>
  <c r="L23" i="4" s="1"/>
  <c r="V22" i="4"/>
  <c r="K23" i="4" s="1"/>
  <c r="Q22" i="4"/>
  <c r="R22" i="4" s="1"/>
  <c r="P22" i="4"/>
  <c r="Y22" i="4" s="1"/>
  <c r="T22" i="4"/>
  <c r="I23" i="4" s="1"/>
  <c r="N23" i="4" l="1"/>
  <c r="O23" i="4" s="1"/>
  <c r="N183" i="8"/>
  <c r="O183" i="8" s="1"/>
  <c r="Q183" i="8" l="1"/>
  <c r="R183" i="8" s="1"/>
  <c r="P183" i="8"/>
  <c r="Y183" i="8" s="1"/>
  <c r="W183" i="8"/>
  <c r="L184" i="8" s="1"/>
  <c r="V183" i="8"/>
  <c r="K184" i="8" s="1"/>
  <c r="U183" i="8"/>
  <c r="J184" i="8" s="1"/>
  <c r="T183" i="8"/>
  <c r="I184" i="8" s="1"/>
  <c r="X183" i="8"/>
  <c r="M184" i="8" s="1"/>
  <c r="X23" i="4"/>
  <c r="M24" i="4" s="1"/>
  <c r="U23" i="4"/>
  <c r="J24" i="4" s="1"/>
  <c r="W23" i="4"/>
  <c r="L24" i="4" s="1"/>
  <c r="V23" i="4"/>
  <c r="K24" i="4" s="1"/>
  <c r="T23" i="4"/>
  <c r="I24" i="4" s="1"/>
  <c r="P23" i="4"/>
  <c r="Y23" i="4" s="1"/>
  <c r="Q23" i="4"/>
  <c r="R23" i="4" s="1"/>
  <c r="N24" i="4" l="1"/>
  <c r="O24" i="4" s="1"/>
  <c r="N184" i="8"/>
  <c r="O184" i="8" s="1"/>
  <c r="Q184" i="8" l="1"/>
  <c r="R184" i="8" s="1"/>
  <c r="P184" i="8"/>
  <c r="Y184" i="8" s="1"/>
  <c r="X184" i="8"/>
  <c r="M185" i="8" s="1"/>
  <c r="W184" i="8"/>
  <c r="L185" i="8" s="1"/>
  <c r="V184" i="8"/>
  <c r="K185" i="8" s="1"/>
  <c r="U184" i="8"/>
  <c r="J185" i="8" s="1"/>
  <c r="T184" i="8"/>
  <c r="I185" i="8" s="1"/>
  <c r="X24" i="4"/>
  <c r="M25" i="4" s="1"/>
  <c r="U24" i="4"/>
  <c r="J25" i="4" s="1"/>
  <c r="V24" i="4"/>
  <c r="K25" i="4" s="1"/>
  <c r="W24" i="4"/>
  <c r="L25" i="4" s="1"/>
  <c r="T24" i="4"/>
  <c r="I25" i="4" s="1"/>
  <c r="Q24" i="4"/>
  <c r="R24" i="4" s="1"/>
  <c r="P24" i="4"/>
  <c r="Y24" i="4" s="1"/>
  <c r="N25" i="4" l="1"/>
  <c r="O25" i="4" s="1"/>
  <c r="N185" i="8"/>
  <c r="O185" i="8" s="1"/>
  <c r="Q185" i="8" l="1"/>
  <c r="R185" i="8" s="1"/>
  <c r="P185" i="8"/>
  <c r="Y185" i="8" s="1"/>
  <c r="X185" i="8"/>
  <c r="M186" i="8" s="1"/>
  <c r="W185" i="8"/>
  <c r="L186" i="8" s="1"/>
  <c r="V185" i="8"/>
  <c r="K186" i="8" s="1"/>
  <c r="U185" i="8"/>
  <c r="J186" i="8" s="1"/>
  <c r="T185" i="8"/>
  <c r="I186" i="8" s="1"/>
  <c r="X25" i="4"/>
  <c r="M26" i="4" s="1"/>
  <c r="U25" i="4"/>
  <c r="J26" i="4" s="1"/>
  <c r="T25" i="4"/>
  <c r="I26" i="4" s="1"/>
  <c r="Q25" i="4"/>
  <c r="R25" i="4" s="1"/>
  <c r="P25" i="4"/>
  <c r="Y25" i="4" s="1"/>
  <c r="W25" i="4"/>
  <c r="L26" i="4" s="1"/>
  <c r="V25" i="4"/>
  <c r="K26" i="4" s="1"/>
  <c r="N26" i="4" l="1"/>
  <c r="O26" i="4" s="1"/>
  <c r="N186" i="8"/>
  <c r="O186" i="8" s="1"/>
  <c r="Q186" i="8" l="1"/>
  <c r="R186" i="8" s="1"/>
  <c r="P186" i="8"/>
  <c r="Y186" i="8" s="1"/>
  <c r="X186" i="8"/>
  <c r="M187" i="8" s="1"/>
  <c r="W186" i="8"/>
  <c r="L187" i="8" s="1"/>
  <c r="V186" i="8"/>
  <c r="K187" i="8" s="1"/>
  <c r="U186" i="8"/>
  <c r="J187" i="8" s="1"/>
  <c r="T186" i="8"/>
  <c r="I187" i="8" s="1"/>
  <c r="X26" i="4"/>
  <c r="M27" i="4" s="1"/>
  <c r="U26" i="4"/>
  <c r="J27" i="4" s="1"/>
  <c r="W26" i="4"/>
  <c r="L27" i="4" s="1"/>
  <c r="V26" i="4"/>
  <c r="K27" i="4" s="1"/>
  <c r="T26" i="4"/>
  <c r="I27" i="4" s="1"/>
  <c r="Q26" i="4"/>
  <c r="R26" i="4" s="1"/>
  <c r="P26" i="4"/>
  <c r="Y26" i="4" s="1"/>
  <c r="N27" i="4" l="1"/>
  <c r="O27" i="4" s="1"/>
  <c r="N187" i="8"/>
  <c r="O187" i="8" s="1"/>
  <c r="Q187" i="8" l="1"/>
  <c r="R187" i="8" s="1"/>
  <c r="P187" i="8"/>
  <c r="Y187" i="8" s="1"/>
  <c r="X187" i="8"/>
  <c r="M188" i="8" s="1"/>
  <c r="W187" i="8"/>
  <c r="L188" i="8" s="1"/>
  <c r="V187" i="8"/>
  <c r="K188" i="8" s="1"/>
  <c r="U187" i="8"/>
  <c r="J188" i="8" s="1"/>
  <c r="T187" i="8"/>
  <c r="I188" i="8" s="1"/>
  <c r="X27" i="4"/>
  <c r="M28" i="4" s="1"/>
  <c r="U27" i="4"/>
  <c r="J28" i="4" s="1"/>
  <c r="W27" i="4"/>
  <c r="L28" i="4" s="1"/>
  <c r="V27" i="4"/>
  <c r="K28" i="4" s="1"/>
  <c r="T27" i="4"/>
  <c r="I28" i="4" s="1"/>
  <c r="P27" i="4"/>
  <c r="Y27" i="4" s="1"/>
  <c r="Q27" i="4"/>
  <c r="R27" i="4" s="1"/>
  <c r="N28" i="4" l="1"/>
  <c r="O28" i="4" s="1"/>
  <c r="N188" i="8"/>
  <c r="O188" i="8" s="1"/>
  <c r="Q188" i="8" l="1"/>
  <c r="R188" i="8" s="1"/>
  <c r="P188" i="8"/>
  <c r="Y188" i="8" s="1"/>
  <c r="X188" i="8"/>
  <c r="M189" i="8" s="1"/>
  <c r="W188" i="8"/>
  <c r="L189" i="8" s="1"/>
  <c r="V188" i="8"/>
  <c r="K189" i="8" s="1"/>
  <c r="U188" i="8"/>
  <c r="J189" i="8" s="1"/>
  <c r="T188" i="8"/>
  <c r="I189" i="8" s="1"/>
  <c r="X28" i="4"/>
  <c r="M29" i="4" s="1"/>
  <c r="U28" i="4"/>
  <c r="J29" i="4" s="1"/>
  <c r="V28" i="4"/>
  <c r="K29" i="4" s="1"/>
  <c r="T28" i="4"/>
  <c r="I29" i="4" s="1"/>
  <c r="Q28" i="4"/>
  <c r="R28" i="4" s="1"/>
  <c r="W28" i="4"/>
  <c r="L29" i="4" s="1"/>
  <c r="P28" i="4"/>
  <c r="Y28" i="4" s="1"/>
  <c r="N189" i="8" l="1"/>
  <c r="O189" i="8" s="1"/>
  <c r="N29" i="4"/>
  <c r="O29" i="4" s="1"/>
  <c r="X29" i="4" l="1"/>
  <c r="M30" i="4" s="1"/>
  <c r="U29" i="4"/>
  <c r="J30" i="4" s="1"/>
  <c r="W29" i="4"/>
  <c r="L30" i="4" s="1"/>
  <c r="T29" i="4"/>
  <c r="I30" i="4" s="1"/>
  <c r="Q29" i="4"/>
  <c r="R29" i="4" s="1"/>
  <c r="P29" i="4"/>
  <c r="Y29" i="4" s="1"/>
  <c r="V29" i="4"/>
  <c r="K30" i="4" s="1"/>
  <c r="Q189" i="8"/>
  <c r="R189" i="8" s="1"/>
  <c r="P189" i="8"/>
  <c r="Y189" i="8" s="1"/>
  <c r="X189" i="8"/>
  <c r="M190" i="8" s="1"/>
  <c r="W189" i="8"/>
  <c r="L190" i="8" s="1"/>
  <c r="V189" i="8"/>
  <c r="K190" i="8" s="1"/>
  <c r="U189" i="8"/>
  <c r="J190" i="8" s="1"/>
  <c r="T189" i="8"/>
  <c r="I190" i="8" s="1"/>
  <c r="N190" i="8" l="1"/>
  <c r="O190" i="8" s="1"/>
  <c r="N30" i="4"/>
  <c r="O30" i="4" s="1"/>
  <c r="X30" i="4" l="1"/>
  <c r="M31" i="4" s="1"/>
  <c r="V30" i="4"/>
  <c r="K31" i="4" s="1"/>
  <c r="U30" i="4"/>
  <c r="J31" i="4" s="1"/>
  <c r="Q30" i="4"/>
  <c r="R30" i="4" s="1"/>
  <c r="T30" i="4"/>
  <c r="I31" i="4" s="1"/>
  <c r="P30" i="4"/>
  <c r="Y30" i="4" s="1"/>
  <c r="W30" i="4"/>
  <c r="L31" i="4" s="1"/>
  <c r="Q190" i="8"/>
  <c r="R190" i="8" s="1"/>
  <c r="P190" i="8"/>
  <c r="Y190" i="8" s="1"/>
  <c r="T190" i="8"/>
  <c r="I191" i="8" s="1"/>
  <c r="X190" i="8"/>
  <c r="M191" i="8" s="1"/>
  <c r="W190" i="8"/>
  <c r="L191" i="8" s="1"/>
  <c r="V190" i="8"/>
  <c r="K191" i="8" s="1"/>
  <c r="U190" i="8"/>
  <c r="J191" i="8" s="1"/>
  <c r="N191" i="8" l="1"/>
  <c r="O191" i="8" s="1"/>
  <c r="N31" i="4"/>
  <c r="O31" i="4" s="1"/>
  <c r="X31" i="4" l="1"/>
  <c r="M32" i="4" s="1"/>
  <c r="W31" i="4"/>
  <c r="L32" i="4" s="1"/>
  <c r="V31" i="4"/>
  <c r="K32" i="4" s="1"/>
  <c r="U31" i="4"/>
  <c r="J32" i="4" s="1"/>
  <c r="T31" i="4"/>
  <c r="I32" i="4" s="1"/>
  <c r="Q31" i="4"/>
  <c r="R31" i="4" s="1"/>
  <c r="P31" i="4"/>
  <c r="Y31" i="4" s="1"/>
  <c r="P191" i="8"/>
  <c r="Y191" i="8" s="1"/>
  <c r="V191" i="8"/>
  <c r="K192" i="8" s="1"/>
  <c r="U191" i="8"/>
  <c r="J192" i="8" s="1"/>
  <c r="T191" i="8"/>
  <c r="I192" i="8" s="1"/>
  <c r="Q191" i="8"/>
  <c r="R191" i="8" s="1"/>
  <c r="X191" i="8"/>
  <c r="M192" i="8" s="1"/>
  <c r="W191" i="8"/>
  <c r="L192" i="8" s="1"/>
  <c r="N32" i="4" l="1"/>
  <c r="O32" i="4" s="1"/>
  <c r="N192" i="8"/>
  <c r="O192" i="8" s="1"/>
  <c r="P192" i="8" l="1"/>
  <c r="Y192" i="8" s="1"/>
  <c r="X192" i="8"/>
  <c r="M193" i="8" s="1"/>
  <c r="W192" i="8"/>
  <c r="L193" i="8" s="1"/>
  <c r="V192" i="8"/>
  <c r="K193" i="8" s="1"/>
  <c r="U192" i="8"/>
  <c r="J193" i="8" s="1"/>
  <c r="T192" i="8"/>
  <c r="I193" i="8" s="1"/>
  <c r="Q192" i="8"/>
  <c r="R192" i="8" s="1"/>
  <c r="X32" i="4"/>
  <c r="M33" i="4" s="1"/>
  <c r="W32" i="4"/>
  <c r="L33" i="4" s="1"/>
  <c r="V32" i="4"/>
  <c r="K33" i="4" s="1"/>
  <c r="U32" i="4"/>
  <c r="J33" i="4" s="1"/>
  <c r="T32" i="4"/>
  <c r="I33" i="4" s="1"/>
  <c r="Q32" i="4"/>
  <c r="R32" i="4" s="1"/>
  <c r="P32" i="4"/>
  <c r="Y32" i="4" s="1"/>
  <c r="N33" i="4" l="1"/>
  <c r="O33" i="4" s="1"/>
  <c r="N193" i="8"/>
  <c r="O193" i="8" s="1"/>
  <c r="X33" i="4" l="1"/>
  <c r="M34" i="4" s="1"/>
  <c r="W33" i="4"/>
  <c r="L34" i="4" s="1"/>
  <c r="V33" i="4"/>
  <c r="K34" i="4" s="1"/>
  <c r="U33" i="4"/>
  <c r="J34" i="4" s="1"/>
  <c r="T33" i="4"/>
  <c r="I34" i="4" s="1"/>
  <c r="Q33" i="4"/>
  <c r="R33" i="4" s="1"/>
  <c r="P33" i="4"/>
  <c r="Y33" i="4" s="1"/>
  <c r="P193" i="8"/>
  <c r="Y193" i="8" s="1"/>
  <c r="X193" i="8"/>
  <c r="M194" i="8" s="1"/>
  <c r="W193" i="8"/>
  <c r="L194" i="8" s="1"/>
  <c r="V193" i="8"/>
  <c r="K194" i="8" s="1"/>
  <c r="U193" i="8"/>
  <c r="J194" i="8" s="1"/>
  <c r="T193" i="8"/>
  <c r="I194" i="8" s="1"/>
  <c r="Q193" i="8"/>
  <c r="R193" i="8" s="1"/>
  <c r="N34" i="4" l="1"/>
  <c r="O34" i="4" s="1"/>
  <c r="N194" i="8"/>
  <c r="O194" i="8" s="1"/>
  <c r="P194" i="8" l="1"/>
  <c r="Y194" i="8" s="1"/>
  <c r="X194" i="8"/>
  <c r="M195" i="8" s="1"/>
  <c r="W194" i="8"/>
  <c r="L195" i="8" s="1"/>
  <c r="V194" i="8"/>
  <c r="K195" i="8" s="1"/>
  <c r="U194" i="8"/>
  <c r="J195" i="8" s="1"/>
  <c r="Q194" i="8"/>
  <c r="R194" i="8" s="1"/>
  <c r="T194" i="8"/>
  <c r="I195" i="8" s="1"/>
  <c r="X34" i="4"/>
  <c r="M35" i="4" s="1"/>
  <c r="W34" i="4"/>
  <c r="L35" i="4" s="1"/>
  <c r="V34" i="4"/>
  <c r="K35" i="4" s="1"/>
  <c r="U34" i="4"/>
  <c r="J35" i="4" s="1"/>
  <c r="T34" i="4"/>
  <c r="I35" i="4" s="1"/>
  <c r="Q34" i="4"/>
  <c r="R34" i="4" s="1"/>
  <c r="P34" i="4"/>
  <c r="Y34" i="4" s="1"/>
  <c r="N35" i="4" l="1"/>
  <c r="O35" i="4" s="1"/>
  <c r="N195" i="8"/>
  <c r="O195" i="8" s="1"/>
  <c r="P195" i="8" l="1"/>
  <c r="Y195" i="8" s="1"/>
  <c r="Q195" i="8"/>
  <c r="R195" i="8" s="1"/>
  <c r="X195" i="8"/>
  <c r="M196" i="8" s="1"/>
  <c r="W195" i="8"/>
  <c r="L196" i="8" s="1"/>
  <c r="V195" i="8"/>
  <c r="K196" i="8" s="1"/>
  <c r="U195" i="8"/>
  <c r="J196" i="8" s="1"/>
  <c r="T195" i="8"/>
  <c r="I196" i="8" s="1"/>
  <c r="X35" i="4"/>
  <c r="M36" i="4" s="1"/>
  <c r="W35" i="4"/>
  <c r="L36" i="4" s="1"/>
  <c r="V35" i="4"/>
  <c r="K36" i="4" s="1"/>
  <c r="U35" i="4"/>
  <c r="J36" i="4" s="1"/>
  <c r="T35" i="4"/>
  <c r="I36" i="4" s="1"/>
  <c r="Q35" i="4"/>
  <c r="R35" i="4" s="1"/>
  <c r="P35" i="4"/>
  <c r="Y35" i="4" s="1"/>
  <c r="N196" i="8" l="1"/>
  <c r="O196" i="8" s="1"/>
  <c r="N36" i="4"/>
  <c r="O36" i="4" s="1"/>
  <c r="X36" i="4" l="1"/>
  <c r="M37" i="4" s="1"/>
  <c r="W36" i="4"/>
  <c r="L37" i="4" s="1"/>
  <c r="V36" i="4"/>
  <c r="K37" i="4" s="1"/>
  <c r="U36" i="4"/>
  <c r="J37" i="4" s="1"/>
  <c r="T36" i="4"/>
  <c r="I37" i="4" s="1"/>
  <c r="Q36" i="4"/>
  <c r="R36" i="4" s="1"/>
  <c r="P36" i="4"/>
  <c r="Y36" i="4" s="1"/>
  <c r="P196" i="8"/>
  <c r="Y196" i="8" s="1"/>
  <c r="W196" i="8"/>
  <c r="L197" i="8" s="1"/>
  <c r="V196" i="8"/>
  <c r="K197" i="8" s="1"/>
  <c r="U196" i="8"/>
  <c r="J197" i="8" s="1"/>
  <c r="T196" i="8"/>
  <c r="I197" i="8" s="1"/>
  <c r="Q196" i="8"/>
  <c r="R196" i="8" s="1"/>
  <c r="X196" i="8"/>
  <c r="M197" i="8" s="1"/>
  <c r="N197" i="8" l="1"/>
  <c r="O197" i="8" s="1"/>
  <c r="N37" i="4"/>
  <c r="O37" i="4" s="1"/>
  <c r="X37" i="4" l="1"/>
  <c r="M38" i="4" s="1"/>
  <c r="W37" i="4"/>
  <c r="L38" i="4" s="1"/>
  <c r="V37" i="4"/>
  <c r="K38" i="4" s="1"/>
  <c r="U37" i="4"/>
  <c r="J38" i="4" s="1"/>
  <c r="T37" i="4"/>
  <c r="I38" i="4" s="1"/>
  <c r="Q37" i="4"/>
  <c r="R37" i="4" s="1"/>
  <c r="P37" i="4"/>
  <c r="Y37" i="4" s="1"/>
  <c r="P197" i="8"/>
  <c r="Y197" i="8" s="1"/>
  <c r="X197" i="8"/>
  <c r="M198" i="8" s="1"/>
  <c r="W197" i="8"/>
  <c r="L198" i="8" s="1"/>
  <c r="V197" i="8"/>
  <c r="K198" i="8" s="1"/>
  <c r="U197" i="8"/>
  <c r="J198" i="8" s="1"/>
  <c r="T197" i="8"/>
  <c r="I198" i="8" s="1"/>
  <c r="Q197" i="8"/>
  <c r="R197" i="8" s="1"/>
  <c r="N198" i="8" l="1"/>
  <c r="O198" i="8" s="1"/>
  <c r="N38" i="4"/>
  <c r="O38" i="4" s="1"/>
  <c r="X38" i="4" l="1"/>
  <c r="M39" i="4" s="1"/>
  <c r="W38" i="4"/>
  <c r="L39" i="4" s="1"/>
  <c r="V38" i="4"/>
  <c r="K39" i="4" s="1"/>
  <c r="U38" i="4"/>
  <c r="J39" i="4" s="1"/>
  <c r="T38" i="4"/>
  <c r="I39" i="4" s="1"/>
  <c r="Q38" i="4"/>
  <c r="R38" i="4" s="1"/>
  <c r="P38" i="4"/>
  <c r="Y38" i="4" s="1"/>
  <c r="P198" i="8"/>
  <c r="Y198" i="8" s="1"/>
  <c r="X198" i="8"/>
  <c r="M199" i="8" s="1"/>
  <c r="W198" i="8"/>
  <c r="L199" i="8" s="1"/>
  <c r="V198" i="8"/>
  <c r="K199" i="8" s="1"/>
  <c r="U198" i="8"/>
  <c r="J199" i="8" s="1"/>
  <c r="Q198" i="8"/>
  <c r="R198" i="8" s="1"/>
  <c r="T198" i="8"/>
  <c r="I199" i="8" s="1"/>
  <c r="N199" i="8" l="1"/>
  <c r="O199" i="8" s="1"/>
  <c r="N39" i="4"/>
  <c r="O39" i="4" s="1"/>
  <c r="X39" i="4" l="1"/>
  <c r="M40" i="4" s="1"/>
  <c r="W39" i="4"/>
  <c r="L40" i="4" s="1"/>
  <c r="V39" i="4"/>
  <c r="K40" i="4" s="1"/>
  <c r="U39" i="4"/>
  <c r="J40" i="4" s="1"/>
  <c r="T39" i="4"/>
  <c r="I40" i="4" s="1"/>
  <c r="Q39" i="4"/>
  <c r="R39" i="4" s="1"/>
  <c r="P39" i="4"/>
  <c r="Y39" i="4" s="1"/>
  <c r="P199" i="8"/>
  <c r="Y199" i="8" s="1"/>
  <c r="Q199" i="8"/>
  <c r="R199" i="8" s="1"/>
  <c r="X199" i="8"/>
  <c r="M200" i="8" s="1"/>
  <c r="W199" i="8"/>
  <c r="L200" i="8" s="1"/>
  <c r="V199" i="8"/>
  <c r="K200" i="8" s="1"/>
  <c r="U199" i="8"/>
  <c r="J200" i="8" s="1"/>
  <c r="T199" i="8"/>
  <c r="I200" i="8" s="1"/>
  <c r="N200" i="8" l="1"/>
  <c r="O200" i="8" s="1"/>
  <c r="N40" i="4"/>
  <c r="O40" i="4" s="1"/>
  <c r="X40" i="4" l="1"/>
  <c r="M41" i="4" s="1"/>
  <c r="W40" i="4"/>
  <c r="L41" i="4" s="1"/>
  <c r="V40" i="4"/>
  <c r="K41" i="4" s="1"/>
  <c r="U40" i="4"/>
  <c r="J41" i="4" s="1"/>
  <c r="T40" i="4"/>
  <c r="I41" i="4" s="1"/>
  <c r="Q40" i="4"/>
  <c r="R40" i="4" s="1"/>
  <c r="P40" i="4"/>
  <c r="Y40" i="4" s="1"/>
  <c r="P200" i="8"/>
  <c r="Y200" i="8" s="1"/>
  <c r="W200" i="8"/>
  <c r="L201" i="8" s="1"/>
  <c r="V200" i="8"/>
  <c r="K201" i="8" s="1"/>
  <c r="U200" i="8"/>
  <c r="J201" i="8" s="1"/>
  <c r="T200" i="8"/>
  <c r="I201" i="8" s="1"/>
  <c r="Q200" i="8"/>
  <c r="R200" i="8" s="1"/>
  <c r="X200" i="8"/>
  <c r="M201" i="8" s="1"/>
  <c r="N201" i="8" l="1"/>
  <c r="O201" i="8" s="1"/>
  <c r="N41" i="4"/>
  <c r="O41" i="4" s="1"/>
  <c r="X41" i="4" l="1"/>
  <c r="M42" i="4" s="1"/>
  <c r="W41" i="4"/>
  <c r="L42" i="4" s="1"/>
  <c r="V41" i="4"/>
  <c r="K42" i="4" s="1"/>
  <c r="U41" i="4"/>
  <c r="J42" i="4" s="1"/>
  <c r="T41" i="4"/>
  <c r="I42" i="4" s="1"/>
  <c r="Q41" i="4"/>
  <c r="R41" i="4" s="1"/>
  <c r="P41" i="4"/>
  <c r="Y41" i="4" s="1"/>
  <c r="P201" i="8"/>
  <c r="Y201" i="8" s="1"/>
  <c r="X201" i="8"/>
  <c r="M202" i="8" s="1"/>
  <c r="W201" i="8"/>
  <c r="L202" i="8" s="1"/>
  <c r="V201" i="8"/>
  <c r="K202" i="8" s="1"/>
  <c r="U201" i="8"/>
  <c r="J202" i="8" s="1"/>
  <c r="T201" i="8"/>
  <c r="I202" i="8" s="1"/>
  <c r="Q201" i="8"/>
  <c r="R201" i="8" s="1"/>
  <c r="N202" i="8" l="1"/>
  <c r="O202" i="8" s="1"/>
  <c r="N42" i="4"/>
  <c r="O42" i="4" s="1"/>
  <c r="X42" i="4" l="1"/>
  <c r="M43" i="4" s="1"/>
  <c r="W42" i="4"/>
  <c r="L43" i="4" s="1"/>
  <c r="V42" i="4"/>
  <c r="K43" i="4" s="1"/>
  <c r="U42" i="4"/>
  <c r="J43" i="4" s="1"/>
  <c r="T42" i="4"/>
  <c r="I43" i="4" s="1"/>
  <c r="Q42" i="4"/>
  <c r="R42" i="4" s="1"/>
  <c r="P42" i="4"/>
  <c r="Y42" i="4" s="1"/>
  <c r="P202" i="8"/>
  <c r="Y202" i="8" s="1"/>
  <c r="X202" i="8"/>
  <c r="M203" i="8" s="1"/>
  <c r="W202" i="8"/>
  <c r="L203" i="8" s="1"/>
  <c r="V202" i="8"/>
  <c r="K203" i="8" s="1"/>
  <c r="U202" i="8"/>
  <c r="J203" i="8" s="1"/>
  <c r="Q202" i="8"/>
  <c r="R202" i="8" s="1"/>
  <c r="T202" i="8"/>
  <c r="I203" i="8" s="1"/>
  <c r="N203" i="8" l="1"/>
  <c r="O203" i="8" s="1"/>
  <c r="N43" i="4"/>
  <c r="O43" i="4" s="1"/>
  <c r="X43" i="4" l="1"/>
  <c r="M44" i="4" s="1"/>
  <c r="W43" i="4"/>
  <c r="L44" i="4" s="1"/>
  <c r="V43" i="4"/>
  <c r="K44" i="4" s="1"/>
  <c r="U43" i="4"/>
  <c r="J44" i="4" s="1"/>
  <c r="T43" i="4"/>
  <c r="I44" i="4" s="1"/>
  <c r="Q43" i="4"/>
  <c r="R43" i="4" s="1"/>
  <c r="P43" i="4"/>
  <c r="Y43" i="4" s="1"/>
  <c r="P203" i="8"/>
  <c r="Y203" i="8" s="1"/>
  <c r="Q203" i="8"/>
  <c r="R203" i="8" s="1"/>
  <c r="X203" i="8"/>
  <c r="M204" i="8" s="1"/>
  <c r="W203" i="8"/>
  <c r="L204" i="8" s="1"/>
  <c r="V203" i="8"/>
  <c r="K204" i="8" s="1"/>
  <c r="U203" i="8"/>
  <c r="J204" i="8" s="1"/>
  <c r="T203" i="8"/>
  <c r="I204" i="8" s="1"/>
  <c r="N204" i="8" l="1"/>
  <c r="O204" i="8" s="1"/>
  <c r="N44" i="4"/>
  <c r="O44" i="4" s="1"/>
  <c r="X44" i="4" l="1"/>
  <c r="M45" i="4" s="1"/>
  <c r="W44" i="4"/>
  <c r="L45" i="4" s="1"/>
  <c r="V44" i="4"/>
  <c r="K45" i="4" s="1"/>
  <c r="U44" i="4"/>
  <c r="J45" i="4" s="1"/>
  <c r="T44" i="4"/>
  <c r="I45" i="4" s="1"/>
  <c r="Q44" i="4"/>
  <c r="R44" i="4" s="1"/>
  <c r="P44" i="4"/>
  <c r="Y44" i="4" s="1"/>
  <c r="P204" i="8"/>
  <c r="Y204" i="8" s="1"/>
  <c r="W204" i="8"/>
  <c r="L205" i="8" s="1"/>
  <c r="V204" i="8"/>
  <c r="K205" i="8" s="1"/>
  <c r="U204" i="8"/>
  <c r="J205" i="8" s="1"/>
  <c r="T204" i="8"/>
  <c r="I205" i="8" s="1"/>
  <c r="Q204" i="8"/>
  <c r="R204" i="8" s="1"/>
  <c r="X204" i="8"/>
  <c r="M205" i="8" s="1"/>
  <c r="N205" i="8" l="1"/>
  <c r="O205" i="8" s="1"/>
  <c r="N45" i="4"/>
  <c r="O45" i="4" s="1"/>
  <c r="X45" i="4" l="1"/>
  <c r="M46" i="4" s="1"/>
  <c r="W45" i="4"/>
  <c r="L46" i="4" s="1"/>
  <c r="V45" i="4"/>
  <c r="K46" i="4" s="1"/>
  <c r="U45" i="4"/>
  <c r="J46" i="4" s="1"/>
  <c r="T45" i="4"/>
  <c r="I46" i="4" s="1"/>
  <c r="Q45" i="4"/>
  <c r="R45" i="4" s="1"/>
  <c r="P45" i="4"/>
  <c r="Y45" i="4" s="1"/>
  <c r="P205" i="8"/>
  <c r="Y205" i="8" s="1"/>
  <c r="X205" i="8"/>
  <c r="M206" i="8" s="1"/>
  <c r="W205" i="8"/>
  <c r="L206" i="8" s="1"/>
  <c r="V205" i="8"/>
  <c r="K206" i="8" s="1"/>
  <c r="U205" i="8"/>
  <c r="J206" i="8" s="1"/>
  <c r="T205" i="8"/>
  <c r="I206" i="8" s="1"/>
  <c r="Q205" i="8"/>
  <c r="R205" i="8" s="1"/>
  <c r="N46" i="4" l="1"/>
  <c r="O46" i="4" s="1"/>
  <c r="N206" i="8"/>
  <c r="O206" i="8" s="1"/>
  <c r="P206" i="8" l="1"/>
  <c r="Y206" i="8" s="1"/>
  <c r="X206" i="8"/>
  <c r="M207" i="8" s="1"/>
  <c r="W206" i="8"/>
  <c r="L207" i="8" s="1"/>
  <c r="V206" i="8"/>
  <c r="K207" i="8" s="1"/>
  <c r="U206" i="8"/>
  <c r="J207" i="8" s="1"/>
  <c r="T206" i="8"/>
  <c r="I207" i="8" s="1"/>
  <c r="Q206" i="8"/>
  <c r="R206" i="8" s="1"/>
  <c r="X46" i="4"/>
  <c r="M47" i="4" s="1"/>
  <c r="W46" i="4"/>
  <c r="L47" i="4" s="1"/>
  <c r="V46" i="4"/>
  <c r="K47" i="4" s="1"/>
  <c r="U46" i="4"/>
  <c r="J47" i="4" s="1"/>
  <c r="T46" i="4"/>
  <c r="I47" i="4" s="1"/>
  <c r="Q46" i="4"/>
  <c r="R46" i="4" s="1"/>
  <c r="P46" i="4"/>
  <c r="Y46" i="4" s="1"/>
  <c r="N207" i="8" l="1"/>
  <c r="O207" i="8" s="1"/>
  <c r="N47" i="4"/>
  <c r="O47" i="4" s="1"/>
  <c r="X47" i="4" l="1"/>
  <c r="M48" i="4" s="1"/>
  <c r="W47" i="4"/>
  <c r="L48" i="4" s="1"/>
  <c r="V47" i="4"/>
  <c r="K48" i="4" s="1"/>
  <c r="U47" i="4"/>
  <c r="J48" i="4" s="1"/>
  <c r="T47" i="4"/>
  <c r="I48" i="4" s="1"/>
  <c r="Q47" i="4"/>
  <c r="R47" i="4" s="1"/>
  <c r="P47" i="4"/>
  <c r="Y47" i="4" s="1"/>
  <c r="P207" i="8"/>
  <c r="Y207" i="8" s="1"/>
  <c r="Q207" i="8"/>
  <c r="R207" i="8" s="1"/>
  <c r="X207" i="8"/>
  <c r="M208" i="8" s="1"/>
  <c r="W207" i="8"/>
  <c r="L208" i="8" s="1"/>
  <c r="V207" i="8"/>
  <c r="K208" i="8" s="1"/>
  <c r="U207" i="8"/>
  <c r="J208" i="8" s="1"/>
  <c r="T207" i="8"/>
  <c r="I208" i="8" s="1"/>
  <c r="N48" i="4" l="1"/>
  <c r="O48" i="4" s="1"/>
  <c r="N208" i="8"/>
  <c r="O208" i="8" s="1"/>
  <c r="P208" i="8" l="1"/>
  <c r="Y208" i="8" s="1"/>
  <c r="W208" i="8"/>
  <c r="L209" i="8" s="1"/>
  <c r="V208" i="8"/>
  <c r="K209" i="8" s="1"/>
  <c r="U208" i="8"/>
  <c r="J209" i="8" s="1"/>
  <c r="T208" i="8"/>
  <c r="I209" i="8" s="1"/>
  <c r="Q208" i="8"/>
  <c r="R208" i="8" s="1"/>
  <c r="X208" i="8"/>
  <c r="M209" i="8" s="1"/>
  <c r="X48" i="4"/>
  <c r="M49" i="4" s="1"/>
  <c r="W48" i="4"/>
  <c r="L49" i="4" s="1"/>
  <c r="V48" i="4"/>
  <c r="K49" i="4" s="1"/>
  <c r="U48" i="4"/>
  <c r="J49" i="4" s="1"/>
  <c r="T48" i="4"/>
  <c r="I49" i="4" s="1"/>
  <c r="Q48" i="4"/>
  <c r="R48" i="4" s="1"/>
  <c r="P48" i="4"/>
  <c r="Y48" i="4" s="1"/>
  <c r="N49" i="4" l="1"/>
  <c r="O49" i="4" s="1"/>
  <c r="N209" i="8"/>
  <c r="O209" i="8" s="1"/>
  <c r="X49" i="4" l="1"/>
  <c r="M50" i="4" s="1"/>
  <c r="W49" i="4"/>
  <c r="L50" i="4" s="1"/>
  <c r="V49" i="4"/>
  <c r="K50" i="4" s="1"/>
  <c r="U49" i="4"/>
  <c r="J50" i="4" s="1"/>
  <c r="T49" i="4"/>
  <c r="I50" i="4" s="1"/>
  <c r="Q49" i="4"/>
  <c r="R49" i="4" s="1"/>
  <c r="P49" i="4"/>
  <c r="Y49" i="4" s="1"/>
  <c r="P209" i="8"/>
  <c r="Y209" i="8" s="1"/>
  <c r="X209" i="8"/>
  <c r="M210" i="8" s="1"/>
  <c r="W209" i="8"/>
  <c r="L210" i="8" s="1"/>
  <c r="V209" i="8"/>
  <c r="K210" i="8" s="1"/>
  <c r="U209" i="8"/>
  <c r="J210" i="8" s="1"/>
  <c r="T209" i="8"/>
  <c r="I210" i="8" s="1"/>
  <c r="Q209" i="8"/>
  <c r="R209" i="8" s="1"/>
  <c r="N210" i="8" l="1"/>
  <c r="O210" i="8" s="1"/>
  <c r="N50" i="4"/>
  <c r="O50" i="4" s="1"/>
  <c r="X50" i="4" l="1"/>
  <c r="M51" i="4" s="1"/>
  <c r="W50" i="4"/>
  <c r="L51" i="4" s="1"/>
  <c r="V50" i="4"/>
  <c r="K51" i="4" s="1"/>
  <c r="U50" i="4"/>
  <c r="J51" i="4" s="1"/>
  <c r="T50" i="4"/>
  <c r="I51" i="4" s="1"/>
  <c r="Q50" i="4"/>
  <c r="R50" i="4" s="1"/>
  <c r="P50" i="4"/>
  <c r="Y50" i="4" s="1"/>
  <c r="P210" i="8"/>
  <c r="Y210" i="8" s="1"/>
  <c r="X210" i="8"/>
  <c r="M211" i="8" s="1"/>
  <c r="W210" i="8"/>
  <c r="L211" i="8" s="1"/>
  <c r="V210" i="8"/>
  <c r="K211" i="8" s="1"/>
  <c r="U210" i="8"/>
  <c r="J211" i="8" s="1"/>
  <c r="T210" i="8"/>
  <c r="I211" i="8" s="1"/>
  <c r="Q210" i="8"/>
  <c r="R210" i="8" s="1"/>
  <c r="N211" i="8" l="1"/>
  <c r="O211" i="8" s="1"/>
  <c r="N51" i="4"/>
  <c r="O51" i="4" s="1"/>
  <c r="X51" i="4" l="1"/>
  <c r="M52" i="4" s="1"/>
  <c r="W51" i="4"/>
  <c r="L52" i="4" s="1"/>
  <c r="V51" i="4"/>
  <c r="K52" i="4" s="1"/>
  <c r="U51" i="4"/>
  <c r="J52" i="4" s="1"/>
  <c r="T51" i="4"/>
  <c r="I52" i="4" s="1"/>
  <c r="Q51" i="4"/>
  <c r="R51" i="4" s="1"/>
  <c r="P51" i="4"/>
  <c r="Y51" i="4" s="1"/>
  <c r="P211" i="8"/>
  <c r="Y211" i="8" s="1"/>
  <c r="Q211" i="8"/>
  <c r="R211" i="8" s="1"/>
  <c r="X211" i="8"/>
  <c r="M212" i="8" s="1"/>
  <c r="T211" i="8"/>
  <c r="I212" i="8" s="1"/>
  <c r="U211" i="8"/>
  <c r="J212" i="8" s="1"/>
  <c r="V211" i="8"/>
  <c r="K212" i="8" s="1"/>
  <c r="W211" i="8"/>
  <c r="L212" i="8" s="1"/>
  <c r="N212" i="8" l="1"/>
  <c r="O212" i="8" s="1"/>
  <c r="N52" i="4"/>
  <c r="O52" i="4" s="1"/>
  <c r="X52" i="4" l="1"/>
  <c r="M53" i="4" s="1"/>
  <c r="W52" i="4"/>
  <c r="L53" i="4" s="1"/>
  <c r="V52" i="4"/>
  <c r="K53" i="4" s="1"/>
  <c r="U52" i="4"/>
  <c r="J53" i="4" s="1"/>
  <c r="T52" i="4"/>
  <c r="I53" i="4" s="1"/>
  <c r="Q52" i="4"/>
  <c r="R52" i="4" s="1"/>
  <c r="P52" i="4"/>
  <c r="Y52" i="4" s="1"/>
  <c r="P212" i="8"/>
  <c r="Y212" i="8" s="1"/>
  <c r="W212" i="8"/>
  <c r="L213" i="8" s="1"/>
  <c r="V212" i="8"/>
  <c r="K213" i="8" s="1"/>
  <c r="U212" i="8"/>
  <c r="J213" i="8" s="1"/>
  <c r="T212" i="8"/>
  <c r="I213" i="8" s="1"/>
  <c r="Q212" i="8"/>
  <c r="R212" i="8" s="1"/>
  <c r="X212" i="8"/>
  <c r="M213" i="8" s="1"/>
  <c r="N213" i="8" l="1"/>
  <c r="O213" i="8" s="1"/>
  <c r="N53" i="4"/>
  <c r="O53" i="4" s="1"/>
  <c r="X53" i="4" l="1"/>
  <c r="M54" i="4" s="1"/>
  <c r="W53" i="4"/>
  <c r="L54" i="4" s="1"/>
  <c r="V53" i="4"/>
  <c r="K54" i="4" s="1"/>
  <c r="U53" i="4"/>
  <c r="J54" i="4" s="1"/>
  <c r="T53" i="4"/>
  <c r="I54" i="4" s="1"/>
  <c r="Q53" i="4"/>
  <c r="R53" i="4" s="1"/>
  <c r="P53" i="4"/>
  <c r="Y53" i="4" s="1"/>
  <c r="Q213" i="8"/>
  <c r="R213" i="8" s="1"/>
  <c r="P213" i="8"/>
  <c r="Y213" i="8" s="1"/>
  <c r="X213" i="8"/>
  <c r="M214" i="8" s="1"/>
  <c r="W213" i="8"/>
  <c r="L214" i="8" s="1"/>
  <c r="V213" i="8"/>
  <c r="K214" i="8" s="1"/>
  <c r="U213" i="8"/>
  <c r="J214" i="8" s="1"/>
  <c r="T213" i="8"/>
  <c r="I214" i="8" s="1"/>
  <c r="N214" i="8" l="1"/>
  <c r="O214" i="8" s="1"/>
  <c r="N54" i="4"/>
  <c r="O54" i="4" s="1"/>
  <c r="X54" i="4" l="1"/>
  <c r="M55" i="4" s="1"/>
  <c r="W54" i="4"/>
  <c r="L55" i="4" s="1"/>
  <c r="V54" i="4"/>
  <c r="K55" i="4" s="1"/>
  <c r="U54" i="4"/>
  <c r="J55" i="4" s="1"/>
  <c r="T54" i="4"/>
  <c r="I55" i="4" s="1"/>
  <c r="Q54" i="4"/>
  <c r="R54" i="4" s="1"/>
  <c r="P54" i="4"/>
  <c r="Y54" i="4" s="1"/>
  <c r="Q214" i="8"/>
  <c r="R214" i="8" s="1"/>
  <c r="P214" i="8"/>
  <c r="Y214" i="8" s="1"/>
  <c r="T214" i="8"/>
  <c r="I215" i="8" s="1"/>
  <c r="X214" i="8"/>
  <c r="M215" i="8" s="1"/>
  <c r="W214" i="8"/>
  <c r="L215" i="8" s="1"/>
  <c r="V214" i="8"/>
  <c r="K215" i="8" s="1"/>
  <c r="U214" i="8"/>
  <c r="J215" i="8" s="1"/>
  <c r="N55" i="4" l="1"/>
  <c r="O55" i="4" s="1"/>
  <c r="N215" i="8"/>
  <c r="O215" i="8" s="1"/>
  <c r="Q215" i="8" l="1"/>
  <c r="R215" i="8" s="1"/>
  <c r="U215" i="8"/>
  <c r="J216" i="8" s="1"/>
  <c r="T215" i="8"/>
  <c r="I216" i="8" s="1"/>
  <c r="P215" i="8"/>
  <c r="Y215" i="8" s="1"/>
  <c r="X215" i="8"/>
  <c r="M216" i="8" s="1"/>
  <c r="W215" i="8"/>
  <c r="L216" i="8" s="1"/>
  <c r="V215" i="8"/>
  <c r="K216" i="8" s="1"/>
  <c r="X55" i="4"/>
  <c r="M56" i="4" s="1"/>
  <c r="W55" i="4"/>
  <c r="L56" i="4" s="1"/>
  <c r="V55" i="4"/>
  <c r="K56" i="4" s="1"/>
  <c r="U55" i="4"/>
  <c r="J56" i="4" s="1"/>
  <c r="T55" i="4"/>
  <c r="I56" i="4" s="1"/>
  <c r="Q55" i="4"/>
  <c r="R55" i="4" s="1"/>
  <c r="P55" i="4"/>
  <c r="Y55" i="4" s="1"/>
  <c r="N56" i="4" l="1"/>
  <c r="O56" i="4" s="1"/>
  <c r="N216" i="8"/>
  <c r="O216" i="8" s="1"/>
  <c r="Q216" i="8" l="1"/>
  <c r="R216" i="8" s="1"/>
  <c r="W216" i="8"/>
  <c r="L217" i="8" s="1"/>
  <c r="V216" i="8"/>
  <c r="K217" i="8" s="1"/>
  <c r="U216" i="8"/>
  <c r="J217" i="8" s="1"/>
  <c r="T216" i="8"/>
  <c r="I217" i="8" s="1"/>
  <c r="P216" i="8"/>
  <c r="Y216" i="8" s="1"/>
  <c r="X216" i="8"/>
  <c r="M217" i="8" s="1"/>
  <c r="X56" i="4"/>
  <c r="M57" i="4" s="1"/>
  <c r="W56" i="4"/>
  <c r="L57" i="4" s="1"/>
  <c r="V56" i="4"/>
  <c r="K57" i="4" s="1"/>
  <c r="U56" i="4"/>
  <c r="J57" i="4" s="1"/>
  <c r="T56" i="4"/>
  <c r="I57" i="4" s="1"/>
  <c r="Q56" i="4"/>
  <c r="R56" i="4" s="1"/>
  <c r="P56" i="4"/>
  <c r="Y56" i="4" s="1"/>
  <c r="N57" i="4" l="1"/>
  <c r="O57" i="4" s="1"/>
  <c r="N217" i="8"/>
  <c r="O217" i="8" s="1"/>
  <c r="Q217" i="8" l="1"/>
  <c r="R217" i="8" s="1"/>
  <c r="X217" i="8"/>
  <c r="M218" i="8" s="1"/>
  <c r="W217" i="8"/>
  <c r="L218" i="8" s="1"/>
  <c r="V217" i="8"/>
  <c r="K218" i="8" s="1"/>
  <c r="U217" i="8"/>
  <c r="J218" i="8" s="1"/>
  <c r="T217" i="8"/>
  <c r="I218" i="8" s="1"/>
  <c r="P217" i="8"/>
  <c r="Y217" i="8" s="1"/>
  <c r="X57" i="4"/>
  <c r="M58" i="4" s="1"/>
  <c r="W57" i="4"/>
  <c r="L58" i="4" s="1"/>
  <c r="V57" i="4"/>
  <c r="K58" i="4" s="1"/>
  <c r="U57" i="4"/>
  <c r="J58" i="4" s="1"/>
  <c r="T57" i="4"/>
  <c r="I58" i="4" s="1"/>
  <c r="Q57" i="4"/>
  <c r="R57" i="4" s="1"/>
  <c r="P57" i="4"/>
  <c r="Y57" i="4" s="1"/>
  <c r="N58" i="4" l="1"/>
  <c r="O58" i="4" s="1"/>
  <c r="N218" i="8"/>
  <c r="O218" i="8" s="1"/>
  <c r="Q218" i="8" l="1"/>
  <c r="R218" i="8" s="1"/>
  <c r="X218" i="8"/>
  <c r="M219" i="8" s="1"/>
  <c r="W218" i="8"/>
  <c r="L219" i="8" s="1"/>
  <c r="V218" i="8"/>
  <c r="K219" i="8" s="1"/>
  <c r="T218" i="8"/>
  <c r="I219" i="8" s="1"/>
  <c r="U218" i="8"/>
  <c r="J219" i="8" s="1"/>
  <c r="P218" i="8"/>
  <c r="Y218" i="8" s="1"/>
  <c r="X58" i="4"/>
  <c r="M59" i="4" s="1"/>
  <c r="W58" i="4"/>
  <c r="L59" i="4" s="1"/>
  <c r="V58" i="4"/>
  <c r="K59" i="4" s="1"/>
  <c r="U58" i="4"/>
  <c r="J59" i="4" s="1"/>
  <c r="T58" i="4"/>
  <c r="I59" i="4" s="1"/>
  <c r="Q58" i="4"/>
  <c r="R58" i="4" s="1"/>
  <c r="P58" i="4"/>
  <c r="Y58" i="4" s="1"/>
  <c r="N59" i="4" l="1"/>
  <c r="O59" i="4" s="1"/>
  <c r="N219" i="8"/>
  <c r="O219" i="8" s="1"/>
  <c r="Q219" i="8" l="1"/>
  <c r="R219" i="8" s="1"/>
  <c r="X219" i="8"/>
  <c r="M220" i="8" s="1"/>
  <c r="V219" i="8"/>
  <c r="K220" i="8" s="1"/>
  <c r="W219" i="8"/>
  <c r="L220" i="8" s="1"/>
  <c r="U219" i="8"/>
  <c r="J220" i="8" s="1"/>
  <c r="T219" i="8"/>
  <c r="I220" i="8" s="1"/>
  <c r="P219" i="8"/>
  <c r="Y219" i="8" s="1"/>
  <c r="X59" i="4"/>
  <c r="M60" i="4" s="1"/>
  <c r="W59" i="4"/>
  <c r="L60" i="4" s="1"/>
  <c r="V59" i="4"/>
  <c r="K60" i="4" s="1"/>
  <c r="U59" i="4"/>
  <c r="J60" i="4" s="1"/>
  <c r="T59" i="4"/>
  <c r="I60" i="4" s="1"/>
  <c r="Q59" i="4"/>
  <c r="R59" i="4" s="1"/>
  <c r="P59" i="4"/>
  <c r="Y59" i="4" s="1"/>
  <c r="N220" i="8" l="1"/>
  <c r="O220" i="8" s="1"/>
  <c r="N60" i="4"/>
  <c r="O60" i="4" s="1"/>
  <c r="X60" i="4" l="1"/>
  <c r="M61" i="4" s="1"/>
  <c r="W60" i="4"/>
  <c r="L61" i="4" s="1"/>
  <c r="V60" i="4"/>
  <c r="K61" i="4" s="1"/>
  <c r="U60" i="4"/>
  <c r="J61" i="4" s="1"/>
  <c r="T60" i="4"/>
  <c r="I61" i="4" s="1"/>
  <c r="Q60" i="4"/>
  <c r="R60" i="4" s="1"/>
  <c r="P60" i="4"/>
  <c r="Y60" i="4" s="1"/>
  <c r="Q220" i="8"/>
  <c r="R220" i="8" s="1"/>
  <c r="X220" i="8"/>
  <c r="M221" i="8" s="1"/>
  <c r="W220" i="8"/>
  <c r="L221" i="8" s="1"/>
  <c r="V220" i="8"/>
  <c r="K221" i="8" s="1"/>
  <c r="U220" i="8"/>
  <c r="J221" i="8" s="1"/>
  <c r="T220" i="8"/>
  <c r="I221" i="8" s="1"/>
  <c r="P220" i="8"/>
  <c r="Y220" i="8" s="1"/>
  <c r="N221" i="8" l="1"/>
  <c r="O221" i="8" s="1"/>
  <c r="N61" i="4"/>
  <c r="O61" i="4" s="1"/>
  <c r="X61" i="4" l="1"/>
  <c r="M62" i="4" s="1"/>
  <c r="W61" i="4"/>
  <c r="L62" i="4" s="1"/>
  <c r="V61" i="4"/>
  <c r="K62" i="4" s="1"/>
  <c r="U61" i="4"/>
  <c r="J62" i="4" s="1"/>
  <c r="T61" i="4"/>
  <c r="I62" i="4" s="1"/>
  <c r="Q61" i="4"/>
  <c r="R61" i="4" s="1"/>
  <c r="P61" i="4"/>
  <c r="Y61" i="4" s="1"/>
  <c r="Q221" i="8"/>
  <c r="R221" i="8" s="1"/>
  <c r="X221" i="8"/>
  <c r="M222" i="8" s="1"/>
  <c r="W221" i="8"/>
  <c r="L222" i="8" s="1"/>
  <c r="V221" i="8"/>
  <c r="K222" i="8" s="1"/>
  <c r="U221" i="8"/>
  <c r="J222" i="8" s="1"/>
  <c r="T221" i="8"/>
  <c r="I222" i="8" s="1"/>
  <c r="P221" i="8"/>
  <c r="Y221" i="8" s="1"/>
  <c r="N222" i="8" l="1"/>
  <c r="O222" i="8" s="1"/>
  <c r="N62" i="4"/>
  <c r="O62" i="4" s="1"/>
  <c r="X62" i="4" l="1"/>
  <c r="M63" i="4" s="1"/>
  <c r="W62" i="4"/>
  <c r="L63" i="4" s="1"/>
  <c r="V62" i="4"/>
  <c r="K63" i="4" s="1"/>
  <c r="U62" i="4"/>
  <c r="J63" i="4" s="1"/>
  <c r="T62" i="4"/>
  <c r="I63" i="4" s="1"/>
  <c r="Q62" i="4"/>
  <c r="R62" i="4" s="1"/>
  <c r="P62" i="4"/>
  <c r="Y62" i="4" s="1"/>
  <c r="Q222" i="8"/>
  <c r="R222" i="8" s="1"/>
  <c r="P222" i="8"/>
  <c r="Y222" i="8" s="1"/>
  <c r="T222" i="8"/>
  <c r="I223" i="8" s="1"/>
  <c r="X222" i="8"/>
  <c r="M223" i="8" s="1"/>
  <c r="W222" i="8"/>
  <c r="L223" i="8" s="1"/>
  <c r="V222" i="8"/>
  <c r="K223" i="8" s="1"/>
  <c r="U222" i="8"/>
  <c r="J223" i="8" s="1"/>
  <c r="N223" i="8" l="1"/>
  <c r="O223" i="8" s="1"/>
  <c r="N63" i="4"/>
  <c r="O63" i="4" s="1"/>
  <c r="X63" i="4" l="1"/>
  <c r="M64" i="4" s="1"/>
  <c r="W63" i="4"/>
  <c r="L64" i="4" s="1"/>
  <c r="V63" i="4"/>
  <c r="K64" i="4" s="1"/>
  <c r="U63" i="4"/>
  <c r="J64" i="4" s="1"/>
  <c r="T63" i="4"/>
  <c r="I64" i="4" s="1"/>
  <c r="Q63" i="4"/>
  <c r="R63" i="4" s="1"/>
  <c r="P63" i="4"/>
  <c r="Y63" i="4" s="1"/>
  <c r="Q223" i="8"/>
  <c r="R223" i="8" s="1"/>
  <c r="U223" i="8"/>
  <c r="J224" i="8" s="1"/>
  <c r="T223" i="8"/>
  <c r="I224" i="8" s="1"/>
  <c r="P223" i="8"/>
  <c r="Y223" i="8" s="1"/>
  <c r="X223" i="8"/>
  <c r="M224" i="8" s="1"/>
  <c r="W223" i="8"/>
  <c r="L224" i="8" s="1"/>
  <c r="V223" i="8"/>
  <c r="K224" i="8" s="1"/>
  <c r="N224" i="8" l="1"/>
  <c r="O224" i="8" s="1"/>
  <c r="N64" i="4"/>
  <c r="O64" i="4" s="1"/>
  <c r="X64" i="4" l="1"/>
  <c r="M65" i="4" s="1"/>
  <c r="W64" i="4"/>
  <c r="L65" i="4" s="1"/>
  <c r="V64" i="4"/>
  <c r="K65" i="4" s="1"/>
  <c r="U64" i="4"/>
  <c r="J65" i="4" s="1"/>
  <c r="T64" i="4"/>
  <c r="I65" i="4" s="1"/>
  <c r="Q64" i="4"/>
  <c r="R64" i="4" s="1"/>
  <c r="P64" i="4"/>
  <c r="Y64" i="4" s="1"/>
  <c r="Q224" i="8"/>
  <c r="R224" i="8" s="1"/>
  <c r="W224" i="8"/>
  <c r="L225" i="8" s="1"/>
  <c r="V224" i="8"/>
  <c r="K225" i="8" s="1"/>
  <c r="U224" i="8"/>
  <c r="J225" i="8" s="1"/>
  <c r="T224" i="8"/>
  <c r="I225" i="8" s="1"/>
  <c r="P224" i="8"/>
  <c r="Y224" i="8" s="1"/>
  <c r="X224" i="8"/>
  <c r="M225" i="8" s="1"/>
  <c r="N225" i="8" l="1"/>
  <c r="O225" i="8" s="1"/>
  <c r="N65" i="4"/>
  <c r="O65" i="4" s="1"/>
  <c r="X65" i="4" l="1"/>
  <c r="M66" i="4" s="1"/>
  <c r="W65" i="4"/>
  <c r="L66" i="4" s="1"/>
  <c r="V65" i="4"/>
  <c r="K66" i="4" s="1"/>
  <c r="U65" i="4"/>
  <c r="J66" i="4" s="1"/>
  <c r="T65" i="4"/>
  <c r="I66" i="4" s="1"/>
  <c r="Q65" i="4"/>
  <c r="R65" i="4" s="1"/>
  <c r="P65" i="4"/>
  <c r="Y65" i="4" s="1"/>
  <c r="U225" i="8"/>
  <c r="J226" i="8" s="1"/>
  <c r="Q225" i="8"/>
  <c r="R225" i="8" s="1"/>
  <c r="X225" i="8"/>
  <c r="M226" i="8" s="1"/>
  <c r="W225" i="8"/>
  <c r="L226" i="8" s="1"/>
  <c r="V225" i="8"/>
  <c r="K226" i="8" s="1"/>
  <c r="T225" i="8"/>
  <c r="I226" i="8" s="1"/>
  <c r="P225" i="8"/>
  <c r="Y225" i="8" s="1"/>
  <c r="N226" i="8" l="1"/>
  <c r="O226" i="8" s="1"/>
  <c r="N66" i="4"/>
  <c r="O66" i="4" s="1"/>
  <c r="X66" i="4" l="1"/>
  <c r="M67" i="4" s="1"/>
  <c r="W66" i="4"/>
  <c r="L67" i="4" s="1"/>
  <c r="V66" i="4"/>
  <c r="K67" i="4" s="1"/>
  <c r="U66" i="4"/>
  <c r="J67" i="4" s="1"/>
  <c r="T66" i="4"/>
  <c r="I67" i="4" s="1"/>
  <c r="Q66" i="4"/>
  <c r="R66" i="4" s="1"/>
  <c r="P66" i="4"/>
  <c r="Y66" i="4" s="1"/>
  <c r="U226" i="8"/>
  <c r="J227" i="8" s="1"/>
  <c r="Q226" i="8"/>
  <c r="R226" i="8" s="1"/>
  <c r="X226" i="8"/>
  <c r="M227" i="8" s="1"/>
  <c r="V226" i="8"/>
  <c r="K227" i="8" s="1"/>
  <c r="P226" i="8"/>
  <c r="Y226" i="8" s="1"/>
  <c r="W226" i="8"/>
  <c r="L227" i="8" s="1"/>
  <c r="T226" i="8"/>
  <c r="I227" i="8" s="1"/>
  <c r="N67" i="4" l="1"/>
  <c r="O67" i="4" s="1"/>
  <c r="N227" i="8"/>
  <c r="O227" i="8" s="1"/>
  <c r="U227" i="8" l="1"/>
  <c r="J228" i="8" s="1"/>
  <c r="Q227" i="8"/>
  <c r="R227" i="8" s="1"/>
  <c r="X227" i="8"/>
  <c r="M228" i="8" s="1"/>
  <c r="W227" i="8"/>
  <c r="L228" i="8" s="1"/>
  <c r="V227" i="8"/>
  <c r="K228" i="8" s="1"/>
  <c r="T227" i="8"/>
  <c r="I228" i="8" s="1"/>
  <c r="P227" i="8"/>
  <c r="Y227" i="8" s="1"/>
  <c r="X67" i="4"/>
  <c r="M68" i="4" s="1"/>
  <c r="W67" i="4"/>
  <c r="L68" i="4" s="1"/>
  <c r="V67" i="4"/>
  <c r="K68" i="4" s="1"/>
  <c r="U67" i="4"/>
  <c r="J68" i="4" s="1"/>
  <c r="T67" i="4"/>
  <c r="I68" i="4" s="1"/>
  <c r="Q67" i="4"/>
  <c r="R67" i="4" s="1"/>
  <c r="P67" i="4"/>
  <c r="Y67" i="4" s="1"/>
  <c r="N68" i="4" l="1"/>
  <c r="O68" i="4" s="1"/>
  <c r="N228" i="8"/>
  <c r="O228" i="8" s="1"/>
  <c r="U228" i="8" l="1"/>
  <c r="J229" i="8" s="1"/>
  <c r="Q228" i="8"/>
  <c r="R228" i="8" s="1"/>
  <c r="W228" i="8"/>
  <c r="L229" i="8" s="1"/>
  <c r="V228" i="8"/>
  <c r="K229" i="8" s="1"/>
  <c r="T228" i="8"/>
  <c r="I229" i="8" s="1"/>
  <c r="P228" i="8"/>
  <c r="Y228" i="8" s="1"/>
  <c r="X228" i="8"/>
  <c r="M229" i="8" s="1"/>
  <c r="X68" i="4"/>
  <c r="M69" i="4" s="1"/>
  <c r="W68" i="4"/>
  <c r="L69" i="4" s="1"/>
  <c r="V68" i="4"/>
  <c r="K69" i="4" s="1"/>
  <c r="U68" i="4"/>
  <c r="J69" i="4" s="1"/>
  <c r="T68" i="4"/>
  <c r="I69" i="4" s="1"/>
  <c r="Q68" i="4"/>
  <c r="R68" i="4" s="1"/>
  <c r="P68" i="4"/>
  <c r="Y68" i="4" s="1"/>
  <c r="N69" i="4" l="1"/>
  <c r="O69" i="4" s="1"/>
  <c r="N229" i="8"/>
  <c r="O229" i="8" s="1"/>
  <c r="U229" i="8" l="1"/>
  <c r="J230" i="8" s="1"/>
  <c r="Q229" i="8"/>
  <c r="R229" i="8" s="1"/>
  <c r="V229" i="8"/>
  <c r="K230" i="8" s="1"/>
  <c r="T229" i="8"/>
  <c r="I230" i="8" s="1"/>
  <c r="P229" i="8"/>
  <c r="Y229" i="8" s="1"/>
  <c r="X229" i="8"/>
  <c r="M230" i="8" s="1"/>
  <c r="W229" i="8"/>
  <c r="L230" i="8" s="1"/>
  <c r="X69" i="4"/>
  <c r="M70" i="4" s="1"/>
  <c r="W69" i="4"/>
  <c r="L70" i="4" s="1"/>
  <c r="V69" i="4"/>
  <c r="K70" i="4" s="1"/>
  <c r="U69" i="4"/>
  <c r="J70" i="4" s="1"/>
  <c r="T69" i="4"/>
  <c r="I70" i="4" s="1"/>
  <c r="Q69" i="4"/>
  <c r="R69" i="4" s="1"/>
  <c r="P69" i="4"/>
  <c r="Y69" i="4" s="1"/>
  <c r="N230" i="8" l="1"/>
  <c r="O230" i="8" s="1"/>
  <c r="N70" i="4"/>
  <c r="O70" i="4" s="1"/>
  <c r="X70" i="4" l="1"/>
  <c r="M71" i="4" s="1"/>
  <c r="W70" i="4"/>
  <c r="L71" i="4" s="1"/>
  <c r="V70" i="4"/>
  <c r="K71" i="4" s="1"/>
  <c r="U70" i="4"/>
  <c r="J71" i="4" s="1"/>
  <c r="T70" i="4"/>
  <c r="I71" i="4" s="1"/>
  <c r="Q70" i="4"/>
  <c r="R70" i="4" s="1"/>
  <c r="P70" i="4"/>
  <c r="Y70" i="4" s="1"/>
  <c r="U230" i="8"/>
  <c r="J231" i="8" s="1"/>
  <c r="Q230" i="8"/>
  <c r="R230" i="8" s="1"/>
  <c r="X230" i="8"/>
  <c r="M231" i="8" s="1"/>
  <c r="W230" i="8"/>
  <c r="L231" i="8" s="1"/>
  <c r="V230" i="8"/>
  <c r="K231" i="8" s="1"/>
  <c r="T230" i="8"/>
  <c r="I231" i="8" s="1"/>
  <c r="P230" i="8"/>
  <c r="Y230" i="8" s="1"/>
  <c r="N231" i="8" l="1"/>
  <c r="O231" i="8" s="1"/>
  <c r="N71" i="4"/>
  <c r="O71" i="4" s="1"/>
  <c r="X71" i="4" l="1"/>
  <c r="M72" i="4" s="1"/>
  <c r="W71" i="4"/>
  <c r="L72" i="4" s="1"/>
  <c r="V71" i="4"/>
  <c r="K72" i="4" s="1"/>
  <c r="U71" i="4"/>
  <c r="J72" i="4" s="1"/>
  <c r="T71" i="4"/>
  <c r="I72" i="4" s="1"/>
  <c r="Q71" i="4"/>
  <c r="R71" i="4" s="1"/>
  <c r="P71" i="4"/>
  <c r="Y71" i="4" s="1"/>
  <c r="U231" i="8"/>
  <c r="J232" i="8" s="1"/>
  <c r="Q231" i="8"/>
  <c r="R231" i="8" s="1"/>
  <c r="X231" i="8"/>
  <c r="M232" i="8" s="1"/>
  <c r="W231" i="8"/>
  <c r="L232" i="8" s="1"/>
  <c r="T231" i="8"/>
  <c r="I232" i="8" s="1"/>
  <c r="V231" i="8"/>
  <c r="K232" i="8" s="1"/>
  <c r="P231" i="8"/>
  <c r="Y231" i="8" s="1"/>
  <c r="N232" i="8" l="1"/>
  <c r="O232" i="8" s="1"/>
  <c r="N72" i="4"/>
  <c r="O72" i="4" s="1"/>
  <c r="X72" i="4" l="1"/>
  <c r="M73" i="4" s="1"/>
  <c r="W72" i="4"/>
  <c r="L73" i="4" s="1"/>
  <c r="V72" i="4"/>
  <c r="K73" i="4" s="1"/>
  <c r="U72" i="4"/>
  <c r="J73" i="4" s="1"/>
  <c r="T72" i="4"/>
  <c r="I73" i="4" s="1"/>
  <c r="Q72" i="4"/>
  <c r="R72" i="4" s="1"/>
  <c r="P72" i="4"/>
  <c r="Y72" i="4" s="1"/>
  <c r="U232" i="8"/>
  <c r="J233" i="8" s="1"/>
  <c r="Q232" i="8"/>
  <c r="R232" i="8" s="1"/>
  <c r="X232" i="8"/>
  <c r="M233" i="8" s="1"/>
  <c r="W232" i="8"/>
  <c r="L233" i="8" s="1"/>
  <c r="V232" i="8"/>
  <c r="K233" i="8" s="1"/>
  <c r="T232" i="8"/>
  <c r="I233" i="8" s="1"/>
  <c r="P232" i="8"/>
  <c r="Y232" i="8" s="1"/>
  <c r="N233" i="8" l="1"/>
  <c r="O233" i="8" s="1"/>
  <c r="N73" i="4"/>
  <c r="O73" i="4" s="1"/>
  <c r="X73" i="4" l="1"/>
  <c r="M74" i="4" s="1"/>
  <c r="W73" i="4"/>
  <c r="L74" i="4" s="1"/>
  <c r="V73" i="4"/>
  <c r="K74" i="4" s="1"/>
  <c r="U73" i="4"/>
  <c r="J74" i="4" s="1"/>
  <c r="T73" i="4"/>
  <c r="I74" i="4" s="1"/>
  <c r="Q73" i="4"/>
  <c r="R73" i="4" s="1"/>
  <c r="P73" i="4"/>
  <c r="Y73" i="4" s="1"/>
  <c r="U233" i="8"/>
  <c r="J234" i="8" s="1"/>
  <c r="Q233" i="8"/>
  <c r="R233" i="8" s="1"/>
  <c r="X233" i="8"/>
  <c r="M234" i="8" s="1"/>
  <c r="W233" i="8"/>
  <c r="L234" i="8" s="1"/>
  <c r="V233" i="8"/>
  <c r="K234" i="8" s="1"/>
  <c r="T233" i="8"/>
  <c r="I234" i="8" s="1"/>
  <c r="P233" i="8"/>
  <c r="Y233" i="8" s="1"/>
  <c r="N74" i="4" l="1"/>
  <c r="O74" i="4" s="1"/>
  <c r="N234" i="8"/>
  <c r="O234" i="8" s="1"/>
  <c r="U234" i="8" l="1"/>
  <c r="J235" i="8" s="1"/>
  <c r="Q234" i="8"/>
  <c r="R234" i="8" s="1"/>
  <c r="T234" i="8"/>
  <c r="I235" i="8" s="1"/>
  <c r="P234" i="8"/>
  <c r="Y234" i="8" s="1"/>
  <c r="X234" i="8"/>
  <c r="M235" i="8" s="1"/>
  <c r="W234" i="8"/>
  <c r="L235" i="8" s="1"/>
  <c r="V234" i="8"/>
  <c r="K235" i="8" s="1"/>
  <c r="X74" i="4"/>
  <c r="M75" i="4" s="1"/>
  <c r="W74" i="4"/>
  <c r="L75" i="4" s="1"/>
  <c r="V74" i="4"/>
  <c r="K75" i="4" s="1"/>
  <c r="U74" i="4"/>
  <c r="J75" i="4" s="1"/>
  <c r="T74" i="4"/>
  <c r="I75" i="4" s="1"/>
  <c r="Q74" i="4"/>
  <c r="R74" i="4" s="1"/>
  <c r="P74" i="4"/>
  <c r="Y74" i="4" s="1"/>
  <c r="N75" i="4" l="1"/>
  <c r="O75" i="4" s="1"/>
  <c r="N235" i="8"/>
  <c r="O235" i="8" s="1"/>
  <c r="U235" i="8" l="1"/>
  <c r="J236" i="8" s="1"/>
  <c r="Q235" i="8"/>
  <c r="R235" i="8" s="1"/>
  <c r="X235" i="8"/>
  <c r="M236" i="8" s="1"/>
  <c r="W235" i="8"/>
  <c r="L236" i="8" s="1"/>
  <c r="V235" i="8"/>
  <c r="K236" i="8" s="1"/>
  <c r="T235" i="8"/>
  <c r="I236" i="8" s="1"/>
  <c r="P235" i="8"/>
  <c r="Y235" i="8" s="1"/>
  <c r="X75" i="4"/>
  <c r="M76" i="4" s="1"/>
  <c r="W75" i="4"/>
  <c r="L76" i="4" s="1"/>
  <c r="V75" i="4"/>
  <c r="K76" i="4" s="1"/>
  <c r="U75" i="4"/>
  <c r="J76" i="4" s="1"/>
  <c r="T75" i="4"/>
  <c r="I76" i="4" s="1"/>
  <c r="Q75" i="4"/>
  <c r="R75" i="4" s="1"/>
  <c r="P75" i="4"/>
  <c r="Y75" i="4" s="1"/>
  <c r="N76" i="4" l="1"/>
  <c r="O76" i="4" s="1"/>
  <c r="N236" i="8"/>
  <c r="O236" i="8" s="1"/>
  <c r="U236" i="8" l="1"/>
  <c r="J237" i="8" s="1"/>
  <c r="Q236" i="8"/>
  <c r="R236" i="8" s="1"/>
  <c r="X236" i="8"/>
  <c r="M237" i="8" s="1"/>
  <c r="W236" i="8"/>
  <c r="L237" i="8" s="1"/>
  <c r="V236" i="8"/>
  <c r="K237" i="8" s="1"/>
  <c r="P236" i="8"/>
  <c r="Y236" i="8" s="1"/>
  <c r="T236" i="8"/>
  <c r="I237" i="8" s="1"/>
  <c r="X76" i="4"/>
  <c r="M77" i="4" s="1"/>
  <c r="W76" i="4"/>
  <c r="L77" i="4" s="1"/>
  <c r="V76" i="4"/>
  <c r="K77" i="4" s="1"/>
  <c r="U76" i="4"/>
  <c r="J77" i="4" s="1"/>
  <c r="T76" i="4"/>
  <c r="I77" i="4" s="1"/>
  <c r="Q76" i="4"/>
  <c r="R76" i="4" s="1"/>
  <c r="P76" i="4"/>
  <c r="Y76" i="4" s="1"/>
  <c r="N77" i="4" l="1"/>
  <c r="O77" i="4" s="1"/>
  <c r="N237" i="8"/>
  <c r="O237" i="8" s="1"/>
  <c r="U237" i="8" l="1"/>
  <c r="J238" i="8" s="1"/>
  <c r="Q237" i="8"/>
  <c r="R237" i="8" s="1"/>
  <c r="W237" i="8"/>
  <c r="L238" i="8" s="1"/>
  <c r="X237" i="8"/>
  <c r="M238" i="8" s="1"/>
  <c r="V237" i="8"/>
  <c r="K238" i="8" s="1"/>
  <c r="T237" i="8"/>
  <c r="I238" i="8" s="1"/>
  <c r="P237" i="8"/>
  <c r="Y237" i="8" s="1"/>
  <c r="X77" i="4"/>
  <c r="M78" i="4" s="1"/>
  <c r="W77" i="4"/>
  <c r="L78" i="4" s="1"/>
  <c r="V77" i="4"/>
  <c r="K78" i="4" s="1"/>
  <c r="U77" i="4"/>
  <c r="J78" i="4" s="1"/>
  <c r="T77" i="4"/>
  <c r="I78" i="4" s="1"/>
  <c r="Q77" i="4"/>
  <c r="R77" i="4" s="1"/>
  <c r="P77" i="4"/>
  <c r="Y77" i="4" s="1"/>
  <c r="N238" i="8" l="1"/>
  <c r="O238" i="8" s="1"/>
  <c r="N78" i="4"/>
  <c r="O78" i="4" s="1"/>
  <c r="X78" i="4" l="1"/>
  <c r="M79" i="4" s="1"/>
  <c r="W78" i="4"/>
  <c r="L79" i="4" s="1"/>
  <c r="V78" i="4"/>
  <c r="K79" i="4" s="1"/>
  <c r="U78" i="4"/>
  <c r="J79" i="4" s="1"/>
  <c r="T78" i="4"/>
  <c r="I79" i="4" s="1"/>
  <c r="Q78" i="4"/>
  <c r="R78" i="4" s="1"/>
  <c r="P78" i="4"/>
  <c r="Y78" i="4" s="1"/>
  <c r="U238" i="8"/>
  <c r="J239" i="8" s="1"/>
  <c r="Q238" i="8"/>
  <c r="R238" i="8" s="1"/>
  <c r="X238" i="8"/>
  <c r="M239" i="8" s="1"/>
  <c r="W238" i="8"/>
  <c r="L239" i="8" s="1"/>
  <c r="V238" i="8"/>
  <c r="K239" i="8" s="1"/>
  <c r="T238" i="8"/>
  <c r="I239" i="8" s="1"/>
  <c r="P238" i="8"/>
  <c r="Y238" i="8" s="1"/>
  <c r="N239" i="8" l="1"/>
  <c r="O239" i="8" s="1"/>
  <c r="N79" i="4"/>
  <c r="O79" i="4" s="1"/>
  <c r="X79" i="4" l="1"/>
  <c r="M80" i="4" s="1"/>
  <c r="W79" i="4"/>
  <c r="L80" i="4" s="1"/>
  <c r="V79" i="4"/>
  <c r="K80" i="4" s="1"/>
  <c r="U79" i="4"/>
  <c r="J80" i="4" s="1"/>
  <c r="T79" i="4"/>
  <c r="I80" i="4" s="1"/>
  <c r="Q79" i="4"/>
  <c r="R79" i="4" s="1"/>
  <c r="P79" i="4"/>
  <c r="Y79" i="4" s="1"/>
  <c r="U239" i="8"/>
  <c r="J240" i="8" s="1"/>
  <c r="Q239" i="8"/>
  <c r="R239" i="8" s="1"/>
  <c r="P239" i="8"/>
  <c r="Y239" i="8" s="1"/>
  <c r="W239" i="8"/>
  <c r="L240" i="8" s="1"/>
  <c r="V239" i="8"/>
  <c r="K240" i="8" s="1"/>
  <c r="T239" i="8"/>
  <c r="I240" i="8" s="1"/>
  <c r="X239" i="8"/>
  <c r="M240" i="8" s="1"/>
  <c r="N240" i="8" l="1"/>
  <c r="O240" i="8" s="1"/>
  <c r="N80" i="4"/>
  <c r="O80" i="4" s="1"/>
  <c r="X80" i="4" l="1"/>
  <c r="M81" i="4" s="1"/>
  <c r="W80" i="4"/>
  <c r="L81" i="4" s="1"/>
  <c r="V80" i="4"/>
  <c r="K81" i="4" s="1"/>
  <c r="U80" i="4"/>
  <c r="J81" i="4" s="1"/>
  <c r="T80" i="4"/>
  <c r="I81" i="4" s="1"/>
  <c r="Q80" i="4"/>
  <c r="R80" i="4" s="1"/>
  <c r="P80" i="4"/>
  <c r="Y80" i="4" s="1"/>
  <c r="X240" i="8"/>
  <c r="M241" i="8" s="1"/>
  <c r="U240" i="8"/>
  <c r="J241" i="8" s="1"/>
  <c r="Q240" i="8"/>
  <c r="R240" i="8" s="1"/>
  <c r="W240" i="8"/>
  <c r="L241" i="8" s="1"/>
  <c r="V240" i="8"/>
  <c r="K241" i="8" s="1"/>
  <c r="T240" i="8"/>
  <c r="I241" i="8" s="1"/>
  <c r="P240" i="8"/>
  <c r="Y240" i="8" s="1"/>
  <c r="N81" i="4" l="1"/>
  <c r="O81" i="4" s="1"/>
  <c r="N241" i="8"/>
  <c r="O241" i="8" s="1"/>
  <c r="X241" i="8" l="1"/>
  <c r="M242" i="8" s="1"/>
  <c r="V241" i="8"/>
  <c r="K242" i="8" s="1"/>
  <c r="T241" i="8"/>
  <c r="I242" i="8" s="1"/>
  <c r="U241" i="8"/>
  <c r="J242" i="8" s="1"/>
  <c r="W241" i="8"/>
  <c r="L242" i="8" s="1"/>
  <c r="P241" i="8"/>
  <c r="Y241" i="8" s="1"/>
  <c r="Q241" i="8"/>
  <c r="R241" i="8" s="1"/>
  <c r="X81" i="4"/>
  <c r="M82" i="4" s="1"/>
  <c r="W81" i="4"/>
  <c r="L82" i="4" s="1"/>
  <c r="V81" i="4"/>
  <c r="K82" i="4" s="1"/>
  <c r="U81" i="4"/>
  <c r="J82" i="4" s="1"/>
  <c r="T81" i="4"/>
  <c r="I82" i="4" s="1"/>
  <c r="Q81" i="4"/>
  <c r="R81" i="4" s="1"/>
  <c r="P81" i="4"/>
  <c r="Y81" i="4" s="1"/>
  <c r="N82" i="4" l="1"/>
  <c r="O82" i="4" s="1"/>
  <c r="N242" i="8"/>
  <c r="O242" i="8" s="1"/>
  <c r="X242" i="8" l="1"/>
  <c r="M243" i="8" s="1"/>
  <c r="V242" i="8"/>
  <c r="K243" i="8" s="1"/>
  <c r="T242" i="8"/>
  <c r="I243" i="8" s="1"/>
  <c r="W242" i="8"/>
  <c r="L243" i="8" s="1"/>
  <c r="U242" i="8"/>
  <c r="J243" i="8" s="1"/>
  <c r="Q242" i="8"/>
  <c r="R242" i="8" s="1"/>
  <c r="P242" i="8"/>
  <c r="Y242" i="8" s="1"/>
  <c r="X82" i="4"/>
  <c r="M83" i="4" s="1"/>
  <c r="W82" i="4"/>
  <c r="L83" i="4" s="1"/>
  <c r="V82" i="4"/>
  <c r="K83" i="4" s="1"/>
  <c r="U82" i="4"/>
  <c r="J83" i="4" s="1"/>
  <c r="T82" i="4"/>
  <c r="I83" i="4" s="1"/>
  <c r="Q82" i="4"/>
  <c r="R82" i="4" s="1"/>
  <c r="P82" i="4"/>
  <c r="Y82" i="4" s="1"/>
  <c r="N83" i="4" l="1"/>
  <c r="O83" i="4" s="1"/>
  <c r="N243" i="8"/>
  <c r="O243" i="8" s="1"/>
  <c r="X243" i="8" l="1"/>
  <c r="M244" i="8" s="1"/>
  <c r="V243" i="8"/>
  <c r="K244" i="8" s="1"/>
  <c r="T243" i="8"/>
  <c r="I244" i="8" s="1"/>
  <c r="U243" i="8"/>
  <c r="J244" i="8" s="1"/>
  <c r="Q243" i="8"/>
  <c r="R243" i="8" s="1"/>
  <c r="P243" i="8"/>
  <c r="Y243" i="8" s="1"/>
  <c r="W243" i="8"/>
  <c r="L244" i="8" s="1"/>
  <c r="X83" i="4"/>
  <c r="M84" i="4" s="1"/>
  <c r="W83" i="4"/>
  <c r="L84" i="4" s="1"/>
  <c r="V83" i="4"/>
  <c r="K84" i="4" s="1"/>
  <c r="U83" i="4"/>
  <c r="J84" i="4" s="1"/>
  <c r="T83" i="4"/>
  <c r="I84" i="4" s="1"/>
  <c r="Q83" i="4"/>
  <c r="R83" i="4" s="1"/>
  <c r="P83" i="4"/>
  <c r="Y83" i="4" s="1"/>
  <c r="I5" i="5" l="1"/>
  <c r="N84" i="4"/>
  <c r="O84" i="4" s="1"/>
  <c r="I91" i="4"/>
  <c r="L5" i="5"/>
  <c r="L91" i="4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K5" i="5"/>
  <c r="K91" i="4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L450" i="8"/>
  <c r="L451" i="8" s="1"/>
  <c r="L452" i="8" s="1"/>
  <c r="L453" i="8" s="1"/>
  <c r="L454" i="8" s="1"/>
  <c r="L455" i="8" s="1"/>
  <c r="L456" i="8" s="1"/>
  <c r="L457" i="8" s="1"/>
  <c r="L458" i="8" s="1"/>
  <c r="L459" i="8" s="1"/>
  <c r="L460" i="8" s="1"/>
  <c r="L461" i="8" s="1"/>
  <c r="L462" i="8" s="1"/>
  <c r="L463" i="8" s="1"/>
  <c r="L464" i="8" s="1"/>
  <c r="L465" i="8" s="1"/>
  <c r="L466" i="8" s="1"/>
  <c r="L467" i="8" s="1"/>
  <c r="L468" i="8" s="1"/>
  <c r="L469" i="8" s="1"/>
  <c r="L245" i="8"/>
  <c r="I450" i="8"/>
  <c r="N244" i="8"/>
  <c r="O244" i="8" s="1"/>
  <c r="I245" i="8"/>
  <c r="J5" i="5"/>
  <c r="J91" i="4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M5" i="5"/>
  <c r="M91" i="4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J450" i="8"/>
  <c r="J451" i="8" s="1"/>
  <c r="J452" i="8" s="1"/>
  <c r="J453" i="8" s="1"/>
  <c r="J454" i="8" s="1"/>
  <c r="J455" i="8" s="1"/>
  <c r="J456" i="8" s="1"/>
  <c r="J457" i="8" s="1"/>
  <c r="J458" i="8" s="1"/>
  <c r="J459" i="8" s="1"/>
  <c r="J460" i="8" s="1"/>
  <c r="J461" i="8" s="1"/>
  <c r="J462" i="8" s="1"/>
  <c r="J463" i="8" s="1"/>
  <c r="J464" i="8" s="1"/>
  <c r="J465" i="8" s="1"/>
  <c r="J466" i="8" s="1"/>
  <c r="J467" i="8" s="1"/>
  <c r="J468" i="8" s="1"/>
  <c r="J469" i="8" s="1"/>
  <c r="J245" i="8"/>
  <c r="K450" i="8"/>
  <c r="K451" i="8" s="1"/>
  <c r="K452" i="8" s="1"/>
  <c r="K453" i="8" s="1"/>
  <c r="K454" i="8" s="1"/>
  <c r="K455" i="8" s="1"/>
  <c r="K456" i="8" s="1"/>
  <c r="K457" i="8" s="1"/>
  <c r="K458" i="8" s="1"/>
  <c r="K459" i="8" s="1"/>
  <c r="K460" i="8" s="1"/>
  <c r="K461" i="8" s="1"/>
  <c r="K462" i="8" s="1"/>
  <c r="K463" i="8" s="1"/>
  <c r="K464" i="8" s="1"/>
  <c r="K465" i="8" s="1"/>
  <c r="K466" i="8" s="1"/>
  <c r="K467" i="8" s="1"/>
  <c r="K468" i="8" s="1"/>
  <c r="K469" i="8" s="1"/>
  <c r="K245" i="8"/>
  <c r="M450" i="8"/>
  <c r="M451" i="8" s="1"/>
  <c r="M452" i="8" s="1"/>
  <c r="M453" i="8" s="1"/>
  <c r="M454" i="8" s="1"/>
  <c r="M455" i="8" s="1"/>
  <c r="M456" i="8" s="1"/>
  <c r="M457" i="8" s="1"/>
  <c r="M458" i="8" s="1"/>
  <c r="M459" i="8" s="1"/>
  <c r="M460" i="8" s="1"/>
  <c r="M461" i="8" s="1"/>
  <c r="M462" i="8" s="1"/>
  <c r="M463" i="8" s="1"/>
  <c r="M464" i="8" s="1"/>
  <c r="M465" i="8" s="1"/>
  <c r="M466" i="8" s="1"/>
  <c r="M467" i="8" s="1"/>
  <c r="M468" i="8" s="1"/>
  <c r="M469" i="8" s="1"/>
  <c r="M245" i="8"/>
  <c r="I92" i="4" l="1"/>
  <c r="N91" i="4"/>
  <c r="O91" i="4" s="1"/>
  <c r="X244" i="8"/>
  <c r="V244" i="8"/>
  <c r="T244" i="8"/>
  <c r="U244" i="8"/>
  <c r="Q244" i="8"/>
  <c r="R244" i="8" s="1"/>
  <c r="AB244" i="8" s="1"/>
  <c r="B518" i="8" s="1"/>
  <c r="P244" i="8"/>
  <c r="Y244" i="8" s="1"/>
  <c r="AA244" i="8" s="1"/>
  <c r="D518" i="8" s="1"/>
  <c r="W244" i="8"/>
  <c r="X84" i="4"/>
  <c r="W84" i="4"/>
  <c r="V84" i="4"/>
  <c r="U84" i="4"/>
  <c r="T84" i="4"/>
  <c r="Q84" i="4"/>
  <c r="R84" i="4" s="1"/>
  <c r="R85" i="4" s="1"/>
  <c r="B7" i="7" s="1"/>
  <c r="P84" i="4"/>
  <c r="Y84" i="4" s="1"/>
  <c r="Y85" i="4" s="1"/>
  <c r="D7" i="7" s="1"/>
  <c r="N245" i="8"/>
  <c r="O245" i="8" s="1"/>
  <c r="I451" i="8"/>
  <c r="N450" i="8"/>
  <c r="O450" i="8" s="1"/>
  <c r="N5" i="5"/>
  <c r="O5" i="5" s="1"/>
  <c r="Q450" i="8" l="1"/>
  <c r="R450" i="8" s="1"/>
  <c r="P450" i="8"/>
  <c r="T450" i="8" s="1"/>
  <c r="V245" i="8"/>
  <c r="K246" i="8" s="1"/>
  <c r="T245" i="8"/>
  <c r="I246" i="8" s="1"/>
  <c r="Q245" i="8"/>
  <c r="R245" i="8" s="1"/>
  <c r="P245" i="8"/>
  <c r="Y245" i="8" s="1"/>
  <c r="X245" i="8"/>
  <c r="M246" i="8" s="1"/>
  <c r="U245" i="8"/>
  <c r="J246" i="8" s="1"/>
  <c r="W245" i="8"/>
  <c r="L246" i="8" s="1"/>
  <c r="I93" i="4"/>
  <c r="N92" i="4"/>
  <c r="O92" i="4" s="1"/>
  <c r="I452" i="8"/>
  <c r="N451" i="8"/>
  <c r="O451" i="8" s="1"/>
  <c r="Q91" i="4"/>
  <c r="R91" i="4" s="1"/>
  <c r="P91" i="4"/>
  <c r="X5" i="5"/>
  <c r="M6" i="5" s="1"/>
  <c r="V5" i="5"/>
  <c r="K6" i="5" s="1"/>
  <c r="U5" i="5"/>
  <c r="J6" i="5" s="1"/>
  <c r="T5" i="5"/>
  <c r="I6" i="5" s="1"/>
  <c r="P5" i="5"/>
  <c r="Y5" i="5" s="1"/>
  <c r="W5" i="5"/>
  <c r="L6" i="5" s="1"/>
  <c r="Q5" i="5"/>
  <c r="R5" i="5" s="1"/>
  <c r="Q92" i="4" l="1"/>
  <c r="R92" i="4" s="1"/>
  <c r="P92" i="4"/>
  <c r="T92" i="4" s="1"/>
  <c r="N246" i="8"/>
  <c r="O246" i="8" s="1"/>
  <c r="T91" i="4"/>
  <c r="N6" i="5"/>
  <c r="O6" i="5" s="1"/>
  <c r="I453" i="8"/>
  <c r="N452" i="8"/>
  <c r="O452" i="8" s="1"/>
  <c r="N93" i="4"/>
  <c r="O93" i="4" s="1"/>
  <c r="I94" i="4"/>
  <c r="Q451" i="8"/>
  <c r="R451" i="8" s="1"/>
  <c r="P451" i="8"/>
  <c r="T451" i="8" s="1"/>
  <c r="X6" i="5" l="1"/>
  <c r="M7" i="5" s="1"/>
  <c r="V6" i="5"/>
  <c r="K7" i="5" s="1"/>
  <c r="U6" i="5"/>
  <c r="J7" i="5" s="1"/>
  <c r="T6" i="5"/>
  <c r="I7" i="5" s="1"/>
  <c r="P6" i="5"/>
  <c r="Y6" i="5" s="1"/>
  <c r="W6" i="5"/>
  <c r="L7" i="5" s="1"/>
  <c r="Q6" i="5"/>
  <c r="R6" i="5" s="1"/>
  <c r="V246" i="8"/>
  <c r="K247" i="8" s="1"/>
  <c r="T246" i="8"/>
  <c r="I247" i="8" s="1"/>
  <c r="Q246" i="8"/>
  <c r="R246" i="8" s="1"/>
  <c r="P246" i="8"/>
  <c r="Y246" i="8" s="1"/>
  <c r="X246" i="8"/>
  <c r="M247" i="8" s="1"/>
  <c r="W246" i="8"/>
  <c r="L247" i="8" s="1"/>
  <c r="U246" i="8"/>
  <c r="J247" i="8" s="1"/>
  <c r="N94" i="4"/>
  <c r="O94" i="4" s="1"/>
  <c r="I95" i="4"/>
  <c r="Q93" i="4"/>
  <c r="R93" i="4" s="1"/>
  <c r="P93" i="4"/>
  <c r="Q452" i="8"/>
  <c r="R452" i="8" s="1"/>
  <c r="P452" i="8"/>
  <c r="T452" i="8" s="1"/>
  <c r="N453" i="8"/>
  <c r="O453" i="8" s="1"/>
  <c r="I454" i="8"/>
  <c r="N247" i="8" l="1"/>
  <c r="O247" i="8" s="1"/>
  <c r="Q453" i="8"/>
  <c r="R453" i="8" s="1"/>
  <c r="P453" i="8"/>
  <c r="T453" i="8" s="1"/>
  <c r="T93" i="4"/>
  <c r="I455" i="8"/>
  <c r="N454" i="8"/>
  <c r="O454" i="8" s="1"/>
  <c r="N7" i="5"/>
  <c r="O7" i="5" s="1"/>
  <c r="I96" i="4"/>
  <c r="N95" i="4"/>
  <c r="O95" i="4" s="1"/>
  <c r="Q94" i="4"/>
  <c r="R94" i="4" s="1"/>
  <c r="P94" i="4"/>
  <c r="T94" i="4" s="1"/>
  <c r="I97" i="4" l="1"/>
  <c r="N96" i="4"/>
  <c r="O96" i="4" s="1"/>
  <c r="P95" i="4"/>
  <c r="Q95" i="4"/>
  <c r="R95" i="4" s="1"/>
  <c r="X7" i="5"/>
  <c r="M8" i="5" s="1"/>
  <c r="V7" i="5"/>
  <c r="K8" i="5" s="1"/>
  <c r="U7" i="5"/>
  <c r="J8" i="5" s="1"/>
  <c r="T7" i="5"/>
  <c r="I8" i="5" s="1"/>
  <c r="P7" i="5"/>
  <c r="Y7" i="5" s="1"/>
  <c r="W7" i="5"/>
  <c r="L8" i="5" s="1"/>
  <c r="Q7" i="5"/>
  <c r="R7" i="5" s="1"/>
  <c r="N455" i="8"/>
  <c r="O455" i="8" s="1"/>
  <c r="I456" i="8"/>
  <c r="V247" i="8"/>
  <c r="K248" i="8" s="1"/>
  <c r="T247" i="8"/>
  <c r="I248" i="8" s="1"/>
  <c r="Q247" i="8"/>
  <c r="R247" i="8" s="1"/>
  <c r="P247" i="8"/>
  <c r="Y247" i="8" s="1"/>
  <c r="U247" i="8"/>
  <c r="J248" i="8" s="1"/>
  <c r="X247" i="8"/>
  <c r="M248" i="8" s="1"/>
  <c r="W247" i="8"/>
  <c r="L248" i="8" s="1"/>
  <c r="Q454" i="8"/>
  <c r="R454" i="8" s="1"/>
  <c r="P454" i="8"/>
  <c r="T454" i="8" s="1"/>
  <c r="N456" i="8" l="1"/>
  <c r="O456" i="8" s="1"/>
  <c r="I457" i="8"/>
  <c r="Q455" i="8"/>
  <c r="R455" i="8" s="1"/>
  <c r="P455" i="8"/>
  <c r="T455" i="8" s="1"/>
  <c r="N8" i="5"/>
  <c r="O8" i="5" s="1"/>
  <c r="T95" i="4"/>
  <c r="N97" i="4"/>
  <c r="O97" i="4" s="1"/>
  <c r="I98" i="4"/>
  <c r="P96" i="4"/>
  <c r="T96" i="4" s="1"/>
  <c r="Q96" i="4"/>
  <c r="R96" i="4" s="1"/>
  <c r="N248" i="8"/>
  <c r="O248" i="8" s="1"/>
  <c r="V248" i="8" l="1"/>
  <c r="K249" i="8" s="1"/>
  <c r="T248" i="8"/>
  <c r="I249" i="8" s="1"/>
  <c r="Q248" i="8"/>
  <c r="R248" i="8" s="1"/>
  <c r="P248" i="8"/>
  <c r="Y248" i="8" s="1"/>
  <c r="X248" i="8"/>
  <c r="M249" i="8" s="1"/>
  <c r="W248" i="8"/>
  <c r="L249" i="8" s="1"/>
  <c r="U248" i="8"/>
  <c r="J249" i="8" s="1"/>
  <c r="X8" i="5"/>
  <c r="M9" i="5" s="1"/>
  <c r="V8" i="5"/>
  <c r="K9" i="5" s="1"/>
  <c r="U8" i="5"/>
  <c r="J9" i="5" s="1"/>
  <c r="T8" i="5"/>
  <c r="I9" i="5" s="1"/>
  <c r="P8" i="5"/>
  <c r="Y8" i="5" s="1"/>
  <c r="W8" i="5"/>
  <c r="L9" i="5" s="1"/>
  <c r="Q8" i="5"/>
  <c r="R8" i="5" s="1"/>
  <c r="Q97" i="4"/>
  <c r="R97" i="4" s="1"/>
  <c r="P97" i="4"/>
  <c r="I458" i="8"/>
  <c r="N457" i="8"/>
  <c r="O457" i="8" s="1"/>
  <c r="I99" i="4"/>
  <c r="N98" i="4"/>
  <c r="O98" i="4" s="1"/>
  <c r="P456" i="8"/>
  <c r="T456" i="8" s="1"/>
  <c r="Q456" i="8"/>
  <c r="R456" i="8" s="1"/>
  <c r="N9" i="5" l="1"/>
  <c r="O9" i="5" s="1"/>
  <c r="I100" i="4"/>
  <c r="N99" i="4"/>
  <c r="O99" i="4" s="1"/>
  <c r="T97" i="4"/>
  <c r="N249" i="8"/>
  <c r="O249" i="8" s="1"/>
  <c r="Q98" i="4"/>
  <c r="R98" i="4" s="1"/>
  <c r="P98" i="4"/>
  <c r="T98" i="4" s="1"/>
  <c r="Q457" i="8"/>
  <c r="R457" i="8" s="1"/>
  <c r="P457" i="8"/>
  <c r="T457" i="8" s="1"/>
  <c r="I459" i="8"/>
  <c r="N458" i="8"/>
  <c r="O458" i="8" s="1"/>
  <c r="V249" i="8" l="1"/>
  <c r="K250" i="8" s="1"/>
  <c r="T249" i="8"/>
  <c r="I250" i="8" s="1"/>
  <c r="Q249" i="8"/>
  <c r="R249" i="8" s="1"/>
  <c r="P249" i="8"/>
  <c r="Y249" i="8" s="1"/>
  <c r="X249" i="8"/>
  <c r="M250" i="8" s="1"/>
  <c r="W249" i="8"/>
  <c r="L250" i="8" s="1"/>
  <c r="U249" i="8"/>
  <c r="J250" i="8" s="1"/>
  <c r="Q458" i="8"/>
  <c r="R458" i="8" s="1"/>
  <c r="P458" i="8"/>
  <c r="T458" i="8" s="1"/>
  <c r="N459" i="8"/>
  <c r="O459" i="8" s="1"/>
  <c r="I460" i="8"/>
  <c r="X9" i="5"/>
  <c r="M10" i="5" s="1"/>
  <c r="V9" i="5"/>
  <c r="K10" i="5" s="1"/>
  <c r="U9" i="5"/>
  <c r="J10" i="5" s="1"/>
  <c r="T9" i="5"/>
  <c r="I10" i="5" s="1"/>
  <c r="P9" i="5"/>
  <c r="Y9" i="5" s="1"/>
  <c r="W9" i="5"/>
  <c r="L10" i="5" s="1"/>
  <c r="Q9" i="5"/>
  <c r="R9" i="5" s="1"/>
  <c r="P99" i="4"/>
  <c r="Q99" i="4"/>
  <c r="R99" i="4" s="1"/>
  <c r="N100" i="4"/>
  <c r="O100" i="4" s="1"/>
  <c r="I101" i="4"/>
  <c r="Q459" i="8" l="1"/>
  <c r="R459" i="8" s="1"/>
  <c r="P459" i="8"/>
  <c r="T459" i="8" s="1"/>
  <c r="N10" i="5"/>
  <c r="O10" i="5" s="1"/>
  <c r="Q100" i="4"/>
  <c r="R100" i="4" s="1"/>
  <c r="P100" i="4"/>
  <c r="T100" i="4" s="1"/>
  <c r="N250" i="8"/>
  <c r="O250" i="8" s="1"/>
  <c r="I461" i="8"/>
  <c r="N460" i="8"/>
  <c r="O460" i="8" s="1"/>
  <c r="I102" i="4"/>
  <c r="N101" i="4"/>
  <c r="O101" i="4" s="1"/>
  <c r="T99" i="4"/>
  <c r="Q460" i="8" l="1"/>
  <c r="R460" i="8" s="1"/>
  <c r="P460" i="8"/>
  <c r="T460" i="8" s="1"/>
  <c r="V250" i="8"/>
  <c r="K251" i="8" s="1"/>
  <c r="T250" i="8"/>
  <c r="I251" i="8" s="1"/>
  <c r="Q250" i="8"/>
  <c r="R250" i="8" s="1"/>
  <c r="P250" i="8"/>
  <c r="Y250" i="8" s="1"/>
  <c r="X250" i="8"/>
  <c r="M251" i="8" s="1"/>
  <c r="W250" i="8"/>
  <c r="L251" i="8" s="1"/>
  <c r="U250" i="8"/>
  <c r="J251" i="8" s="1"/>
  <c r="N102" i="4"/>
  <c r="O102" i="4" s="1"/>
  <c r="I103" i="4"/>
  <c r="N461" i="8"/>
  <c r="O461" i="8" s="1"/>
  <c r="I462" i="8"/>
  <c r="X10" i="5"/>
  <c r="M11" i="5" s="1"/>
  <c r="V10" i="5"/>
  <c r="K11" i="5" s="1"/>
  <c r="U10" i="5"/>
  <c r="J11" i="5" s="1"/>
  <c r="T10" i="5"/>
  <c r="I11" i="5" s="1"/>
  <c r="P10" i="5"/>
  <c r="Y10" i="5" s="1"/>
  <c r="W10" i="5"/>
  <c r="L11" i="5" s="1"/>
  <c r="Q10" i="5"/>
  <c r="R10" i="5" s="1"/>
  <c r="Q101" i="4"/>
  <c r="R101" i="4" s="1"/>
  <c r="P101" i="4"/>
  <c r="N103" i="4" l="1"/>
  <c r="O103" i="4" s="1"/>
  <c r="I104" i="4"/>
  <c r="Q102" i="4"/>
  <c r="R102" i="4" s="1"/>
  <c r="P102" i="4"/>
  <c r="T102" i="4" s="1"/>
  <c r="N462" i="8"/>
  <c r="O462" i="8" s="1"/>
  <c r="I463" i="8"/>
  <c r="N251" i="8"/>
  <c r="O251" i="8" s="1"/>
  <c r="Q461" i="8"/>
  <c r="R461" i="8" s="1"/>
  <c r="P461" i="8"/>
  <c r="T461" i="8" s="1"/>
  <c r="T101" i="4"/>
  <c r="N11" i="5"/>
  <c r="O11" i="5" s="1"/>
  <c r="V251" i="8" l="1"/>
  <c r="K252" i="8" s="1"/>
  <c r="T251" i="8"/>
  <c r="I252" i="8" s="1"/>
  <c r="Q251" i="8"/>
  <c r="R251" i="8" s="1"/>
  <c r="P251" i="8"/>
  <c r="Y251" i="8" s="1"/>
  <c r="X251" i="8"/>
  <c r="M252" i="8" s="1"/>
  <c r="W251" i="8"/>
  <c r="L252" i="8" s="1"/>
  <c r="U251" i="8"/>
  <c r="J252" i="8" s="1"/>
  <c r="X11" i="5"/>
  <c r="M12" i="5" s="1"/>
  <c r="V11" i="5"/>
  <c r="K12" i="5" s="1"/>
  <c r="U11" i="5"/>
  <c r="J12" i="5" s="1"/>
  <c r="T11" i="5"/>
  <c r="I12" i="5" s="1"/>
  <c r="P11" i="5"/>
  <c r="Y11" i="5" s="1"/>
  <c r="W11" i="5"/>
  <c r="L12" i="5" s="1"/>
  <c r="Q11" i="5"/>
  <c r="R11" i="5" s="1"/>
  <c r="I464" i="8"/>
  <c r="N463" i="8"/>
  <c r="O463" i="8" s="1"/>
  <c r="P103" i="4"/>
  <c r="T103" i="4" s="1"/>
  <c r="Q103" i="4"/>
  <c r="R103" i="4" s="1"/>
  <c r="Q462" i="8"/>
  <c r="R462" i="8" s="1"/>
  <c r="P462" i="8"/>
  <c r="T462" i="8" s="1"/>
  <c r="I105" i="4"/>
  <c r="N104" i="4"/>
  <c r="O104" i="4" s="1"/>
  <c r="I465" i="8" l="1"/>
  <c r="N464" i="8"/>
  <c r="O464" i="8" s="1"/>
  <c r="Q463" i="8"/>
  <c r="R463" i="8" s="1"/>
  <c r="P463" i="8"/>
  <c r="T463" i="8" s="1"/>
  <c r="Q104" i="4"/>
  <c r="R104" i="4" s="1"/>
  <c r="P104" i="4"/>
  <c r="I106" i="4"/>
  <c r="N105" i="4"/>
  <c r="O105" i="4" s="1"/>
  <c r="N12" i="5"/>
  <c r="O12" i="5" s="1"/>
  <c r="N252" i="8"/>
  <c r="O252" i="8" s="1"/>
  <c r="X12" i="5" l="1"/>
  <c r="M13" i="5" s="1"/>
  <c r="V12" i="5"/>
  <c r="K13" i="5" s="1"/>
  <c r="U12" i="5"/>
  <c r="J13" i="5" s="1"/>
  <c r="T12" i="5"/>
  <c r="I13" i="5" s="1"/>
  <c r="P12" i="5"/>
  <c r="Y12" i="5" s="1"/>
  <c r="Q12" i="5"/>
  <c r="R12" i="5" s="1"/>
  <c r="W12" i="5"/>
  <c r="L13" i="5" s="1"/>
  <c r="N106" i="4"/>
  <c r="O106" i="4" s="1"/>
  <c r="I107" i="4"/>
  <c r="V252" i="8"/>
  <c r="K253" i="8" s="1"/>
  <c r="T252" i="8"/>
  <c r="I253" i="8" s="1"/>
  <c r="Q252" i="8"/>
  <c r="R252" i="8" s="1"/>
  <c r="P252" i="8"/>
  <c r="Y252" i="8" s="1"/>
  <c r="X252" i="8"/>
  <c r="M253" i="8" s="1"/>
  <c r="W252" i="8"/>
  <c r="L253" i="8" s="1"/>
  <c r="U252" i="8"/>
  <c r="J253" i="8" s="1"/>
  <c r="T104" i="4"/>
  <c r="Q464" i="8"/>
  <c r="R464" i="8" s="1"/>
  <c r="P464" i="8"/>
  <c r="T464" i="8" s="1"/>
  <c r="Q105" i="4"/>
  <c r="R105" i="4" s="1"/>
  <c r="P105" i="4"/>
  <c r="T105" i="4" s="1"/>
  <c r="N465" i="8"/>
  <c r="O465" i="8" s="1"/>
  <c r="I466" i="8"/>
  <c r="Q106" i="4" l="1"/>
  <c r="R106" i="4" s="1"/>
  <c r="P106" i="4"/>
  <c r="T106" i="4" s="1"/>
  <c r="Q465" i="8"/>
  <c r="R465" i="8" s="1"/>
  <c r="P465" i="8"/>
  <c r="T465" i="8" s="1"/>
  <c r="N13" i="5"/>
  <c r="O13" i="5" s="1"/>
  <c r="I467" i="8"/>
  <c r="N466" i="8"/>
  <c r="O466" i="8" s="1"/>
  <c r="I108" i="4"/>
  <c r="N107" i="4"/>
  <c r="O107" i="4" s="1"/>
  <c r="N253" i="8"/>
  <c r="O253" i="8" s="1"/>
  <c r="Q107" i="4" l="1"/>
  <c r="R107" i="4" s="1"/>
  <c r="P107" i="4"/>
  <c r="I468" i="8"/>
  <c r="N467" i="8"/>
  <c r="O467" i="8" s="1"/>
  <c r="I109" i="4"/>
  <c r="N108" i="4"/>
  <c r="O108" i="4" s="1"/>
  <c r="Q466" i="8"/>
  <c r="R466" i="8" s="1"/>
  <c r="P466" i="8"/>
  <c r="T466" i="8" s="1"/>
  <c r="X13" i="5"/>
  <c r="M14" i="5" s="1"/>
  <c r="V13" i="5"/>
  <c r="K14" i="5" s="1"/>
  <c r="U13" i="5"/>
  <c r="J14" i="5" s="1"/>
  <c r="T13" i="5"/>
  <c r="I14" i="5" s="1"/>
  <c r="P13" i="5"/>
  <c r="Y13" i="5" s="1"/>
  <c r="W13" i="5"/>
  <c r="L14" i="5" s="1"/>
  <c r="Q13" i="5"/>
  <c r="R13" i="5" s="1"/>
  <c r="V253" i="8"/>
  <c r="K254" i="8" s="1"/>
  <c r="T253" i="8"/>
  <c r="I254" i="8" s="1"/>
  <c r="Q253" i="8"/>
  <c r="R253" i="8" s="1"/>
  <c r="P253" i="8"/>
  <c r="Y253" i="8" s="1"/>
  <c r="X253" i="8"/>
  <c r="M254" i="8" s="1"/>
  <c r="W253" i="8"/>
  <c r="L254" i="8" s="1"/>
  <c r="U253" i="8"/>
  <c r="J254" i="8" s="1"/>
  <c r="N109" i="4" l="1"/>
  <c r="O109" i="4" s="1"/>
  <c r="I110" i="4"/>
  <c r="N110" i="4" s="1"/>
  <c r="O110" i="4" s="1"/>
  <c r="N14" i="5"/>
  <c r="O14" i="5" s="1"/>
  <c r="Q108" i="4"/>
  <c r="R108" i="4" s="1"/>
  <c r="P108" i="4"/>
  <c r="T108" i="4" s="1"/>
  <c r="T107" i="4"/>
  <c r="Q467" i="8"/>
  <c r="R467" i="8" s="1"/>
  <c r="P467" i="8"/>
  <c r="T467" i="8" s="1"/>
  <c r="I469" i="8"/>
  <c r="N469" i="8" s="1"/>
  <c r="O469" i="8" s="1"/>
  <c r="N468" i="8"/>
  <c r="O468" i="8" s="1"/>
  <c r="N254" i="8"/>
  <c r="O254" i="8" s="1"/>
  <c r="Q110" i="4" l="1"/>
  <c r="R110" i="4" s="1"/>
  <c r="P110" i="4"/>
  <c r="V254" i="8"/>
  <c r="K255" i="8" s="1"/>
  <c r="T254" i="8"/>
  <c r="I255" i="8" s="1"/>
  <c r="Q254" i="8"/>
  <c r="R254" i="8" s="1"/>
  <c r="P254" i="8"/>
  <c r="Y254" i="8" s="1"/>
  <c r="X254" i="8"/>
  <c r="M255" i="8" s="1"/>
  <c r="W254" i="8"/>
  <c r="L255" i="8" s="1"/>
  <c r="U254" i="8"/>
  <c r="J255" i="8" s="1"/>
  <c r="Q469" i="8"/>
  <c r="R469" i="8" s="1"/>
  <c r="W469" i="8" s="1"/>
  <c r="C518" i="8" s="1"/>
  <c r="P469" i="8"/>
  <c r="T469" i="8" s="1"/>
  <c r="V469" i="8" s="1"/>
  <c r="E518" i="8" s="1"/>
  <c r="X14" i="5"/>
  <c r="M15" i="5" s="1"/>
  <c r="V14" i="5"/>
  <c r="K15" i="5" s="1"/>
  <c r="U14" i="5"/>
  <c r="J15" i="5" s="1"/>
  <c r="T14" i="5"/>
  <c r="I15" i="5" s="1"/>
  <c r="P14" i="5"/>
  <c r="Y14" i="5" s="1"/>
  <c r="W14" i="5"/>
  <c r="L15" i="5" s="1"/>
  <c r="Q14" i="5"/>
  <c r="R14" i="5" s="1"/>
  <c r="Q468" i="8"/>
  <c r="R468" i="8" s="1"/>
  <c r="P468" i="8"/>
  <c r="T468" i="8" s="1"/>
  <c r="Q109" i="4"/>
  <c r="R109" i="4" s="1"/>
  <c r="P109" i="4"/>
  <c r="T109" i="4" s="1"/>
  <c r="T110" i="4" l="1"/>
  <c r="T111" i="4" s="1"/>
  <c r="E7" i="7" s="1"/>
  <c r="C116" i="4"/>
  <c r="D116" i="4"/>
  <c r="D117" i="4"/>
  <c r="C117" i="4"/>
  <c r="N15" i="5"/>
  <c r="O15" i="5" s="1"/>
  <c r="N255" i="8"/>
  <c r="O255" i="8" s="1"/>
  <c r="R111" i="4"/>
  <c r="C7" i="7" s="1"/>
  <c r="V255" i="8" l="1"/>
  <c r="K256" i="8" s="1"/>
  <c r="T255" i="8"/>
  <c r="I256" i="8" s="1"/>
  <c r="Q255" i="8"/>
  <c r="R255" i="8" s="1"/>
  <c r="P255" i="8"/>
  <c r="Y255" i="8" s="1"/>
  <c r="X255" i="8"/>
  <c r="M256" i="8" s="1"/>
  <c r="W255" i="8"/>
  <c r="L256" i="8" s="1"/>
  <c r="U255" i="8"/>
  <c r="J256" i="8" s="1"/>
  <c r="J116" i="4"/>
  <c r="J117" i="4"/>
  <c r="J115" i="4"/>
  <c r="X15" i="5"/>
  <c r="M16" i="5" s="1"/>
  <c r="V15" i="5"/>
  <c r="K16" i="5" s="1"/>
  <c r="U15" i="5"/>
  <c r="J16" i="5" s="1"/>
  <c r="T15" i="5"/>
  <c r="I16" i="5" s="1"/>
  <c r="P15" i="5"/>
  <c r="Y15" i="5" s="1"/>
  <c r="Q15" i="5"/>
  <c r="R15" i="5" s="1"/>
  <c r="W15" i="5"/>
  <c r="L16" i="5" s="1"/>
  <c r="N16" i="5" l="1"/>
  <c r="O16" i="5" s="1"/>
  <c r="N256" i="8"/>
  <c r="O256" i="8" s="1"/>
  <c r="J118" i="4"/>
  <c r="V256" i="8" l="1"/>
  <c r="K257" i="8" s="1"/>
  <c r="T256" i="8"/>
  <c r="I257" i="8" s="1"/>
  <c r="Q256" i="8"/>
  <c r="R256" i="8" s="1"/>
  <c r="P256" i="8"/>
  <c r="Y256" i="8" s="1"/>
  <c r="X256" i="8"/>
  <c r="M257" i="8" s="1"/>
  <c r="W256" i="8"/>
  <c r="L257" i="8" s="1"/>
  <c r="U256" i="8"/>
  <c r="J257" i="8" s="1"/>
  <c r="X16" i="5"/>
  <c r="M17" i="5" s="1"/>
  <c r="V16" i="5"/>
  <c r="K17" i="5" s="1"/>
  <c r="U16" i="5"/>
  <c r="J17" i="5" s="1"/>
  <c r="T16" i="5"/>
  <c r="I17" i="5" s="1"/>
  <c r="P16" i="5"/>
  <c r="Y16" i="5" s="1"/>
  <c r="W16" i="5"/>
  <c r="L17" i="5" s="1"/>
  <c r="Q16" i="5"/>
  <c r="R16" i="5" s="1"/>
  <c r="N17" i="5" l="1"/>
  <c r="O17" i="5" s="1"/>
  <c r="N257" i="8"/>
  <c r="O257" i="8" s="1"/>
  <c r="V257" i="8" l="1"/>
  <c r="K258" i="8" s="1"/>
  <c r="T257" i="8"/>
  <c r="I258" i="8" s="1"/>
  <c r="Q257" i="8"/>
  <c r="R257" i="8" s="1"/>
  <c r="P257" i="8"/>
  <c r="Y257" i="8" s="1"/>
  <c r="X257" i="8"/>
  <c r="M258" i="8" s="1"/>
  <c r="W257" i="8"/>
  <c r="L258" i="8" s="1"/>
  <c r="U257" i="8"/>
  <c r="J258" i="8" s="1"/>
  <c r="X17" i="5"/>
  <c r="M18" i="5" s="1"/>
  <c r="V17" i="5"/>
  <c r="K18" i="5" s="1"/>
  <c r="U17" i="5"/>
  <c r="J18" i="5" s="1"/>
  <c r="T17" i="5"/>
  <c r="I18" i="5" s="1"/>
  <c r="P17" i="5"/>
  <c r="Y17" i="5" s="1"/>
  <c r="W17" i="5"/>
  <c r="L18" i="5" s="1"/>
  <c r="Q17" i="5"/>
  <c r="R17" i="5" s="1"/>
  <c r="N18" i="5" l="1"/>
  <c r="O18" i="5" s="1"/>
  <c r="N258" i="8"/>
  <c r="O258" i="8" s="1"/>
  <c r="V258" i="8" l="1"/>
  <c r="K259" i="8" s="1"/>
  <c r="T258" i="8"/>
  <c r="I259" i="8" s="1"/>
  <c r="Q258" i="8"/>
  <c r="R258" i="8" s="1"/>
  <c r="P258" i="8"/>
  <c r="Y258" i="8" s="1"/>
  <c r="X258" i="8"/>
  <c r="M259" i="8" s="1"/>
  <c r="W258" i="8"/>
  <c r="L259" i="8" s="1"/>
  <c r="U258" i="8"/>
  <c r="J259" i="8" s="1"/>
  <c r="X18" i="5"/>
  <c r="M19" i="5" s="1"/>
  <c r="V18" i="5"/>
  <c r="K19" i="5" s="1"/>
  <c r="U18" i="5"/>
  <c r="J19" i="5" s="1"/>
  <c r="T18" i="5"/>
  <c r="I19" i="5" s="1"/>
  <c r="P18" i="5"/>
  <c r="Y18" i="5" s="1"/>
  <c r="Q18" i="5"/>
  <c r="R18" i="5" s="1"/>
  <c r="W18" i="5"/>
  <c r="L19" i="5" s="1"/>
  <c r="N259" i="8" l="1"/>
  <c r="O259" i="8" s="1"/>
  <c r="N19" i="5"/>
  <c r="O19" i="5" s="1"/>
  <c r="X19" i="5" l="1"/>
  <c r="M20" i="5" s="1"/>
  <c r="V19" i="5"/>
  <c r="K20" i="5" s="1"/>
  <c r="U19" i="5"/>
  <c r="J20" i="5" s="1"/>
  <c r="T19" i="5"/>
  <c r="I20" i="5" s="1"/>
  <c r="P19" i="5"/>
  <c r="Y19" i="5" s="1"/>
  <c r="W19" i="5"/>
  <c r="L20" i="5" s="1"/>
  <c r="Q19" i="5"/>
  <c r="R19" i="5" s="1"/>
  <c r="V259" i="8"/>
  <c r="K260" i="8" s="1"/>
  <c r="T259" i="8"/>
  <c r="I260" i="8" s="1"/>
  <c r="Q259" i="8"/>
  <c r="R259" i="8" s="1"/>
  <c r="P259" i="8"/>
  <c r="Y259" i="8" s="1"/>
  <c r="X259" i="8"/>
  <c r="M260" i="8" s="1"/>
  <c r="W259" i="8"/>
  <c r="L260" i="8" s="1"/>
  <c r="U259" i="8"/>
  <c r="J260" i="8" s="1"/>
  <c r="N260" i="8" l="1"/>
  <c r="O260" i="8" s="1"/>
  <c r="N20" i="5"/>
  <c r="O20" i="5" s="1"/>
  <c r="X20" i="5" l="1"/>
  <c r="M21" i="5" s="1"/>
  <c r="V20" i="5"/>
  <c r="K21" i="5" s="1"/>
  <c r="U20" i="5"/>
  <c r="J21" i="5" s="1"/>
  <c r="T20" i="5"/>
  <c r="I21" i="5" s="1"/>
  <c r="P20" i="5"/>
  <c r="Y20" i="5" s="1"/>
  <c r="W20" i="5"/>
  <c r="L21" i="5" s="1"/>
  <c r="Q20" i="5"/>
  <c r="R20" i="5" s="1"/>
  <c r="V260" i="8"/>
  <c r="K261" i="8" s="1"/>
  <c r="T260" i="8"/>
  <c r="I261" i="8" s="1"/>
  <c r="Q260" i="8"/>
  <c r="R260" i="8" s="1"/>
  <c r="P260" i="8"/>
  <c r="Y260" i="8" s="1"/>
  <c r="X260" i="8"/>
  <c r="M261" i="8" s="1"/>
  <c r="W260" i="8"/>
  <c r="L261" i="8" s="1"/>
  <c r="U260" i="8"/>
  <c r="J261" i="8" s="1"/>
  <c r="N261" i="8" l="1"/>
  <c r="O261" i="8" s="1"/>
  <c r="N21" i="5"/>
  <c r="O21" i="5" s="1"/>
  <c r="X21" i="5" l="1"/>
  <c r="M22" i="5" s="1"/>
  <c r="V21" i="5"/>
  <c r="K22" i="5" s="1"/>
  <c r="U21" i="5"/>
  <c r="J22" i="5" s="1"/>
  <c r="T21" i="5"/>
  <c r="I22" i="5" s="1"/>
  <c r="P21" i="5"/>
  <c r="Y21" i="5" s="1"/>
  <c r="W21" i="5"/>
  <c r="L22" i="5" s="1"/>
  <c r="Q21" i="5"/>
  <c r="R21" i="5" s="1"/>
  <c r="V261" i="8"/>
  <c r="K262" i="8" s="1"/>
  <c r="T261" i="8"/>
  <c r="I262" i="8" s="1"/>
  <c r="Q261" i="8"/>
  <c r="R261" i="8" s="1"/>
  <c r="P261" i="8"/>
  <c r="Y261" i="8" s="1"/>
  <c r="X261" i="8"/>
  <c r="M262" i="8" s="1"/>
  <c r="W261" i="8"/>
  <c r="L262" i="8" s="1"/>
  <c r="U261" i="8"/>
  <c r="J262" i="8" s="1"/>
  <c r="N22" i="5" l="1"/>
  <c r="O22" i="5" s="1"/>
  <c r="N262" i="8"/>
  <c r="O262" i="8" s="1"/>
  <c r="V262" i="8" l="1"/>
  <c r="K263" i="8" s="1"/>
  <c r="T262" i="8"/>
  <c r="I263" i="8" s="1"/>
  <c r="Q262" i="8"/>
  <c r="R262" i="8" s="1"/>
  <c r="P262" i="8"/>
  <c r="Y262" i="8" s="1"/>
  <c r="X262" i="8"/>
  <c r="M263" i="8" s="1"/>
  <c r="W262" i="8"/>
  <c r="L263" i="8" s="1"/>
  <c r="U262" i="8"/>
  <c r="J263" i="8" s="1"/>
  <c r="X22" i="5"/>
  <c r="M23" i="5" s="1"/>
  <c r="V22" i="5"/>
  <c r="K23" i="5" s="1"/>
  <c r="U22" i="5"/>
  <c r="J23" i="5" s="1"/>
  <c r="T22" i="5"/>
  <c r="I23" i="5" s="1"/>
  <c r="P22" i="5"/>
  <c r="Y22" i="5" s="1"/>
  <c r="W22" i="5"/>
  <c r="L23" i="5" s="1"/>
  <c r="Q22" i="5"/>
  <c r="R22" i="5" s="1"/>
  <c r="N23" i="5" l="1"/>
  <c r="O23" i="5" s="1"/>
  <c r="N263" i="8"/>
  <c r="O263" i="8" s="1"/>
  <c r="V263" i="8" l="1"/>
  <c r="K264" i="8" s="1"/>
  <c r="T263" i="8"/>
  <c r="I264" i="8" s="1"/>
  <c r="Q263" i="8"/>
  <c r="R263" i="8" s="1"/>
  <c r="P263" i="8"/>
  <c r="Y263" i="8" s="1"/>
  <c r="X263" i="8"/>
  <c r="M264" i="8" s="1"/>
  <c r="W263" i="8"/>
  <c r="L264" i="8" s="1"/>
  <c r="U263" i="8"/>
  <c r="J264" i="8" s="1"/>
  <c r="X23" i="5"/>
  <c r="M24" i="5" s="1"/>
  <c r="V23" i="5"/>
  <c r="K24" i="5" s="1"/>
  <c r="U23" i="5"/>
  <c r="J24" i="5" s="1"/>
  <c r="T23" i="5"/>
  <c r="I24" i="5" s="1"/>
  <c r="P23" i="5"/>
  <c r="Y23" i="5" s="1"/>
  <c r="W23" i="5"/>
  <c r="L24" i="5" s="1"/>
  <c r="Q23" i="5"/>
  <c r="R23" i="5" s="1"/>
  <c r="N24" i="5" l="1"/>
  <c r="O24" i="5" s="1"/>
  <c r="N264" i="8"/>
  <c r="O264" i="8" s="1"/>
  <c r="V264" i="8" l="1"/>
  <c r="K265" i="8" s="1"/>
  <c r="T264" i="8"/>
  <c r="I265" i="8" s="1"/>
  <c r="Q264" i="8"/>
  <c r="R264" i="8" s="1"/>
  <c r="P264" i="8"/>
  <c r="Y264" i="8" s="1"/>
  <c r="X264" i="8"/>
  <c r="M265" i="8" s="1"/>
  <c r="W264" i="8"/>
  <c r="L265" i="8" s="1"/>
  <c r="U264" i="8"/>
  <c r="J265" i="8" s="1"/>
  <c r="X24" i="5"/>
  <c r="M25" i="5" s="1"/>
  <c r="V24" i="5"/>
  <c r="K25" i="5" s="1"/>
  <c r="U24" i="5"/>
  <c r="J25" i="5" s="1"/>
  <c r="T24" i="5"/>
  <c r="I25" i="5" s="1"/>
  <c r="P24" i="5"/>
  <c r="Y24" i="5" s="1"/>
  <c r="W24" i="5"/>
  <c r="L25" i="5" s="1"/>
  <c r="Q24" i="5"/>
  <c r="R24" i="5" s="1"/>
  <c r="N265" i="8" l="1"/>
  <c r="O265" i="8" s="1"/>
  <c r="N25" i="5"/>
  <c r="O25" i="5" s="1"/>
  <c r="X25" i="5" l="1"/>
  <c r="M26" i="5" s="1"/>
  <c r="V25" i="5"/>
  <c r="K26" i="5" s="1"/>
  <c r="U25" i="5"/>
  <c r="J26" i="5" s="1"/>
  <c r="T25" i="5"/>
  <c r="I26" i="5" s="1"/>
  <c r="P25" i="5"/>
  <c r="Y25" i="5" s="1"/>
  <c r="W25" i="5"/>
  <c r="L26" i="5" s="1"/>
  <c r="Q25" i="5"/>
  <c r="R25" i="5" s="1"/>
  <c r="V265" i="8"/>
  <c r="K266" i="8" s="1"/>
  <c r="T265" i="8"/>
  <c r="I266" i="8" s="1"/>
  <c r="Q265" i="8"/>
  <c r="R265" i="8" s="1"/>
  <c r="P265" i="8"/>
  <c r="Y265" i="8" s="1"/>
  <c r="X265" i="8"/>
  <c r="M266" i="8" s="1"/>
  <c r="W265" i="8"/>
  <c r="L266" i="8" s="1"/>
  <c r="U265" i="8"/>
  <c r="J266" i="8" s="1"/>
  <c r="N266" i="8" l="1"/>
  <c r="O266" i="8" s="1"/>
  <c r="N26" i="5"/>
  <c r="O26" i="5" s="1"/>
  <c r="X26" i="5" l="1"/>
  <c r="M27" i="5" s="1"/>
  <c r="V26" i="5"/>
  <c r="K27" i="5" s="1"/>
  <c r="U26" i="5"/>
  <c r="J27" i="5" s="1"/>
  <c r="T26" i="5"/>
  <c r="I27" i="5" s="1"/>
  <c r="P26" i="5"/>
  <c r="Y26" i="5" s="1"/>
  <c r="W26" i="5"/>
  <c r="L27" i="5" s="1"/>
  <c r="Q26" i="5"/>
  <c r="R26" i="5" s="1"/>
  <c r="V266" i="8"/>
  <c r="K267" i="8" s="1"/>
  <c r="T266" i="8"/>
  <c r="I267" i="8" s="1"/>
  <c r="Q266" i="8"/>
  <c r="R266" i="8" s="1"/>
  <c r="P266" i="8"/>
  <c r="Y266" i="8" s="1"/>
  <c r="X266" i="8"/>
  <c r="M267" i="8" s="1"/>
  <c r="W266" i="8"/>
  <c r="L267" i="8" s="1"/>
  <c r="U266" i="8"/>
  <c r="J267" i="8" s="1"/>
  <c r="N267" i="8" l="1"/>
  <c r="O267" i="8" s="1"/>
  <c r="N27" i="5"/>
  <c r="O27" i="5" s="1"/>
  <c r="X27" i="5" l="1"/>
  <c r="M28" i="5" s="1"/>
  <c r="V27" i="5"/>
  <c r="K28" i="5" s="1"/>
  <c r="U27" i="5"/>
  <c r="J28" i="5" s="1"/>
  <c r="T27" i="5"/>
  <c r="I28" i="5" s="1"/>
  <c r="P27" i="5"/>
  <c r="Y27" i="5" s="1"/>
  <c r="W27" i="5"/>
  <c r="L28" i="5" s="1"/>
  <c r="Q27" i="5"/>
  <c r="R27" i="5" s="1"/>
  <c r="V267" i="8"/>
  <c r="K268" i="8" s="1"/>
  <c r="T267" i="8"/>
  <c r="I268" i="8" s="1"/>
  <c r="Q267" i="8"/>
  <c r="R267" i="8" s="1"/>
  <c r="P267" i="8"/>
  <c r="Y267" i="8" s="1"/>
  <c r="X267" i="8"/>
  <c r="M268" i="8" s="1"/>
  <c r="W267" i="8"/>
  <c r="L268" i="8" s="1"/>
  <c r="U267" i="8"/>
  <c r="J268" i="8" s="1"/>
  <c r="N268" i="8" l="1"/>
  <c r="O268" i="8" s="1"/>
  <c r="N28" i="5"/>
  <c r="O28" i="5" s="1"/>
  <c r="X28" i="5" l="1"/>
  <c r="M29" i="5" s="1"/>
  <c r="V28" i="5"/>
  <c r="K29" i="5" s="1"/>
  <c r="U28" i="5"/>
  <c r="J29" i="5" s="1"/>
  <c r="T28" i="5"/>
  <c r="I29" i="5" s="1"/>
  <c r="P28" i="5"/>
  <c r="Y28" i="5" s="1"/>
  <c r="W28" i="5"/>
  <c r="L29" i="5" s="1"/>
  <c r="Q28" i="5"/>
  <c r="R28" i="5" s="1"/>
  <c r="V268" i="8"/>
  <c r="K269" i="8" s="1"/>
  <c r="T268" i="8"/>
  <c r="I269" i="8" s="1"/>
  <c r="Q268" i="8"/>
  <c r="R268" i="8" s="1"/>
  <c r="P268" i="8"/>
  <c r="Y268" i="8" s="1"/>
  <c r="X268" i="8"/>
  <c r="M269" i="8" s="1"/>
  <c r="U268" i="8"/>
  <c r="J269" i="8" s="1"/>
  <c r="W268" i="8"/>
  <c r="L269" i="8" s="1"/>
  <c r="N269" i="8" l="1"/>
  <c r="O269" i="8" s="1"/>
  <c r="N29" i="5"/>
  <c r="O29" i="5" s="1"/>
  <c r="X29" i="5" l="1"/>
  <c r="M30" i="5" s="1"/>
  <c r="V29" i="5"/>
  <c r="K30" i="5" s="1"/>
  <c r="U29" i="5"/>
  <c r="J30" i="5" s="1"/>
  <c r="T29" i="5"/>
  <c r="I30" i="5" s="1"/>
  <c r="P29" i="5"/>
  <c r="Y29" i="5" s="1"/>
  <c r="W29" i="5"/>
  <c r="L30" i="5" s="1"/>
  <c r="Q29" i="5"/>
  <c r="R29" i="5" s="1"/>
  <c r="V269" i="8"/>
  <c r="K270" i="8" s="1"/>
  <c r="T269" i="8"/>
  <c r="I270" i="8" s="1"/>
  <c r="Q269" i="8"/>
  <c r="R269" i="8" s="1"/>
  <c r="P269" i="8"/>
  <c r="Y269" i="8" s="1"/>
  <c r="X269" i="8"/>
  <c r="M270" i="8" s="1"/>
  <c r="W269" i="8"/>
  <c r="L270" i="8" s="1"/>
  <c r="U269" i="8"/>
  <c r="J270" i="8" s="1"/>
  <c r="N270" i="8" l="1"/>
  <c r="O270" i="8" s="1"/>
  <c r="N30" i="5"/>
  <c r="O30" i="5" s="1"/>
  <c r="X30" i="5" l="1"/>
  <c r="M31" i="5" s="1"/>
  <c r="V30" i="5"/>
  <c r="K31" i="5" s="1"/>
  <c r="U30" i="5"/>
  <c r="J31" i="5" s="1"/>
  <c r="T30" i="5"/>
  <c r="I31" i="5" s="1"/>
  <c r="P30" i="5"/>
  <c r="Y30" i="5" s="1"/>
  <c r="W30" i="5"/>
  <c r="L31" i="5" s="1"/>
  <c r="Q30" i="5"/>
  <c r="R30" i="5" s="1"/>
  <c r="V270" i="8"/>
  <c r="K271" i="8" s="1"/>
  <c r="T270" i="8"/>
  <c r="I271" i="8" s="1"/>
  <c r="Q270" i="8"/>
  <c r="R270" i="8" s="1"/>
  <c r="P270" i="8"/>
  <c r="Y270" i="8" s="1"/>
  <c r="X270" i="8"/>
  <c r="M271" i="8" s="1"/>
  <c r="W270" i="8"/>
  <c r="L271" i="8" s="1"/>
  <c r="U270" i="8"/>
  <c r="J271" i="8" s="1"/>
  <c r="N271" i="8" l="1"/>
  <c r="O271" i="8" s="1"/>
  <c r="N31" i="5"/>
  <c r="O31" i="5" s="1"/>
  <c r="X31" i="5" l="1"/>
  <c r="M32" i="5" s="1"/>
  <c r="V31" i="5"/>
  <c r="K32" i="5" s="1"/>
  <c r="U31" i="5"/>
  <c r="J32" i="5" s="1"/>
  <c r="T31" i="5"/>
  <c r="I32" i="5" s="1"/>
  <c r="P31" i="5"/>
  <c r="Y31" i="5" s="1"/>
  <c r="W31" i="5"/>
  <c r="L32" i="5" s="1"/>
  <c r="Q31" i="5"/>
  <c r="R31" i="5" s="1"/>
  <c r="V271" i="8"/>
  <c r="K272" i="8" s="1"/>
  <c r="T271" i="8"/>
  <c r="I272" i="8" s="1"/>
  <c r="Q271" i="8"/>
  <c r="R271" i="8" s="1"/>
  <c r="P271" i="8"/>
  <c r="Y271" i="8" s="1"/>
  <c r="X271" i="8"/>
  <c r="M272" i="8" s="1"/>
  <c r="W271" i="8"/>
  <c r="L272" i="8" s="1"/>
  <c r="U271" i="8"/>
  <c r="J272" i="8" s="1"/>
  <c r="N272" i="8" l="1"/>
  <c r="O272" i="8" s="1"/>
  <c r="N32" i="5"/>
  <c r="O32" i="5" s="1"/>
  <c r="X32" i="5" l="1"/>
  <c r="M33" i="5" s="1"/>
  <c r="W32" i="5"/>
  <c r="L33" i="5" s="1"/>
  <c r="V32" i="5"/>
  <c r="K33" i="5" s="1"/>
  <c r="U32" i="5"/>
  <c r="J33" i="5" s="1"/>
  <c r="T32" i="5"/>
  <c r="I33" i="5" s="1"/>
  <c r="P32" i="5"/>
  <c r="Y32" i="5" s="1"/>
  <c r="Q32" i="5"/>
  <c r="R32" i="5" s="1"/>
  <c r="V272" i="8"/>
  <c r="K273" i="8" s="1"/>
  <c r="T272" i="8"/>
  <c r="I273" i="8" s="1"/>
  <c r="Q272" i="8"/>
  <c r="R272" i="8" s="1"/>
  <c r="P272" i="8"/>
  <c r="Y272" i="8" s="1"/>
  <c r="X272" i="8"/>
  <c r="M273" i="8" s="1"/>
  <c r="U272" i="8"/>
  <c r="J273" i="8" s="1"/>
  <c r="W272" i="8"/>
  <c r="L273" i="8" s="1"/>
  <c r="N273" i="8" l="1"/>
  <c r="O273" i="8" s="1"/>
  <c r="N33" i="5"/>
  <c r="O33" i="5" s="1"/>
  <c r="X33" i="5" l="1"/>
  <c r="M34" i="5" s="1"/>
  <c r="W33" i="5"/>
  <c r="L34" i="5" s="1"/>
  <c r="V33" i="5"/>
  <c r="K34" i="5" s="1"/>
  <c r="U33" i="5"/>
  <c r="J34" i="5" s="1"/>
  <c r="T33" i="5"/>
  <c r="I34" i="5" s="1"/>
  <c r="P33" i="5"/>
  <c r="Y33" i="5" s="1"/>
  <c r="Q33" i="5"/>
  <c r="R33" i="5" s="1"/>
  <c r="V273" i="8"/>
  <c r="K274" i="8" s="1"/>
  <c r="T273" i="8"/>
  <c r="I274" i="8" s="1"/>
  <c r="Q273" i="8"/>
  <c r="R273" i="8" s="1"/>
  <c r="P273" i="8"/>
  <c r="Y273" i="8" s="1"/>
  <c r="X273" i="8"/>
  <c r="M274" i="8" s="1"/>
  <c r="W273" i="8"/>
  <c r="L274" i="8" s="1"/>
  <c r="U273" i="8"/>
  <c r="J274" i="8" s="1"/>
  <c r="N274" i="8" l="1"/>
  <c r="O274" i="8" s="1"/>
  <c r="N34" i="5"/>
  <c r="O34" i="5" s="1"/>
  <c r="X34" i="5" l="1"/>
  <c r="M35" i="5" s="1"/>
  <c r="W34" i="5"/>
  <c r="L35" i="5" s="1"/>
  <c r="V34" i="5"/>
  <c r="K35" i="5" s="1"/>
  <c r="U34" i="5"/>
  <c r="J35" i="5" s="1"/>
  <c r="T34" i="5"/>
  <c r="I35" i="5" s="1"/>
  <c r="P34" i="5"/>
  <c r="Y34" i="5" s="1"/>
  <c r="Q34" i="5"/>
  <c r="R34" i="5" s="1"/>
  <c r="V274" i="8"/>
  <c r="K275" i="8" s="1"/>
  <c r="T274" i="8"/>
  <c r="I275" i="8" s="1"/>
  <c r="Q274" i="8"/>
  <c r="R274" i="8" s="1"/>
  <c r="P274" i="8"/>
  <c r="Y274" i="8" s="1"/>
  <c r="X274" i="8"/>
  <c r="M275" i="8" s="1"/>
  <c r="W274" i="8"/>
  <c r="L275" i="8" s="1"/>
  <c r="U274" i="8"/>
  <c r="J275" i="8" s="1"/>
  <c r="N275" i="8" l="1"/>
  <c r="O275" i="8" s="1"/>
  <c r="N35" i="5"/>
  <c r="O35" i="5" s="1"/>
  <c r="X35" i="5" l="1"/>
  <c r="M36" i="5" s="1"/>
  <c r="W35" i="5"/>
  <c r="L36" i="5" s="1"/>
  <c r="V35" i="5"/>
  <c r="K36" i="5" s="1"/>
  <c r="U35" i="5"/>
  <c r="J36" i="5" s="1"/>
  <c r="T35" i="5"/>
  <c r="I36" i="5" s="1"/>
  <c r="P35" i="5"/>
  <c r="Y35" i="5" s="1"/>
  <c r="Q35" i="5"/>
  <c r="R35" i="5" s="1"/>
  <c r="V275" i="8"/>
  <c r="K276" i="8" s="1"/>
  <c r="T275" i="8"/>
  <c r="I276" i="8" s="1"/>
  <c r="Q275" i="8"/>
  <c r="R275" i="8" s="1"/>
  <c r="P275" i="8"/>
  <c r="Y275" i="8" s="1"/>
  <c r="X275" i="8"/>
  <c r="M276" i="8" s="1"/>
  <c r="W275" i="8"/>
  <c r="L276" i="8" s="1"/>
  <c r="U275" i="8"/>
  <c r="J276" i="8" s="1"/>
  <c r="N276" i="8" l="1"/>
  <c r="O276" i="8" s="1"/>
  <c r="N36" i="5"/>
  <c r="O36" i="5" s="1"/>
  <c r="X36" i="5" l="1"/>
  <c r="M37" i="5" s="1"/>
  <c r="W36" i="5"/>
  <c r="L37" i="5" s="1"/>
  <c r="V36" i="5"/>
  <c r="K37" i="5" s="1"/>
  <c r="U36" i="5"/>
  <c r="J37" i="5" s="1"/>
  <c r="T36" i="5"/>
  <c r="I37" i="5" s="1"/>
  <c r="P36" i="5"/>
  <c r="Y36" i="5" s="1"/>
  <c r="Q36" i="5"/>
  <c r="R36" i="5" s="1"/>
  <c r="V276" i="8"/>
  <c r="K277" i="8" s="1"/>
  <c r="T276" i="8"/>
  <c r="I277" i="8" s="1"/>
  <c r="Q276" i="8"/>
  <c r="R276" i="8" s="1"/>
  <c r="P276" i="8"/>
  <c r="Y276" i="8" s="1"/>
  <c r="X276" i="8"/>
  <c r="M277" i="8" s="1"/>
  <c r="W276" i="8"/>
  <c r="L277" i="8" s="1"/>
  <c r="U276" i="8"/>
  <c r="J277" i="8" s="1"/>
  <c r="N277" i="8" l="1"/>
  <c r="O277" i="8" s="1"/>
  <c r="N37" i="5"/>
  <c r="O37" i="5" s="1"/>
  <c r="X37" i="5" l="1"/>
  <c r="M38" i="5" s="1"/>
  <c r="W37" i="5"/>
  <c r="L38" i="5" s="1"/>
  <c r="V37" i="5"/>
  <c r="K38" i="5" s="1"/>
  <c r="U37" i="5"/>
  <c r="J38" i="5" s="1"/>
  <c r="T37" i="5"/>
  <c r="I38" i="5" s="1"/>
  <c r="P37" i="5"/>
  <c r="Y37" i="5" s="1"/>
  <c r="Q37" i="5"/>
  <c r="R37" i="5" s="1"/>
  <c r="V277" i="8"/>
  <c r="K278" i="8" s="1"/>
  <c r="T277" i="8"/>
  <c r="I278" i="8" s="1"/>
  <c r="Q277" i="8"/>
  <c r="R277" i="8" s="1"/>
  <c r="P277" i="8"/>
  <c r="Y277" i="8" s="1"/>
  <c r="X277" i="8"/>
  <c r="M278" i="8" s="1"/>
  <c r="W277" i="8"/>
  <c r="L278" i="8" s="1"/>
  <c r="U277" i="8"/>
  <c r="J278" i="8" s="1"/>
  <c r="N278" i="8" l="1"/>
  <c r="O278" i="8" s="1"/>
  <c r="N38" i="5"/>
  <c r="O38" i="5" s="1"/>
  <c r="X38" i="5" l="1"/>
  <c r="M39" i="5" s="1"/>
  <c r="W38" i="5"/>
  <c r="L39" i="5" s="1"/>
  <c r="V38" i="5"/>
  <c r="K39" i="5" s="1"/>
  <c r="U38" i="5"/>
  <c r="J39" i="5" s="1"/>
  <c r="T38" i="5"/>
  <c r="I39" i="5" s="1"/>
  <c r="P38" i="5"/>
  <c r="Y38" i="5" s="1"/>
  <c r="Q38" i="5"/>
  <c r="R38" i="5" s="1"/>
  <c r="V278" i="8"/>
  <c r="K279" i="8" s="1"/>
  <c r="T278" i="8"/>
  <c r="I279" i="8" s="1"/>
  <c r="Q278" i="8"/>
  <c r="R278" i="8" s="1"/>
  <c r="P278" i="8"/>
  <c r="Y278" i="8" s="1"/>
  <c r="X278" i="8"/>
  <c r="M279" i="8" s="1"/>
  <c r="W278" i="8"/>
  <c r="L279" i="8" s="1"/>
  <c r="U278" i="8"/>
  <c r="J279" i="8" s="1"/>
  <c r="N279" i="8" l="1"/>
  <c r="O279" i="8" s="1"/>
  <c r="N39" i="5"/>
  <c r="O39" i="5" s="1"/>
  <c r="V279" i="8" l="1"/>
  <c r="K280" i="8" s="1"/>
  <c r="T279" i="8"/>
  <c r="I280" i="8" s="1"/>
  <c r="Q279" i="8"/>
  <c r="R279" i="8" s="1"/>
  <c r="P279" i="8"/>
  <c r="Y279" i="8" s="1"/>
  <c r="X279" i="8"/>
  <c r="M280" i="8" s="1"/>
  <c r="W279" i="8"/>
  <c r="L280" i="8" s="1"/>
  <c r="U279" i="8"/>
  <c r="J280" i="8" s="1"/>
  <c r="X39" i="5"/>
  <c r="M40" i="5" s="1"/>
  <c r="W39" i="5"/>
  <c r="L40" i="5" s="1"/>
  <c r="V39" i="5"/>
  <c r="K40" i="5" s="1"/>
  <c r="U39" i="5"/>
  <c r="J40" i="5" s="1"/>
  <c r="T39" i="5"/>
  <c r="I40" i="5" s="1"/>
  <c r="P39" i="5"/>
  <c r="Y39" i="5" s="1"/>
  <c r="Q39" i="5"/>
  <c r="R39" i="5" s="1"/>
  <c r="N280" i="8" l="1"/>
  <c r="O280" i="8" s="1"/>
  <c r="N40" i="5"/>
  <c r="O40" i="5" s="1"/>
  <c r="X40" i="5" l="1"/>
  <c r="M41" i="5" s="1"/>
  <c r="W40" i="5"/>
  <c r="L41" i="5" s="1"/>
  <c r="V40" i="5"/>
  <c r="K41" i="5" s="1"/>
  <c r="U40" i="5"/>
  <c r="J41" i="5" s="1"/>
  <c r="T40" i="5"/>
  <c r="I41" i="5" s="1"/>
  <c r="P40" i="5"/>
  <c r="Y40" i="5" s="1"/>
  <c r="Q40" i="5"/>
  <c r="R40" i="5" s="1"/>
  <c r="V280" i="8"/>
  <c r="K281" i="8" s="1"/>
  <c r="T280" i="8"/>
  <c r="I281" i="8" s="1"/>
  <c r="Q280" i="8"/>
  <c r="R280" i="8" s="1"/>
  <c r="P280" i="8"/>
  <c r="Y280" i="8" s="1"/>
  <c r="X280" i="8"/>
  <c r="M281" i="8" s="1"/>
  <c r="W280" i="8"/>
  <c r="L281" i="8" s="1"/>
  <c r="U280" i="8"/>
  <c r="J281" i="8" s="1"/>
  <c r="N281" i="8" l="1"/>
  <c r="O281" i="8" s="1"/>
  <c r="N41" i="5"/>
  <c r="O41" i="5" s="1"/>
  <c r="X41" i="5" l="1"/>
  <c r="M42" i="5" s="1"/>
  <c r="W41" i="5"/>
  <c r="L42" i="5" s="1"/>
  <c r="V41" i="5"/>
  <c r="K42" i="5" s="1"/>
  <c r="U41" i="5"/>
  <c r="J42" i="5" s="1"/>
  <c r="T41" i="5"/>
  <c r="I42" i="5" s="1"/>
  <c r="P41" i="5"/>
  <c r="Y41" i="5" s="1"/>
  <c r="Q41" i="5"/>
  <c r="R41" i="5" s="1"/>
  <c r="W281" i="8"/>
  <c r="L282" i="8" s="1"/>
  <c r="V281" i="8"/>
  <c r="K282" i="8" s="1"/>
  <c r="X281" i="8"/>
  <c r="M282" i="8" s="1"/>
  <c r="T281" i="8"/>
  <c r="I282" i="8" s="1"/>
  <c r="Q281" i="8"/>
  <c r="R281" i="8" s="1"/>
  <c r="P281" i="8"/>
  <c r="Y281" i="8" s="1"/>
  <c r="U281" i="8"/>
  <c r="J282" i="8" s="1"/>
  <c r="N282" i="8" l="1"/>
  <c r="O282" i="8" s="1"/>
  <c r="N42" i="5"/>
  <c r="O42" i="5" s="1"/>
  <c r="X42" i="5" l="1"/>
  <c r="M43" i="5" s="1"/>
  <c r="W42" i="5"/>
  <c r="L43" i="5" s="1"/>
  <c r="V42" i="5"/>
  <c r="K43" i="5" s="1"/>
  <c r="U42" i="5"/>
  <c r="J43" i="5" s="1"/>
  <c r="T42" i="5"/>
  <c r="I43" i="5" s="1"/>
  <c r="P42" i="5"/>
  <c r="Y42" i="5" s="1"/>
  <c r="Q42" i="5"/>
  <c r="R42" i="5" s="1"/>
  <c r="W282" i="8"/>
  <c r="L283" i="8" s="1"/>
  <c r="V282" i="8"/>
  <c r="K283" i="8" s="1"/>
  <c r="U282" i="8"/>
  <c r="J283" i="8" s="1"/>
  <c r="T282" i="8"/>
  <c r="I283" i="8" s="1"/>
  <c r="X282" i="8"/>
  <c r="M283" i="8" s="1"/>
  <c r="Q282" i="8"/>
  <c r="R282" i="8" s="1"/>
  <c r="P282" i="8"/>
  <c r="Y282" i="8" s="1"/>
  <c r="N283" i="8" l="1"/>
  <c r="O283" i="8" s="1"/>
  <c r="N43" i="5"/>
  <c r="O43" i="5" s="1"/>
  <c r="X43" i="5" l="1"/>
  <c r="M44" i="5" s="1"/>
  <c r="W43" i="5"/>
  <c r="L44" i="5" s="1"/>
  <c r="V43" i="5"/>
  <c r="K44" i="5" s="1"/>
  <c r="U43" i="5"/>
  <c r="J44" i="5" s="1"/>
  <c r="T43" i="5"/>
  <c r="I44" i="5" s="1"/>
  <c r="P43" i="5"/>
  <c r="Y43" i="5" s="1"/>
  <c r="Q43" i="5"/>
  <c r="R43" i="5" s="1"/>
  <c r="W283" i="8"/>
  <c r="L284" i="8" s="1"/>
  <c r="V283" i="8"/>
  <c r="K284" i="8" s="1"/>
  <c r="T283" i="8"/>
  <c r="I284" i="8" s="1"/>
  <c r="X283" i="8"/>
  <c r="M284" i="8" s="1"/>
  <c r="U283" i="8"/>
  <c r="J284" i="8" s="1"/>
  <c r="Q283" i="8"/>
  <c r="R283" i="8" s="1"/>
  <c r="P283" i="8"/>
  <c r="Y283" i="8" s="1"/>
  <c r="N284" i="8" l="1"/>
  <c r="O284" i="8" s="1"/>
  <c r="N44" i="5"/>
  <c r="O44" i="5" s="1"/>
  <c r="X44" i="5" l="1"/>
  <c r="M45" i="5" s="1"/>
  <c r="W44" i="5"/>
  <c r="L45" i="5" s="1"/>
  <c r="V44" i="5"/>
  <c r="K45" i="5" s="1"/>
  <c r="U44" i="5"/>
  <c r="J45" i="5" s="1"/>
  <c r="T44" i="5"/>
  <c r="I45" i="5" s="1"/>
  <c r="P44" i="5"/>
  <c r="Y44" i="5" s="1"/>
  <c r="Q44" i="5"/>
  <c r="R44" i="5" s="1"/>
  <c r="W284" i="8"/>
  <c r="L285" i="8" s="1"/>
  <c r="V284" i="8"/>
  <c r="K285" i="8" s="1"/>
  <c r="U284" i="8"/>
  <c r="J285" i="8" s="1"/>
  <c r="T284" i="8"/>
  <c r="I285" i="8" s="1"/>
  <c r="Q284" i="8"/>
  <c r="R284" i="8" s="1"/>
  <c r="P284" i="8"/>
  <c r="Y284" i="8" s="1"/>
  <c r="X284" i="8"/>
  <c r="M285" i="8" s="1"/>
  <c r="N285" i="8" l="1"/>
  <c r="O285" i="8" s="1"/>
  <c r="N45" i="5"/>
  <c r="O45" i="5" s="1"/>
  <c r="X45" i="5" l="1"/>
  <c r="M46" i="5" s="1"/>
  <c r="W45" i="5"/>
  <c r="L46" i="5" s="1"/>
  <c r="V45" i="5"/>
  <c r="K46" i="5" s="1"/>
  <c r="U45" i="5"/>
  <c r="J46" i="5" s="1"/>
  <c r="T45" i="5"/>
  <c r="I46" i="5" s="1"/>
  <c r="P45" i="5"/>
  <c r="Y45" i="5" s="1"/>
  <c r="Q45" i="5"/>
  <c r="R45" i="5" s="1"/>
  <c r="W285" i="8"/>
  <c r="L286" i="8" s="1"/>
  <c r="V285" i="8"/>
  <c r="K286" i="8" s="1"/>
  <c r="Q285" i="8"/>
  <c r="R285" i="8" s="1"/>
  <c r="P285" i="8"/>
  <c r="Y285" i="8" s="1"/>
  <c r="X285" i="8"/>
  <c r="M286" i="8" s="1"/>
  <c r="U285" i="8"/>
  <c r="J286" i="8" s="1"/>
  <c r="T285" i="8"/>
  <c r="I286" i="8" s="1"/>
  <c r="N286" i="8" l="1"/>
  <c r="O286" i="8" s="1"/>
  <c r="N46" i="5"/>
  <c r="O46" i="5" s="1"/>
  <c r="X46" i="5" l="1"/>
  <c r="M47" i="5" s="1"/>
  <c r="W46" i="5"/>
  <c r="L47" i="5" s="1"/>
  <c r="V46" i="5"/>
  <c r="K47" i="5" s="1"/>
  <c r="U46" i="5"/>
  <c r="J47" i="5" s="1"/>
  <c r="T46" i="5"/>
  <c r="I47" i="5" s="1"/>
  <c r="P46" i="5"/>
  <c r="Y46" i="5" s="1"/>
  <c r="Q46" i="5"/>
  <c r="R46" i="5" s="1"/>
  <c r="W286" i="8"/>
  <c r="L287" i="8" s="1"/>
  <c r="V286" i="8"/>
  <c r="K287" i="8" s="1"/>
  <c r="U286" i="8"/>
  <c r="J287" i="8" s="1"/>
  <c r="P286" i="8"/>
  <c r="Y286" i="8" s="1"/>
  <c r="T286" i="8"/>
  <c r="I287" i="8" s="1"/>
  <c r="Q286" i="8"/>
  <c r="R286" i="8" s="1"/>
  <c r="X286" i="8"/>
  <c r="M287" i="8" s="1"/>
  <c r="N287" i="8" l="1"/>
  <c r="O287" i="8" s="1"/>
  <c r="N47" i="5"/>
  <c r="O47" i="5" s="1"/>
  <c r="X47" i="5" l="1"/>
  <c r="M48" i="5" s="1"/>
  <c r="W47" i="5"/>
  <c r="L48" i="5" s="1"/>
  <c r="V47" i="5"/>
  <c r="K48" i="5" s="1"/>
  <c r="U47" i="5"/>
  <c r="J48" i="5" s="1"/>
  <c r="T47" i="5"/>
  <c r="I48" i="5" s="1"/>
  <c r="P47" i="5"/>
  <c r="Y47" i="5" s="1"/>
  <c r="Q47" i="5"/>
  <c r="R47" i="5" s="1"/>
  <c r="W287" i="8"/>
  <c r="L288" i="8" s="1"/>
  <c r="V287" i="8"/>
  <c r="K288" i="8" s="1"/>
  <c r="X287" i="8"/>
  <c r="M288" i="8" s="1"/>
  <c r="T287" i="8"/>
  <c r="I288" i="8" s="1"/>
  <c r="U287" i="8"/>
  <c r="J288" i="8" s="1"/>
  <c r="Q287" i="8"/>
  <c r="R287" i="8" s="1"/>
  <c r="P287" i="8"/>
  <c r="Y287" i="8" s="1"/>
  <c r="N288" i="8" l="1"/>
  <c r="O288" i="8" s="1"/>
  <c r="N48" i="5"/>
  <c r="O48" i="5" s="1"/>
  <c r="X48" i="5" l="1"/>
  <c r="M49" i="5" s="1"/>
  <c r="W48" i="5"/>
  <c r="L49" i="5" s="1"/>
  <c r="V48" i="5"/>
  <c r="K49" i="5" s="1"/>
  <c r="U48" i="5"/>
  <c r="J49" i="5" s="1"/>
  <c r="T48" i="5"/>
  <c r="I49" i="5" s="1"/>
  <c r="P48" i="5"/>
  <c r="Y48" i="5" s="1"/>
  <c r="Q48" i="5"/>
  <c r="R48" i="5" s="1"/>
  <c r="W288" i="8"/>
  <c r="L289" i="8" s="1"/>
  <c r="V288" i="8"/>
  <c r="K289" i="8" s="1"/>
  <c r="U288" i="8"/>
  <c r="J289" i="8" s="1"/>
  <c r="Q288" i="8"/>
  <c r="R288" i="8" s="1"/>
  <c r="X288" i="8"/>
  <c r="M289" i="8" s="1"/>
  <c r="T288" i="8"/>
  <c r="I289" i="8" s="1"/>
  <c r="P288" i="8"/>
  <c r="Y288" i="8" s="1"/>
  <c r="N49" i="5" l="1"/>
  <c r="O49" i="5" s="1"/>
  <c r="N289" i="8"/>
  <c r="O289" i="8" s="1"/>
  <c r="W289" i="8" l="1"/>
  <c r="L290" i="8" s="1"/>
  <c r="V289" i="8"/>
  <c r="K290" i="8" s="1"/>
  <c r="U289" i="8"/>
  <c r="J290" i="8" s="1"/>
  <c r="X289" i="8"/>
  <c r="M290" i="8" s="1"/>
  <c r="T289" i="8"/>
  <c r="I290" i="8" s="1"/>
  <c r="Q289" i="8"/>
  <c r="R289" i="8" s="1"/>
  <c r="P289" i="8"/>
  <c r="Y289" i="8" s="1"/>
  <c r="X49" i="5"/>
  <c r="M50" i="5" s="1"/>
  <c r="W49" i="5"/>
  <c r="L50" i="5" s="1"/>
  <c r="V49" i="5"/>
  <c r="K50" i="5" s="1"/>
  <c r="U49" i="5"/>
  <c r="J50" i="5" s="1"/>
  <c r="T49" i="5"/>
  <c r="I50" i="5" s="1"/>
  <c r="P49" i="5"/>
  <c r="Y49" i="5" s="1"/>
  <c r="Q49" i="5"/>
  <c r="R49" i="5" s="1"/>
  <c r="N50" i="5" l="1"/>
  <c r="O50" i="5" s="1"/>
  <c r="N290" i="8"/>
  <c r="O290" i="8" s="1"/>
  <c r="W290" i="8" l="1"/>
  <c r="L291" i="8" s="1"/>
  <c r="V290" i="8"/>
  <c r="K291" i="8" s="1"/>
  <c r="U290" i="8"/>
  <c r="J291" i="8" s="1"/>
  <c r="P290" i="8"/>
  <c r="Y290" i="8" s="1"/>
  <c r="Q290" i="8"/>
  <c r="R290" i="8" s="1"/>
  <c r="X290" i="8"/>
  <c r="M291" i="8" s="1"/>
  <c r="T290" i="8"/>
  <c r="I291" i="8" s="1"/>
  <c r="P50" i="5"/>
  <c r="Y50" i="5" s="1"/>
  <c r="X50" i="5"/>
  <c r="M51" i="5" s="1"/>
  <c r="W50" i="5"/>
  <c r="L51" i="5" s="1"/>
  <c r="V50" i="5"/>
  <c r="K51" i="5" s="1"/>
  <c r="T50" i="5"/>
  <c r="I51" i="5" s="1"/>
  <c r="U50" i="5"/>
  <c r="J51" i="5" s="1"/>
  <c r="Q50" i="5"/>
  <c r="R50" i="5" s="1"/>
  <c r="N291" i="8" l="1"/>
  <c r="O291" i="8" s="1"/>
  <c r="N51" i="5"/>
  <c r="O51" i="5" s="1"/>
  <c r="T51" i="5" l="1"/>
  <c r="I52" i="5" s="1"/>
  <c r="Q51" i="5"/>
  <c r="R51" i="5" s="1"/>
  <c r="P51" i="5"/>
  <c r="Y51" i="5" s="1"/>
  <c r="W51" i="5"/>
  <c r="L52" i="5" s="1"/>
  <c r="U51" i="5"/>
  <c r="J52" i="5" s="1"/>
  <c r="X51" i="5"/>
  <c r="M52" i="5" s="1"/>
  <c r="V51" i="5"/>
  <c r="K52" i="5" s="1"/>
  <c r="W291" i="8"/>
  <c r="L292" i="8" s="1"/>
  <c r="V291" i="8"/>
  <c r="K292" i="8" s="1"/>
  <c r="U291" i="8"/>
  <c r="J292" i="8" s="1"/>
  <c r="T291" i="8"/>
  <c r="I292" i="8" s="1"/>
  <c r="Q291" i="8"/>
  <c r="R291" i="8" s="1"/>
  <c r="P291" i="8"/>
  <c r="Y291" i="8" s="1"/>
  <c r="X291" i="8"/>
  <c r="M292" i="8" s="1"/>
  <c r="N292" i="8" l="1"/>
  <c r="O292" i="8" s="1"/>
  <c r="N52" i="5"/>
  <c r="O52" i="5" s="1"/>
  <c r="W52" i="5" l="1"/>
  <c r="L53" i="5" s="1"/>
  <c r="V52" i="5"/>
  <c r="K53" i="5" s="1"/>
  <c r="U52" i="5"/>
  <c r="J53" i="5" s="1"/>
  <c r="T52" i="5"/>
  <c r="I53" i="5" s="1"/>
  <c r="Q52" i="5"/>
  <c r="R52" i="5" s="1"/>
  <c r="P52" i="5"/>
  <c r="Y52" i="5" s="1"/>
  <c r="X52" i="5"/>
  <c r="M53" i="5" s="1"/>
  <c r="W292" i="8"/>
  <c r="L293" i="8" s="1"/>
  <c r="V292" i="8"/>
  <c r="K293" i="8" s="1"/>
  <c r="U292" i="8"/>
  <c r="J293" i="8" s="1"/>
  <c r="X292" i="8"/>
  <c r="M293" i="8" s="1"/>
  <c r="T292" i="8"/>
  <c r="I293" i="8" s="1"/>
  <c r="Q292" i="8"/>
  <c r="R292" i="8" s="1"/>
  <c r="P292" i="8"/>
  <c r="Y292" i="8" s="1"/>
  <c r="N293" i="8" l="1"/>
  <c r="O293" i="8" s="1"/>
  <c r="N53" i="5"/>
  <c r="O53" i="5" s="1"/>
  <c r="X53" i="5" l="1"/>
  <c r="M54" i="5" s="1"/>
  <c r="W53" i="5"/>
  <c r="L54" i="5" s="1"/>
  <c r="V53" i="5"/>
  <c r="K54" i="5" s="1"/>
  <c r="U53" i="5"/>
  <c r="J54" i="5" s="1"/>
  <c r="T53" i="5"/>
  <c r="I54" i="5" s="1"/>
  <c r="Q53" i="5"/>
  <c r="R53" i="5" s="1"/>
  <c r="P53" i="5"/>
  <c r="Y53" i="5" s="1"/>
  <c r="W293" i="8"/>
  <c r="L294" i="8" s="1"/>
  <c r="V293" i="8"/>
  <c r="K294" i="8" s="1"/>
  <c r="U293" i="8"/>
  <c r="J294" i="8" s="1"/>
  <c r="Q293" i="8"/>
  <c r="R293" i="8" s="1"/>
  <c r="T293" i="8"/>
  <c r="I294" i="8" s="1"/>
  <c r="P293" i="8"/>
  <c r="Y293" i="8" s="1"/>
  <c r="X293" i="8"/>
  <c r="M294" i="8" s="1"/>
  <c r="N294" i="8" l="1"/>
  <c r="O294" i="8" s="1"/>
  <c r="N54" i="5"/>
  <c r="O54" i="5" s="1"/>
  <c r="X54" i="5" l="1"/>
  <c r="M55" i="5" s="1"/>
  <c r="W54" i="5"/>
  <c r="L55" i="5" s="1"/>
  <c r="V54" i="5"/>
  <c r="K55" i="5" s="1"/>
  <c r="U54" i="5"/>
  <c r="J55" i="5" s="1"/>
  <c r="T54" i="5"/>
  <c r="I55" i="5" s="1"/>
  <c r="Q54" i="5"/>
  <c r="R54" i="5" s="1"/>
  <c r="P54" i="5"/>
  <c r="Y54" i="5" s="1"/>
  <c r="W294" i="8"/>
  <c r="L295" i="8" s="1"/>
  <c r="V294" i="8"/>
  <c r="K295" i="8" s="1"/>
  <c r="U294" i="8"/>
  <c r="J295" i="8" s="1"/>
  <c r="X294" i="8"/>
  <c r="M295" i="8" s="1"/>
  <c r="Q294" i="8"/>
  <c r="R294" i="8" s="1"/>
  <c r="T294" i="8"/>
  <c r="I295" i="8" s="1"/>
  <c r="P294" i="8"/>
  <c r="Y294" i="8" s="1"/>
  <c r="N55" i="5" l="1"/>
  <c r="O55" i="5" s="1"/>
  <c r="N295" i="8"/>
  <c r="O295" i="8" s="1"/>
  <c r="W295" i="8" l="1"/>
  <c r="L296" i="8" s="1"/>
  <c r="V295" i="8"/>
  <c r="K296" i="8" s="1"/>
  <c r="U295" i="8"/>
  <c r="J296" i="8" s="1"/>
  <c r="Q295" i="8"/>
  <c r="R295" i="8" s="1"/>
  <c r="P295" i="8"/>
  <c r="Y295" i="8" s="1"/>
  <c r="X295" i="8"/>
  <c r="M296" i="8" s="1"/>
  <c r="T295" i="8"/>
  <c r="I296" i="8" s="1"/>
  <c r="X55" i="5"/>
  <c r="M56" i="5" s="1"/>
  <c r="W55" i="5"/>
  <c r="L56" i="5" s="1"/>
  <c r="V55" i="5"/>
  <c r="K56" i="5" s="1"/>
  <c r="U55" i="5"/>
  <c r="J56" i="5" s="1"/>
  <c r="T55" i="5"/>
  <c r="I56" i="5" s="1"/>
  <c r="Q55" i="5"/>
  <c r="R55" i="5" s="1"/>
  <c r="P55" i="5"/>
  <c r="Y55" i="5" s="1"/>
  <c r="N56" i="5" l="1"/>
  <c r="O56" i="5" s="1"/>
  <c r="N296" i="8"/>
  <c r="O296" i="8" s="1"/>
  <c r="W296" i="8" l="1"/>
  <c r="L297" i="8" s="1"/>
  <c r="V296" i="8"/>
  <c r="K297" i="8" s="1"/>
  <c r="U296" i="8"/>
  <c r="J297" i="8" s="1"/>
  <c r="P296" i="8"/>
  <c r="Y296" i="8" s="1"/>
  <c r="T296" i="8"/>
  <c r="I297" i="8" s="1"/>
  <c r="X296" i="8"/>
  <c r="M297" i="8" s="1"/>
  <c r="Q296" i="8"/>
  <c r="R296" i="8" s="1"/>
  <c r="Q56" i="5"/>
  <c r="R56" i="5" s="1"/>
  <c r="P56" i="5"/>
  <c r="Y56" i="5" s="1"/>
  <c r="X56" i="5"/>
  <c r="M57" i="5" s="1"/>
  <c r="V56" i="5"/>
  <c r="K57" i="5" s="1"/>
  <c r="W56" i="5"/>
  <c r="L57" i="5" s="1"/>
  <c r="U56" i="5"/>
  <c r="J57" i="5" s="1"/>
  <c r="T56" i="5"/>
  <c r="I57" i="5" s="1"/>
  <c r="N57" i="5" l="1"/>
  <c r="O57" i="5" s="1"/>
  <c r="N297" i="8"/>
  <c r="O297" i="8" s="1"/>
  <c r="W297" i="8" l="1"/>
  <c r="L298" i="8" s="1"/>
  <c r="V297" i="8"/>
  <c r="K298" i="8" s="1"/>
  <c r="U297" i="8"/>
  <c r="J298" i="8" s="1"/>
  <c r="T297" i="8"/>
  <c r="I298" i="8" s="1"/>
  <c r="Q297" i="8"/>
  <c r="R297" i="8" s="1"/>
  <c r="P297" i="8"/>
  <c r="Y297" i="8" s="1"/>
  <c r="X297" i="8"/>
  <c r="M298" i="8" s="1"/>
  <c r="V57" i="5"/>
  <c r="K58" i="5" s="1"/>
  <c r="U57" i="5"/>
  <c r="J58" i="5" s="1"/>
  <c r="T57" i="5"/>
  <c r="I58" i="5" s="1"/>
  <c r="Q57" i="5"/>
  <c r="R57" i="5" s="1"/>
  <c r="P57" i="5"/>
  <c r="Y57" i="5" s="1"/>
  <c r="W57" i="5"/>
  <c r="L58" i="5" s="1"/>
  <c r="X57" i="5"/>
  <c r="M58" i="5" s="1"/>
  <c r="N58" i="5" l="1"/>
  <c r="O58" i="5" s="1"/>
  <c r="N298" i="8"/>
  <c r="O298" i="8" s="1"/>
  <c r="W298" i="8" l="1"/>
  <c r="L299" i="8" s="1"/>
  <c r="V298" i="8"/>
  <c r="K299" i="8" s="1"/>
  <c r="U298" i="8"/>
  <c r="J299" i="8" s="1"/>
  <c r="X298" i="8"/>
  <c r="M299" i="8" s="1"/>
  <c r="Q298" i="8"/>
  <c r="R298" i="8" s="1"/>
  <c r="T298" i="8"/>
  <c r="I299" i="8" s="1"/>
  <c r="P298" i="8"/>
  <c r="Y298" i="8" s="1"/>
  <c r="X58" i="5"/>
  <c r="M59" i="5" s="1"/>
  <c r="W58" i="5"/>
  <c r="L59" i="5" s="1"/>
  <c r="V58" i="5"/>
  <c r="K59" i="5" s="1"/>
  <c r="U58" i="5"/>
  <c r="J59" i="5" s="1"/>
  <c r="T58" i="5"/>
  <c r="I59" i="5" s="1"/>
  <c r="Q58" i="5"/>
  <c r="R58" i="5" s="1"/>
  <c r="P58" i="5"/>
  <c r="Y58" i="5" s="1"/>
  <c r="N59" i="5" l="1"/>
  <c r="O59" i="5" s="1"/>
  <c r="N299" i="8"/>
  <c r="O299" i="8" s="1"/>
  <c r="W299" i="8" l="1"/>
  <c r="L300" i="8" s="1"/>
  <c r="V299" i="8"/>
  <c r="K300" i="8" s="1"/>
  <c r="U299" i="8"/>
  <c r="J300" i="8" s="1"/>
  <c r="Q299" i="8"/>
  <c r="R299" i="8" s="1"/>
  <c r="P299" i="8"/>
  <c r="Y299" i="8" s="1"/>
  <c r="X299" i="8"/>
  <c r="M300" i="8" s="1"/>
  <c r="T299" i="8"/>
  <c r="I300" i="8" s="1"/>
  <c r="X59" i="5"/>
  <c r="M60" i="5" s="1"/>
  <c r="W59" i="5"/>
  <c r="L60" i="5" s="1"/>
  <c r="V59" i="5"/>
  <c r="K60" i="5" s="1"/>
  <c r="U59" i="5"/>
  <c r="J60" i="5" s="1"/>
  <c r="T59" i="5"/>
  <c r="I60" i="5" s="1"/>
  <c r="Q59" i="5"/>
  <c r="R59" i="5" s="1"/>
  <c r="P59" i="5"/>
  <c r="Y59" i="5" s="1"/>
  <c r="N60" i="5" l="1"/>
  <c r="O60" i="5" s="1"/>
  <c r="N300" i="8"/>
  <c r="O300" i="8" s="1"/>
  <c r="W300" i="8" l="1"/>
  <c r="L301" i="8" s="1"/>
  <c r="V300" i="8"/>
  <c r="K301" i="8" s="1"/>
  <c r="U300" i="8"/>
  <c r="J301" i="8" s="1"/>
  <c r="X300" i="8"/>
  <c r="M301" i="8" s="1"/>
  <c r="P300" i="8"/>
  <c r="Y300" i="8" s="1"/>
  <c r="Q300" i="8"/>
  <c r="R300" i="8" s="1"/>
  <c r="T300" i="8"/>
  <c r="I301" i="8" s="1"/>
  <c r="X60" i="5"/>
  <c r="M61" i="5" s="1"/>
  <c r="W60" i="5"/>
  <c r="L61" i="5" s="1"/>
  <c r="V60" i="5"/>
  <c r="K61" i="5" s="1"/>
  <c r="U60" i="5"/>
  <c r="J61" i="5" s="1"/>
  <c r="T60" i="5"/>
  <c r="I61" i="5" s="1"/>
  <c r="Q60" i="5"/>
  <c r="R60" i="5" s="1"/>
  <c r="P60" i="5"/>
  <c r="Y60" i="5" s="1"/>
  <c r="N61" i="5" l="1"/>
  <c r="O61" i="5" s="1"/>
  <c r="N301" i="8"/>
  <c r="O301" i="8" s="1"/>
  <c r="X301" i="8" l="1"/>
  <c r="M302" i="8" s="1"/>
  <c r="W301" i="8"/>
  <c r="L302" i="8" s="1"/>
  <c r="V301" i="8"/>
  <c r="K302" i="8" s="1"/>
  <c r="U301" i="8"/>
  <c r="J302" i="8" s="1"/>
  <c r="T301" i="8"/>
  <c r="I302" i="8" s="1"/>
  <c r="Q301" i="8"/>
  <c r="R301" i="8" s="1"/>
  <c r="P301" i="8"/>
  <c r="Y301" i="8" s="1"/>
  <c r="Q61" i="5"/>
  <c r="R61" i="5" s="1"/>
  <c r="P61" i="5"/>
  <c r="Y61" i="5" s="1"/>
  <c r="X61" i="5"/>
  <c r="M62" i="5" s="1"/>
  <c r="W61" i="5"/>
  <c r="L62" i="5" s="1"/>
  <c r="U61" i="5"/>
  <c r="J62" i="5" s="1"/>
  <c r="V61" i="5"/>
  <c r="K62" i="5" s="1"/>
  <c r="T61" i="5"/>
  <c r="I62" i="5" s="1"/>
  <c r="N62" i="5" l="1"/>
  <c r="O62" i="5" s="1"/>
  <c r="N302" i="8"/>
  <c r="O302" i="8" s="1"/>
  <c r="X302" i="8" l="1"/>
  <c r="M303" i="8" s="1"/>
  <c r="W302" i="8"/>
  <c r="L303" i="8" s="1"/>
  <c r="V302" i="8"/>
  <c r="K303" i="8" s="1"/>
  <c r="U302" i="8"/>
  <c r="J303" i="8" s="1"/>
  <c r="Q302" i="8"/>
  <c r="R302" i="8" s="1"/>
  <c r="P302" i="8"/>
  <c r="Y302" i="8" s="1"/>
  <c r="T302" i="8"/>
  <c r="I303" i="8" s="1"/>
  <c r="U62" i="5"/>
  <c r="J63" i="5" s="1"/>
  <c r="T62" i="5"/>
  <c r="I63" i="5" s="1"/>
  <c r="Q62" i="5"/>
  <c r="R62" i="5" s="1"/>
  <c r="P62" i="5"/>
  <c r="Y62" i="5" s="1"/>
  <c r="X62" i="5"/>
  <c r="M63" i="5" s="1"/>
  <c r="W62" i="5"/>
  <c r="L63" i="5" s="1"/>
  <c r="V62" i="5"/>
  <c r="K63" i="5" s="1"/>
  <c r="N303" i="8" l="1"/>
  <c r="O303" i="8" s="1"/>
  <c r="N63" i="5"/>
  <c r="O63" i="5" s="1"/>
  <c r="X63" i="5" l="1"/>
  <c r="M64" i="5" s="1"/>
  <c r="W63" i="5"/>
  <c r="L64" i="5" s="1"/>
  <c r="V63" i="5"/>
  <c r="K64" i="5" s="1"/>
  <c r="U63" i="5"/>
  <c r="J64" i="5" s="1"/>
  <c r="T63" i="5"/>
  <c r="I64" i="5" s="1"/>
  <c r="Q63" i="5"/>
  <c r="R63" i="5" s="1"/>
  <c r="P63" i="5"/>
  <c r="Y63" i="5" s="1"/>
  <c r="X303" i="8"/>
  <c r="M304" i="8" s="1"/>
  <c r="W303" i="8"/>
  <c r="L304" i="8" s="1"/>
  <c r="V303" i="8"/>
  <c r="K304" i="8" s="1"/>
  <c r="U303" i="8"/>
  <c r="J304" i="8" s="1"/>
  <c r="T303" i="8"/>
  <c r="I304" i="8" s="1"/>
  <c r="Q303" i="8"/>
  <c r="R303" i="8" s="1"/>
  <c r="P303" i="8"/>
  <c r="Y303" i="8" s="1"/>
  <c r="N304" i="8" l="1"/>
  <c r="O304" i="8" s="1"/>
  <c r="N64" i="5"/>
  <c r="O64" i="5" s="1"/>
  <c r="X64" i="5" l="1"/>
  <c r="M65" i="5" s="1"/>
  <c r="W64" i="5"/>
  <c r="L65" i="5" s="1"/>
  <c r="V64" i="5"/>
  <c r="K65" i="5" s="1"/>
  <c r="U64" i="5"/>
  <c r="J65" i="5" s="1"/>
  <c r="T64" i="5"/>
  <c r="I65" i="5" s="1"/>
  <c r="Q64" i="5"/>
  <c r="R64" i="5" s="1"/>
  <c r="P64" i="5"/>
  <c r="Y64" i="5" s="1"/>
  <c r="X304" i="8"/>
  <c r="M305" i="8" s="1"/>
  <c r="W304" i="8"/>
  <c r="L305" i="8" s="1"/>
  <c r="V304" i="8"/>
  <c r="K305" i="8" s="1"/>
  <c r="U304" i="8"/>
  <c r="J305" i="8" s="1"/>
  <c r="Q304" i="8"/>
  <c r="R304" i="8" s="1"/>
  <c r="T304" i="8"/>
  <c r="I305" i="8" s="1"/>
  <c r="P304" i="8"/>
  <c r="Y304" i="8" s="1"/>
  <c r="N65" i="5" l="1"/>
  <c r="O65" i="5" s="1"/>
  <c r="N305" i="8"/>
  <c r="O305" i="8" s="1"/>
  <c r="X305" i="8" l="1"/>
  <c r="M306" i="8" s="1"/>
  <c r="W305" i="8"/>
  <c r="L306" i="8" s="1"/>
  <c r="V305" i="8"/>
  <c r="K306" i="8" s="1"/>
  <c r="U305" i="8"/>
  <c r="J306" i="8" s="1"/>
  <c r="Q305" i="8"/>
  <c r="R305" i="8" s="1"/>
  <c r="T305" i="8"/>
  <c r="I306" i="8" s="1"/>
  <c r="P305" i="8"/>
  <c r="Y305" i="8" s="1"/>
  <c r="X65" i="5"/>
  <c r="M66" i="5" s="1"/>
  <c r="W65" i="5"/>
  <c r="L66" i="5" s="1"/>
  <c r="V65" i="5"/>
  <c r="K66" i="5" s="1"/>
  <c r="U65" i="5"/>
  <c r="J66" i="5" s="1"/>
  <c r="T65" i="5"/>
  <c r="I66" i="5" s="1"/>
  <c r="P65" i="5"/>
  <c r="Y65" i="5" s="1"/>
  <c r="Q65" i="5"/>
  <c r="R65" i="5" s="1"/>
  <c r="N66" i="5" l="1"/>
  <c r="O66" i="5" s="1"/>
  <c r="N306" i="8"/>
  <c r="O306" i="8" s="1"/>
  <c r="X306" i="8" l="1"/>
  <c r="M307" i="8" s="1"/>
  <c r="W306" i="8"/>
  <c r="L307" i="8" s="1"/>
  <c r="V306" i="8"/>
  <c r="K307" i="8" s="1"/>
  <c r="U306" i="8"/>
  <c r="J307" i="8" s="1"/>
  <c r="T306" i="8"/>
  <c r="I307" i="8" s="1"/>
  <c r="Q306" i="8"/>
  <c r="R306" i="8" s="1"/>
  <c r="P306" i="8"/>
  <c r="Y306" i="8" s="1"/>
  <c r="P66" i="5"/>
  <c r="Y66" i="5" s="1"/>
  <c r="X66" i="5"/>
  <c r="M67" i="5" s="1"/>
  <c r="W66" i="5"/>
  <c r="L67" i="5" s="1"/>
  <c r="V66" i="5"/>
  <c r="K67" i="5" s="1"/>
  <c r="T66" i="5"/>
  <c r="I67" i="5" s="1"/>
  <c r="U66" i="5"/>
  <c r="J67" i="5" s="1"/>
  <c r="Q66" i="5"/>
  <c r="R66" i="5" s="1"/>
  <c r="N67" i="5" l="1"/>
  <c r="O67" i="5" s="1"/>
  <c r="N307" i="8"/>
  <c r="O307" i="8" s="1"/>
  <c r="X307" i="8" l="1"/>
  <c r="M308" i="8" s="1"/>
  <c r="W307" i="8"/>
  <c r="L308" i="8" s="1"/>
  <c r="V307" i="8"/>
  <c r="K308" i="8" s="1"/>
  <c r="U307" i="8"/>
  <c r="J308" i="8" s="1"/>
  <c r="T307" i="8"/>
  <c r="I308" i="8" s="1"/>
  <c r="Q307" i="8"/>
  <c r="R307" i="8" s="1"/>
  <c r="P307" i="8"/>
  <c r="Y307" i="8" s="1"/>
  <c r="T67" i="5"/>
  <c r="I68" i="5" s="1"/>
  <c r="Q67" i="5"/>
  <c r="R67" i="5" s="1"/>
  <c r="P67" i="5"/>
  <c r="Y67" i="5" s="1"/>
  <c r="W67" i="5"/>
  <c r="L68" i="5" s="1"/>
  <c r="X67" i="5"/>
  <c r="M68" i="5" s="1"/>
  <c r="V67" i="5"/>
  <c r="K68" i="5" s="1"/>
  <c r="U67" i="5"/>
  <c r="J68" i="5" s="1"/>
  <c r="N308" i="8" l="1"/>
  <c r="O308" i="8" s="1"/>
  <c r="N68" i="5"/>
  <c r="O68" i="5" s="1"/>
  <c r="W68" i="5" l="1"/>
  <c r="L69" i="5" s="1"/>
  <c r="V68" i="5"/>
  <c r="K69" i="5" s="1"/>
  <c r="U68" i="5"/>
  <c r="J69" i="5" s="1"/>
  <c r="T68" i="5"/>
  <c r="I69" i="5" s="1"/>
  <c r="Q68" i="5"/>
  <c r="R68" i="5" s="1"/>
  <c r="P68" i="5"/>
  <c r="Y68" i="5" s="1"/>
  <c r="X68" i="5"/>
  <c r="M69" i="5" s="1"/>
  <c r="X308" i="8"/>
  <c r="M309" i="8" s="1"/>
  <c r="W308" i="8"/>
  <c r="L309" i="8" s="1"/>
  <c r="V308" i="8"/>
  <c r="K309" i="8" s="1"/>
  <c r="U308" i="8"/>
  <c r="J309" i="8" s="1"/>
  <c r="T308" i="8"/>
  <c r="I309" i="8" s="1"/>
  <c r="Q308" i="8"/>
  <c r="R308" i="8" s="1"/>
  <c r="P308" i="8"/>
  <c r="Y308" i="8" s="1"/>
  <c r="N69" i="5" l="1"/>
  <c r="O69" i="5" s="1"/>
  <c r="N309" i="8"/>
  <c r="O309" i="8" s="1"/>
  <c r="X309" i="8" l="1"/>
  <c r="M310" i="8" s="1"/>
  <c r="W309" i="8"/>
  <c r="L310" i="8" s="1"/>
  <c r="V309" i="8"/>
  <c r="K310" i="8" s="1"/>
  <c r="U309" i="8"/>
  <c r="J310" i="8" s="1"/>
  <c r="T309" i="8"/>
  <c r="I310" i="8" s="1"/>
  <c r="Q309" i="8"/>
  <c r="R309" i="8" s="1"/>
  <c r="P309" i="8"/>
  <c r="Y309" i="8" s="1"/>
  <c r="X69" i="5"/>
  <c r="M70" i="5" s="1"/>
  <c r="W69" i="5"/>
  <c r="L70" i="5" s="1"/>
  <c r="V69" i="5"/>
  <c r="K70" i="5" s="1"/>
  <c r="U69" i="5"/>
  <c r="J70" i="5" s="1"/>
  <c r="T69" i="5"/>
  <c r="I70" i="5" s="1"/>
  <c r="Q69" i="5"/>
  <c r="R69" i="5" s="1"/>
  <c r="P69" i="5"/>
  <c r="Y69" i="5" s="1"/>
  <c r="N70" i="5" l="1"/>
  <c r="O70" i="5" s="1"/>
  <c r="N310" i="8"/>
  <c r="O310" i="8" s="1"/>
  <c r="X310" i="8" l="1"/>
  <c r="M311" i="8" s="1"/>
  <c r="W310" i="8"/>
  <c r="L311" i="8" s="1"/>
  <c r="V310" i="8"/>
  <c r="K311" i="8" s="1"/>
  <c r="U310" i="8"/>
  <c r="J311" i="8" s="1"/>
  <c r="T310" i="8"/>
  <c r="I311" i="8" s="1"/>
  <c r="Q310" i="8"/>
  <c r="R310" i="8" s="1"/>
  <c r="P310" i="8"/>
  <c r="Y310" i="8" s="1"/>
  <c r="X70" i="5"/>
  <c r="M71" i="5" s="1"/>
  <c r="W70" i="5"/>
  <c r="L71" i="5" s="1"/>
  <c r="V70" i="5"/>
  <c r="K71" i="5" s="1"/>
  <c r="U70" i="5"/>
  <c r="J71" i="5" s="1"/>
  <c r="T70" i="5"/>
  <c r="I71" i="5" s="1"/>
  <c r="Q70" i="5"/>
  <c r="R70" i="5" s="1"/>
  <c r="P70" i="5"/>
  <c r="Y70" i="5" s="1"/>
  <c r="N71" i="5" l="1"/>
  <c r="O71" i="5" s="1"/>
  <c r="N311" i="8"/>
  <c r="O311" i="8" s="1"/>
  <c r="X311" i="8" l="1"/>
  <c r="M312" i="8" s="1"/>
  <c r="W311" i="8"/>
  <c r="L312" i="8" s="1"/>
  <c r="V311" i="8"/>
  <c r="K312" i="8" s="1"/>
  <c r="U311" i="8"/>
  <c r="J312" i="8" s="1"/>
  <c r="T311" i="8"/>
  <c r="I312" i="8" s="1"/>
  <c r="Q311" i="8"/>
  <c r="R311" i="8" s="1"/>
  <c r="P311" i="8"/>
  <c r="Y311" i="8" s="1"/>
  <c r="X71" i="5"/>
  <c r="M72" i="5" s="1"/>
  <c r="W71" i="5"/>
  <c r="L72" i="5" s="1"/>
  <c r="V71" i="5"/>
  <c r="K72" i="5" s="1"/>
  <c r="U71" i="5"/>
  <c r="J72" i="5" s="1"/>
  <c r="P71" i="5"/>
  <c r="Y71" i="5" s="1"/>
  <c r="T71" i="5"/>
  <c r="I72" i="5" s="1"/>
  <c r="Q71" i="5"/>
  <c r="R71" i="5" s="1"/>
  <c r="N72" i="5" l="1"/>
  <c r="O72" i="5" s="1"/>
  <c r="N312" i="8"/>
  <c r="O312" i="8" s="1"/>
  <c r="X312" i="8" l="1"/>
  <c r="M313" i="8" s="1"/>
  <c r="W312" i="8"/>
  <c r="L313" i="8" s="1"/>
  <c r="V312" i="8"/>
  <c r="K313" i="8" s="1"/>
  <c r="U312" i="8"/>
  <c r="J313" i="8" s="1"/>
  <c r="P312" i="8"/>
  <c r="Y312" i="8" s="1"/>
  <c r="Q312" i="8"/>
  <c r="R312" i="8" s="1"/>
  <c r="T312" i="8"/>
  <c r="I313" i="8" s="1"/>
  <c r="Q72" i="5"/>
  <c r="R72" i="5" s="1"/>
  <c r="P72" i="5"/>
  <c r="Y72" i="5" s="1"/>
  <c r="X72" i="5"/>
  <c r="M73" i="5" s="1"/>
  <c r="V72" i="5"/>
  <c r="K73" i="5" s="1"/>
  <c r="W72" i="5"/>
  <c r="L73" i="5" s="1"/>
  <c r="U72" i="5"/>
  <c r="J73" i="5" s="1"/>
  <c r="T72" i="5"/>
  <c r="I73" i="5" s="1"/>
  <c r="N73" i="5" l="1"/>
  <c r="O73" i="5" s="1"/>
  <c r="N313" i="8"/>
  <c r="O313" i="8" s="1"/>
  <c r="X313" i="8" l="1"/>
  <c r="M314" i="8" s="1"/>
  <c r="W313" i="8"/>
  <c r="L314" i="8" s="1"/>
  <c r="V313" i="8"/>
  <c r="K314" i="8" s="1"/>
  <c r="U313" i="8"/>
  <c r="J314" i="8" s="1"/>
  <c r="Q313" i="8"/>
  <c r="R313" i="8" s="1"/>
  <c r="T313" i="8"/>
  <c r="I314" i="8" s="1"/>
  <c r="P313" i="8"/>
  <c r="Y313" i="8" s="1"/>
  <c r="V73" i="5"/>
  <c r="K74" i="5" s="1"/>
  <c r="U73" i="5"/>
  <c r="J74" i="5" s="1"/>
  <c r="T73" i="5"/>
  <c r="I74" i="5" s="1"/>
  <c r="Q73" i="5"/>
  <c r="R73" i="5" s="1"/>
  <c r="P73" i="5"/>
  <c r="Y73" i="5" s="1"/>
  <c r="X73" i="5"/>
  <c r="M74" i="5" s="1"/>
  <c r="W73" i="5"/>
  <c r="L74" i="5" s="1"/>
  <c r="N314" i="8" l="1"/>
  <c r="O314" i="8" s="1"/>
  <c r="N74" i="5"/>
  <c r="O74" i="5" s="1"/>
  <c r="X74" i="5" l="1"/>
  <c r="M75" i="5" s="1"/>
  <c r="W74" i="5"/>
  <c r="L75" i="5" s="1"/>
  <c r="V74" i="5"/>
  <c r="K75" i="5" s="1"/>
  <c r="U74" i="5"/>
  <c r="J75" i="5" s="1"/>
  <c r="T74" i="5"/>
  <c r="I75" i="5" s="1"/>
  <c r="Q74" i="5"/>
  <c r="R74" i="5" s="1"/>
  <c r="P74" i="5"/>
  <c r="Y74" i="5" s="1"/>
  <c r="X314" i="8"/>
  <c r="M315" i="8" s="1"/>
  <c r="W314" i="8"/>
  <c r="L315" i="8" s="1"/>
  <c r="V314" i="8"/>
  <c r="K315" i="8" s="1"/>
  <c r="U314" i="8"/>
  <c r="J315" i="8" s="1"/>
  <c r="T314" i="8"/>
  <c r="I315" i="8" s="1"/>
  <c r="Q314" i="8"/>
  <c r="R314" i="8" s="1"/>
  <c r="P314" i="8"/>
  <c r="Y314" i="8" s="1"/>
  <c r="N75" i="5" l="1"/>
  <c r="O75" i="5" s="1"/>
  <c r="N315" i="8"/>
  <c r="O315" i="8" s="1"/>
  <c r="X315" i="8" l="1"/>
  <c r="M316" i="8" s="1"/>
  <c r="W315" i="8"/>
  <c r="L316" i="8" s="1"/>
  <c r="V315" i="8"/>
  <c r="K316" i="8" s="1"/>
  <c r="U315" i="8"/>
  <c r="J316" i="8" s="1"/>
  <c r="T315" i="8"/>
  <c r="I316" i="8" s="1"/>
  <c r="Q315" i="8"/>
  <c r="R315" i="8" s="1"/>
  <c r="P315" i="8"/>
  <c r="Y315" i="8" s="1"/>
  <c r="X75" i="5"/>
  <c r="M76" i="5" s="1"/>
  <c r="W75" i="5"/>
  <c r="L76" i="5" s="1"/>
  <c r="V75" i="5"/>
  <c r="K76" i="5" s="1"/>
  <c r="U75" i="5"/>
  <c r="J76" i="5" s="1"/>
  <c r="T75" i="5"/>
  <c r="I76" i="5" s="1"/>
  <c r="Q75" i="5"/>
  <c r="R75" i="5" s="1"/>
  <c r="P75" i="5"/>
  <c r="Y75" i="5" s="1"/>
  <c r="N316" i="8" l="1"/>
  <c r="O316" i="8" s="1"/>
  <c r="N76" i="5"/>
  <c r="O76" i="5" s="1"/>
  <c r="X76" i="5" l="1"/>
  <c r="M77" i="5" s="1"/>
  <c r="W76" i="5"/>
  <c r="L77" i="5" s="1"/>
  <c r="V76" i="5"/>
  <c r="K77" i="5" s="1"/>
  <c r="U76" i="5"/>
  <c r="J77" i="5" s="1"/>
  <c r="T76" i="5"/>
  <c r="I77" i="5" s="1"/>
  <c r="Q76" i="5"/>
  <c r="R76" i="5" s="1"/>
  <c r="P76" i="5"/>
  <c r="Y76" i="5" s="1"/>
  <c r="X316" i="8"/>
  <c r="M317" i="8" s="1"/>
  <c r="W316" i="8"/>
  <c r="L317" i="8" s="1"/>
  <c r="V316" i="8"/>
  <c r="K317" i="8" s="1"/>
  <c r="T316" i="8"/>
  <c r="I317" i="8" s="1"/>
  <c r="Q316" i="8"/>
  <c r="R316" i="8" s="1"/>
  <c r="P316" i="8"/>
  <c r="Y316" i="8" s="1"/>
  <c r="U316" i="8"/>
  <c r="J317" i="8" s="1"/>
  <c r="N77" i="5" l="1"/>
  <c r="O77" i="5" s="1"/>
  <c r="N317" i="8"/>
  <c r="O317" i="8" s="1"/>
  <c r="X317" i="8" l="1"/>
  <c r="M318" i="8" s="1"/>
  <c r="T317" i="8"/>
  <c r="I318" i="8" s="1"/>
  <c r="W317" i="8"/>
  <c r="L318" i="8" s="1"/>
  <c r="V317" i="8"/>
  <c r="K318" i="8" s="1"/>
  <c r="P317" i="8"/>
  <c r="Y317" i="8" s="1"/>
  <c r="U317" i="8"/>
  <c r="J318" i="8" s="1"/>
  <c r="Q317" i="8"/>
  <c r="R317" i="8" s="1"/>
  <c r="Q77" i="5"/>
  <c r="R77" i="5" s="1"/>
  <c r="P77" i="5"/>
  <c r="Y77" i="5" s="1"/>
  <c r="T77" i="5"/>
  <c r="I78" i="5" s="1"/>
  <c r="W77" i="5"/>
  <c r="L78" i="5" s="1"/>
  <c r="U77" i="5"/>
  <c r="J78" i="5" s="1"/>
  <c r="V77" i="5"/>
  <c r="K78" i="5" s="1"/>
  <c r="X77" i="5"/>
  <c r="M78" i="5" s="1"/>
  <c r="N78" i="5" l="1"/>
  <c r="O78" i="5" s="1"/>
  <c r="N318" i="8"/>
  <c r="O318" i="8" s="1"/>
  <c r="Q318" i="8" l="1"/>
  <c r="R318" i="8" s="1"/>
  <c r="P318" i="8"/>
  <c r="Y318" i="8" s="1"/>
  <c r="V318" i="8"/>
  <c r="K319" i="8" s="1"/>
  <c r="T318" i="8"/>
  <c r="I319" i="8" s="1"/>
  <c r="X318" i="8"/>
  <c r="M319" i="8" s="1"/>
  <c r="W318" i="8"/>
  <c r="L319" i="8" s="1"/>
  <c r="U318" i="8"/>
  <c r="J319" i="8" s="1"/>
  <c r="Q78" i="5"/>
  <c r="R78" i="5" s="1"/>
  <c r="P78" i="5"/>
  <c r="Y78" i="5" s="1"/>
  <c r="X78" i="5"/>
  <c r="M79" i="5" s="1"/>
  <c r="W78" i="5"/>
  <c r="L79" i="5" s="1"/>
  <c r="V78" i="5"/>
  <c r="K79" i="5" s="1"/>
  <c r="U78" i="5"/>
  <c r="J79" i="5" s="1"/>
  <c r="T78" i="5"/>
  <c r="I79" i="5" s="1"/>
  <c r="N79" i="5" l="1"/>
  <c r="O79" i="5" s="1"/>
  <c r="N319" i="8"/>
  <c r="O319" i="8" s="1"/>
  <c r="T319" i="8" l="1"/>
  <c r="I320" i="8" s="1"/>
  <c r="X319" i="8"/>
  <c r="M320" i="8" s="1"/>
  <c r="Q319" i="8"/>
  <c r="R319" i="8" s="1"/>
  <c r="U319" i="8"/>
  <c r="J320" i="8" s="1"/>
  <c r="P319" i="8"/>
  <c r="Y319" i="8" s="1"/>
  <c r="W319" i="8"/>
  <c r="L320" i="8" s="1"/>
  <c r="V319" i="8"/>
  <c r="K320" i="8" s="1"/>
  <c r="Q79" i="5"/>
  <c r="R79" i="5" s="1"/>
  <c r="P79" i="5"/>
  <c r="Y79" i="5" s="1"/>
  <c r="X79" i="5"/>
  <c r="M80" i="5" s="1"/>
  <c r="W79" i="5"/>
  <c r="L80" i="5" s="1"/>
  <c r="V79" i="5"/>
  <c r="K80" i="5" s="1"/>
  <c r="U79" i="5"/>
  <c r="J80" i="5" s="1"/>
  <c r="T79" i="5"/>
  <c r="I80" i="5" s="1"/>
  <c r="N80" i="5" l="1"/>
  <c r="O80" i="5" s="1"/>
  <c r="N320" i="8"/>
  <c r="O320" i="8" s="1"/>
  <c r="Q80" i="5" l="1"/>
  <c r="R80" i="5" s="1"/>
  <c r="P80" i="5"/>
  <c r="Y80" i="5" s="1"/>
  <c r="V80" i="5"/>
  <c r="K81" i="5" s="1"/>
  <c r="U80" i="5"/>
  <c r="J81" i="5" s="1"/>
  <c r="T80" i="5"/>
  <c r="I81" i="5" s="1"/>
  <c r="X80" i="5"/>
  <c r="M81" i="5" s="1"/>
  <c r="W80" i="5"/>
  <c r="L81" i="5" s="1"/>
  <c r="V320" i="8"/>
  <c r="K321" i="8" s="1"/>
  <c r="U320" i="8"/>
  <c r="J321" i="8" s="1"/>
  <c r="Q320" i="8"/>
  <c r="R320" i="8" s="1"/>
  <c r="P320" i="8"/>
  <c r="Y320" i="8" s="1"/>
  <c r="T320" i="8"/>
  <c r="I321" i="8" s="1"/>
  <c r="X320" i="8"/>
  <c r="M321" i="8" s="1"/>
  <c r="W320" i="8"/>
  <c r="L321" i="8" s="1"/>
  <c r="N81" i="5" l="1"/>
  <c r="O81" i="5" s="1"/>
  <c r="N321" i="8"/>
  <c r="O321" i="8" s="1"/>
  <c r="X321" i="8" l="1"/>
  <c r="M322" i="8" s="1"/>
  <c r="W321" i="8"/>
  <c r="L322" i="8" s="1"/>
  <c r="U321" i="8"/>
  <c r="J322" i="8" s="1"/>
  <c r="T321" i="8"/>
  <c r="I322" i="8" s="1"/>
  <c r="Q321" i="8"/>
  <c r="R321" i="8" s="1"/>
  <c r="P321" i="8"/>
  <c r="Y321" i="8" s="1"/>
  <c r="V321" i="8"/>
  <c r="K322" i="8" s="1"/>
  <c r="Q81" i="5"/>
  <c r="R81" i="5" s="1"/>
  <c r="P81" i="5"/>
  <c r="Y81" i="5" s="1"/>
  <c r="X81" i="5"/>
  <c r="M82" i="5" s="1"/>
  <c r="W81" i="5"/>
  <c r="L82" i="5" s="1"/>
  <c r="V81" i="5"/>
  <c r="K82" i="5" s="1"/>
  <c r="U81" i="5"/>
  <c r="J82" i="5" s="1"/>
  <c r="T81" i="5"/>
  <c r="I82" i="5" s="1"/>
  <c r="N322" i="8" l="1"/>
  <c r="O322" i="8" s="1"/>
  <c r="N82" i="5"/>
  <c r="O82" i="5" s="1"/>
  <c r="Q82" i="5" l="1"/>
  <c r="R82" i="5" s="1"/>
  <c r="P82" i="5"/>
  <c r="Y82" i="5" s="1"/>
  <c r="V82" i="5"/>
  <c r="K83" i="5" s="1"/>
  <c r="U82" i="5"/>
  <c r="J83" i="5" s="1"/>
  <c r="T82" i="5"/>
  <c r="I83" i="5" s="1"/>
  <c r="X82" i="5"/>
  <c r="M83" i="5" s="1"/>
  <c r="W82" i="5"/>
  <c r="L83" i="5" s="1"/>
  <c r="W322" i="8"/>
  <c r="L323" i="8" s="1"/>
  <c r="V322" i="8"/>
  <c r="K323" i="8" s="1"/>
  <c r="U322" i="8"/>
  <c r="J323" i="8" s="1"/>
  <c r="T322" i="8"/>
  <c r="I323" i="8" s="1"/>
  <c r="P322" i="8"/>
  <c r="Y322" i="8" s="1"/>
  <c r="Q322" i="8"/>
  <c r="R322" i="8" s="1"/>
  <c r="X322" i="8"/>
  <c r="M323" i="8" s="1"/>
  <c r="N323" i="8" l="1"/>
  <c r="O323" i="8" s="1"/>
  <c r="N83" i="5"/>
  <c r="O83" i="5" s="1"/>
  <c r="Q83" i="5" l="1"/>
  <c r="R83" i="5" s="1"/>
  <c r="P83" i="5"/>
  <c r="Y83" i="5" s="1"/>
  <c r="X83" i="5"/>
  <c r="M84" i="5" s="1"/>
  <c r="W83" i="5"/>
  <c r="L84" i="5" s="1"/>
  <c r="V83" i="5"/>
  <c r="K84" i="5" s="1"/>
  <c r="U83" i="5"/>
  <c r="J84" i="5" s="1"/>
  <c r="T83" i="5"/>
  <c r="I84" i="5" s="1"/>
  <c r="X323" i="8"/>
  <c r="M324" i="8" s="1"/>
  <c r="W323" i="8"/>
  <c r="L324" i="8" s="1"/>
  <c r="V323" i="8"/>
  <c r="K324" i="8" s="1"/>
  <c r="U323" i="8"/>
  <c r="J324" i="8" s="1"/>
  <c r="P323" i="8"/>
  <c r="Y323" i="8" s="1"/>
  <c r="T323" i="8"/>
  <c r="I324" i="8" s="1"/>
  <c r="Q323" i="8"/>
  <c r="R323" i="8" s="1"/>
  <c r="J470" i="8" l="1"/>
  <c r="J471" i="8" s="1"/>
  <c r="J472" i="8" s="1"/>
  <c r="J473" i="8" s="1"/>
  <c r="J474" i="8" s="1"/>
  <c r="J475" i="8" s="1"/>
  <c r="J476" i="8" s="1"/>
  <c r="J477" i="8" s="1"/>
  <c r="J478" i="8" s="1"/>
  <c r="J479" i="8" s="1"/>
  <c r="J480" i="8" s="1"/>
  <c r="J481" i="8" s="1"/>
  <c r="J482" i="8" s="1"/>
  <c r="J483" i="8" s="1"/>
  <c r="J484" i="8" s="1"/>
  <c r="J485" i="8" s="1"/>
  <c r="J486" i="8" s="1"/>
  <c r="J487" i="8" s="1"/>
  <c r="J488" i="8" s="1"/>
  <c r="J489" i="8" s="1"/>
  <c r="J325" i="8"/>
  <c r="J91" i="5"/>
  <c r="J92" i="5" s="1"/>
  <c r="J93" i="5" s="1"/>
  <c r="J94" i="5" s="1"/>
  <c r="J95" i="5" s="1"/>
  <c r="J96" i="5" s="1"/>
  <c r="J97" i="5" s="1"/>
  <c r="J98" i="5" s="1"/>
  <c r="J99" i="5" s="1"/>
  <c r="J100" i="5" s="1"/>
  <c r="J101" i="5" s="1"/>
  <c r="J102" i="5" s="1"/>
  <c r="J103" i="5" s="1"/>
  <c r="J104" i="5" s="1"/>
  <c r="J105" i="5" s="1"/>
  <c r="J106" i="5" s="1"/>
  <c r="J107" i="5" s="1"/>
  <c r="J108" i="5" s="1"/>
  <c r="J109" i="5" s="1"/>
  <c r="J110" i="5" s="1"/>
  <c r="J5" i="6"/>
  <c r="I470" i="8"/>
  <c r="N324" i="8"/>
  <c r="O324" i="8" s="1"/>
  <c r="I325" i="8"/>
  <c r="L470" i="8"/>
  <c r="L471" i="8" s="1"/>
  <c r="L472" i="8" s="1"/>
  <c r="L473" i="8" s="1"/>
  <c r="L474" i="8" s="1"/>
  <c r="L475" i="8" s="1"/>
  <c r="L476" i="8" s="1"/>
  <c r="L477" i="8" s="1"/>
  <c r="L478" i="8" s="1"/>
  <c r="L479" i="8" s="1"/>
  <c r="L480" i="8" s="1"/>
  <c r="L481" i="8" s="1"/>
  <c r="L482" i="8" s="1"/>
  <c r="L483" i="8" s="1"/>
  <c r="L484" i="8" s="1"/>
  <c r="L485" i="8" s="1"/>
  <c r="L486" i="8" s="1"/>
  <c r="L487" i="8" s="1"/>
  <c r="L488" i="8" s="1"/>
  <c r="L489" i="8" s="1"/>
  <c r="L325" i="8"/>
  <c r="N84" i="5"/>
  <c r="O84" i="5" s="1"/>
  <c r="I91" i="5"/>
  <c r="I5" i="6"/>
  <c r="M91" i="5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5" i="6"/>
  <c r="K470" i="8"/>
  <c r="K471" i="8" s="1"/>
  <c r="K472" i="8" s="1"/>
  <c r="K473" i="8" s="1"/>
  <c r="K474" i="8" s="1"/>
  <c r="K475" i="8" s="1"/>
  <c r="K476" i="8" s="1"/>
  <c r="K477" i="8" s="1"/>
  <c r="K478" i="8" s="1"/>
  <c r="K479" i="8" s="1"/>
  <c r="K480" i="8" s="1"/>
  <c r="K481" i="8" s="1"/>
  <c r="K482" i="8" s="1"/>
  <c r="K483" i="8" s="1"/>
  <c r="K484" i="8" s="1"/>
  <c r="K485" i="8" s="1"/>
  <c r="K486" i="8" s="1"/>
  <c r="K487" i="8" s="1"/>
  <c r="K488" i="8" s="1"/>
  <c r="K489" i="8" s="1"/>
  <c r="K325" i="8"/>
  <c r="M470" i="8"/>
  <c r="M471" i="8" s="1"/>
  <c r="M472" i="8" s="1"/>
  <c r="M473" i="8" s="1"/>
  <c r="M474" i="8" s="1"/>
  <c r="M475" i="8" s="1"/>
  <c r="M476" i="8" s="1"/>
  <c r="M477" i="8" s="1"/>
  <c r="M478" i="8" s="1"/>
  <c r="M479" i="8" s="1"/>
  <c r="M480" i="8" s="1"/>
  <c r="M481" i="8" s="1"/>
  <c r="M482" i="8" s="1"/>
  <c r="M483" i="8" s="1"/>
  <c r="M484" i="8" s="1"/>
  <c r="M485" i="8" s="1"/>
  <c r="M486" i="8" s="1"/>
  <c r="M487" i="8" s="1"/>
  <c r="M488" i="8" s="1"/>
  <c r="M489" i="8" s="1"/>
  <c r="M325" i="8"/>
  <c r="K91" i="5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5" i="6"/>
  <c r="L91" i="5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5" i="6"/>
  <c r="X324" i="8" l="1"/>
  <c r="W324" i="8"/>
  <c r="U324" i="8"/>
  <c r="V324" i="8"/>
  <c r="P324" i="8"/>
  <c r="Y324" i="8" s="1"/>
  <c r="AA324" i="8" s="1"/>
  <c r="D519" i="8" s="1"/>
  <c r="T324" i="8"/>
  <c r="Q324" i="8"/>
  <c r="R324" i="8" s="1"/>
  <c r="AB324" i="8" s="1"/>
  <c r="B519" i="8" s="1"/>
  <c r="N91" i="5"/>
  <c r="O91" i="5" s="1"/>
  <c r="I92" i="5"/>
  <c r="I471" i="8"/>
  <c r="N470" i="8"/>
  <c r="O470" i="8" s="1"/>
  <c r="Q84" i="5"/>
  <c r="R84" i="5" s="1"/>
  <c r="R85" i="5" s="1"/>
  <c r="B8" i="7" s="1"/>
  <c r="P84" i="5"/>
  <c r="Y84" i="5" s="1"/>
  <c r="Y85" i="5" s="1"/>
  <c r="D8" i="7" s="1"/>
  <c r="V84" i="5"/>
  <c r="U84" i="5"/>
  <c r="T84" i="5"/>
  <c r="X84" i="5"/>
  <c r="W84" i="5"/>
  <c r="N5" i="6"/>
  <c r="O5" i="6" s="1"/>
  <c r="N325" i="8"/>
  <c r="O325" i="8" s="1"/>
  <c r="I472" i="8" l="1"/>
  <c r="N471" i="8"/>
  <c r="O471" i="8" s="1"/>
  <c r="N92" i="5"/>
  <c r="O92" i="5" s="1"/>
  <c r="I93" i="5"/>
  <c r="X325" i="8"/>
  <c r="M326" i="8" s="1"/>
  <c r="W325" i="8"/>
  <c r="L326" i="8" s="1"/>
  <c r="U325" i="8"/>
  <c r="J326" i="8" s="1"/>
  <c r="V325" i="8"/>
  <c r="K326" i="8" s="1"/>
  <c r="T325" i="8"/>
  <c r="I326" i="8" s="1"/>
  <c r="Q325" i="8"/>
  <c r="R325" i="8" s="1"/>
  <c r="P325" i="8"/>
  <c r="Y325" i="8" s="1"/>
  <c r="X5" i="6"/>
  <c r="M6" i="6" s="1"/>
  <c r="W5" i="6"/>
  <c r="L6" i="6" s="1"/>
  <c r="V5" i="6"/>
  <c r="K6" i="6" s="1"/>
  <c r="U5" i="6"/>
  <c r="J6" i="6" s="1"/>
  <c r="T5" i="6"/>
  <c r="I6" i="6" s="1"/>
  <c r="Q5" i="6"/>
  <c r="R5" i="6" s="1"/>
  <c r="P5" i="6"/>
  <c r="Y5" i="6" s="1"/>
  <c r="Q470" i="8"/>
  <c r="R470" i="8" s="1"/>
  <c r="P470" i="8"/>
  <c r="T470" i="8" s="1"/>
  <c r="Q91" i="5"/>
  <c r="R91" i="5" s="1"/>
  <c r="P91" i="5"/>
  <c r="N6" i="6" l="1"/>
  <c r="O6" i="6" s="1"/>
  <c r="N326" i="8"/>
  <c r="O326" i="8" s="1"/>
  <c r="I94" i="5"/>
  <c r="N93" i="5"/>
  <c r="O93" i="5" s="1"/>
  <c r="Q92" i="5"/>
  <c r="R92" i="5" s="1"/>
  <c r="P92" i="5"/>
  <c r="T92" i="5" s="1"/>
  <c r="T91" i="5"/>
  <c r="Q471" i="8"/>
  <c r="R471" i="8" s="1"/>
  <c r="P471" i="8"/>
  <c r="T471" i="8" s="1"/>
  <c r="N472" i="8"/>
  <c r="O472" i="8" s="1"/>
  <c r="I473" i="8"/>
  <c r="I474" i="8" l="1"/>
  <c r="N473" i="8"/>
  <c r="O473" i="8" s="1"/>
  <c r="W326" i="8"/>
  <c r="L327" i="8" s="1"/>
  <c r="X326" i="8"/>
  <c r="M327" i="8" s="1"/>
  <c r="U326" i="8"/>
  <c r="J327" i="8" s="1"/>
  <c r="Q326" i="8"/>
  <c r="R326" i="8" s="1"/>
  <c r="P326" i="8"/>
  <c r="Y326" i="8" s="1"/>
  <c r="V326" i="8"/>
  <c r="K327" i="8" s="1"/>
  <c r="T326" i="8"/>
  <c r="I327" i="8" s="1"/>
  <c r="Q93" i="5"/>
  <c r="R93" i="5" s="1"/>
  <c r="P93" i="5"/>
  <c r="T93" i="5" s="1"/>
  <c r="Q472" i="8"/>
  <c r="R472" i="8" s="1"/>
  <c r="P472" i="8"/>
  <c r="T472" i="8" s="1"/>
  <c r="N94" i="5"/>
  <c r="O94" i="5" s="1"/>
  <c r="I95" i="5"/>
  <c r="X6" i="6"/>
  <c r="M7" i="6" s="1"/>
  <c r="W6" i="6"/>
  <c r="L7" i="6" s="1"/>
  <c r="V6" i="6"/>
  <c r="K7" i="6" s="1"/>
  <c r="U6" i="6"/>
  <c r="J7" i="6" s="1"/>
  <c r="T6" i="6"/>
  <c r="I7" i="6" s="1"/>
  <c r="Q6" i="6"/>
  <c r="R6" i="6" s="1"/>
  <c r="P6" i="6"/>
  <c r="Y6" i="6" s="1"/>
  <c r="N327" i="8" l="1"/>
  <c r="O327" i="8" s="1"/>
  <c r="N7" i="6"/>
  <c r="O7" i="6" s="1"/>
  <c r="N474" i="8"/>
  <c r="O474" i="8" s="1"/>
  <c r="I475" i="8"/>
  <c r="Q94" i="5"/>
  <c r="R94" i="5" s="1"/>
  <c r="P94" i="5"/>
  <c r="Q473" i="8"/>
  <c r="R473" i="8" s="1"/>
  <c r="P473" i="8"/>
  <c r="T473" i="8" s="1"/>
  <c r="N95" i="5"/>
  <c r="O95" i="5" s="1"/>
  <c r="I96" i="5"/>
  <c r="T94" i="5" l="1"/>
  <c r="I476" i="8"/>
  <c r="N475" i="8"/>
  <c r="O475" i="8" s="1"/>
  <c r="Q95" i="5"/>
  <c r="R95" i="5" s="1"/>
  <c r="P95" i="5"/>
  <c r="T95" i="5" s="1"/>
  <c r="I97" i="5"/>
  <c r="N96" i="5"/>
  <c r="O96" i="5" s="1"/>
  <c r="X7" i="6"/>
  <c r="M8" i="6" s="1"/>
  <c r="W7" i="6"/>
  <c r="L8" i="6" s="1"/>
  <c r="V7" i="6"/>
  <c r="K8" i="6" s="1"/>
  <c r="U7" i="6"/>
  <c r="J8" i="6" s="1"/>
  <c r="T7" i="6"/>
  <c r="I8" i="6" s="1"/>
  <c r="Q7" i="6"/>
  <c r="R7" i="6" s="1"/>
  <c r="P7" i="6"/>
  <c r="Y7" i="6" s="1"/>
  <c r="Q327" i="8"/>
  <c r="R327" i="8" s="1"/>
  <c r="P327" i="8"/>
  <c r="Y327" i="8" s="1"/>
  <c r="W327" i="8"/>
  <c r="L328" i="8" s="1"/>
  <c r="X327" i="8"/>
  <c r="M328" i="8" s="1"/>
  <c r="V327" i="8"/>
  <c r="K328" i="8" s="1"/>
  <c r="U327" i="8"/>
  <c r="J328" i="8" s="1"/>
  <c r="T327" i="8"/>
  <c r="I328" i="8" s="1"/>
  <c r="Q474" i="8"/>
  <c r="R474" i="8" s="1"/>
  <c r="P474" i="8"/>
  <c r="T474" i="8" s="1"/>
  <c r="I98" i="5" l="1"/>
  <c r="N97" i="5"/>
  <c r="O97" i="5" s="1"/>
  <c r="I477" i="8"/>
  <c r="N476" i="8"/>
  <c r="O476" i="8" s="1"/>
  <c r="N8" i="6"/>
  <c r="O8" i="6" s="1"/>
  <c r="Q96" i="5"/>
  <c r="R96" i="5" s="1"/>
  <c r="P96" i="5"/>
  <c r="N328" i="8"/>
  <c r="O328" i="8" s="1"/>
  <c r="Q475" i="8"/>
  <c r="R475" i="8" s="1"/>
  <c r="P475" i="8"/>
  <c r="T475" i="8" s="1"/>
  <c r="X8" i="6" l="1"/>
  <c r="M9" i="6" s="1"/>
  <c r="W8" i="6"/>
  <c r="L9" i="6" s="1"/>
  <c r="V8" i="6"/>
  <c r="K9" i="6" s="1"/>
  <c r="U8" i="6"/>
  <c r="J9" i="6" s="1"/>
  <c r="T8" i="6"/>
  <c r="I9" i="6" s="1"/>
  <c r="Q8" i="6"/>
  <c r="R8" i="6" s="1"/>
  <c r="P8" i="6"/>
  <c r="Y8" i="6" s="1"/>
  <c r="Q476" i="8"/>
  <c r="R476" i="8" s="1"/>
  <c r="P476" i="8"/>
  <c r="T476" i="8" s="1"/>
  <c r="I478" i="8"/>
  <c r="N477" i="8"/>
  <c r="O477" i="8" s="1"/>
  <c r="N98" i="5"/>
  <c r="O98" i="5" s="1"/>
  <c r="I99" i="5"/>
  <c r="T328" i="8"/>
  <c r="I329" i="8" s="1"/>
  <c r="P328" i="8"/>
  <c r="Y328" i="8" s="1"/>
  <c r="W328" i="8"/>
  <c r="L329" i="8" s="1"/>
  <c r="V328" i="8"/>
  <c r="K329" i="8" s="1"/>
  <c r="U328" i="8"/>
  <c r="J329" i="8" s="1"/>
  <c r="Q328" i="8"/>
  <c r="R328" i="8" s="1"/>
  <c r="X328" i="8"/>
  <c r="M329" i="8" s="1"/>
  <c r="T96" i="5"/>
  <c r="Q97" i="5"/>
  <c r="R97" i="5" s="1"/>
  <c r="P97" i="5"/>
  <c r="N329" i="8" l="1"/>
  <c r="O329" i="8" s="1"/>
  <c r="N478" i="8"/>
  <c r="O478" i="8" s="1"/>
  <c r="I479" i="8"/>
  <c r="Q98" i="5"/>
  <c r="R98" i="5" s="1"/>
  <c r="P98" i="5"/>
  <c r="T98" i="5" s="1"/>
  <c r="I100" i="5"/>
  <c r="N99" i="5"/>
  <c r="O99" i="5" s="1"/>
  <c r="T97" i="5"/>
  <c r="N9" i="6"/>
  <c r="O9" i="6" s="1"/>
  <c r="Q477" i="8"/>
  <c r="R477" i="8" s="1"/>
  <c r="P477" i="8"/>
  <c r="T477" i="8" s="1"/>
  <c r="X9" i="6" l="1"/>
  <c r="M10" i="6" s="1"/>
  <c r="W9" i="6"/>
  <c r="L10" i="6" s="1"/>
  <c r="V9" i="6"/>
  <c r="K10" i="6" s="1"/>
  <c r="U9" i="6"/>
  <c r="J10" i="6" s="1"/>
  <c r="T9" i="6"/>
  <c r="I10" i="6" s="1"/>
  <c r="Q9" i="6"/>
  <c r="R9" i="6" s="1"/>
  <c r="P9" i="6"/>
  <c r="Y9" i="6" s="1"/>
  <c r="I101" i="5"/>
  <c r="N100" i="5"/>
  <c r="O100" i="5" s="1"/>
  <c r="N479" i="8"/>
  <c r="O479" i="8" s="1"/>
  <c r="I480" i="8"/>
  <c r="V329" i="8"/>
  <c r="K330" i="8" s="1"/>
  <c r="U329" i="8"/>
  <c r="J330" i="8" s="1"/>
  <c r="Q329" i="8"/>
  <c r="R329" i="8" s="1"/>
  <c r="P329" i="8"/>
  <c r="Y329" i="8" s="1"/>
  <c r="X329" i="8"/>
  <c r="M330" i="8" s="1"/>
  <c r="W329" i="8"/>
  <c r="L330" i="8" s="1"/>
  <c r="T329" i="8"/>
  <c r="I330" i="8" s="1"/>
  <c r="Q99" i="5"/>
  <c r="R99" i="5" s="1"/>
  <c r="P99" i="5"/>
  <c r="T99" i="5" s="1"/>
  <c r="Q478" i="8"/>
  <c r="R478" i="8" s="1"/>
  <c r="P478" i="8"/>
  <c r="T478" i="8" s="1"/>
  <c r="I481" i="8" l="1"/>
  <c r="N480" i="8"/>
  <c r="O480" i="8" s="1"/>
  <c r="N101" i="5"/>
  <c r="O101" i="5" s="1"/>
  <c r="I102" i="5"/>
  <c r="Q479" i="8"/>
  <c r="R479" i="8" s="1"/>
  <c r="P479" i="8"/>
  <c r="T479" i="8" s="1"/>
  <c r="Q100" i="5"/>
  <c r="R100" i="5" s="1"/>
  <c r="P100" i="5"/>
  <c r="T100" i="5" s="1"/>
  <c r="N10" i="6"/>
  <c r="O10" i="6" s="1"/>
  <c r="N330" i="8"/>
  <c r="O330" i="8" s="1"/>
  <c r="U10" i="6" l="1"/>
  <c r="J11" i="6" s="1"/>
  <c r="X10" i="6"/>
  <c r="M11" i="6" s="1"/>
  <c r="W10" i="6"/>
  <c r="L11" i="6" s="1"/>
  <c r="V10" i="6"/>
  <c r="K11" i="6" s="1"/>
  <c r="T10" i="6"/>
  <c r="I11" i="6" s="1"/>
  <c r="Q10" i="6"/>
  <c r="R10" i="6" s="1"/>
  <c r="P10" i="6"/>
  <c r="Y10" i="6" s="1"/>
  <c r="Q101" i="5"/>
  <c r="R101" i="5" s="1"/>
  <c r="P101" i="5"/>
  <c r="I482" i="8"/>
  <c r="N481" i="8"/>
  <c r="O481" i="8" s="1"/>
  <c r="I103" i="5"/>
  <c r="N102" i="5"/>
  <c r="O102" i="5" s="1"/>
  <c r="P480" i="8"/>
  <c r="T480" i="8" s="1"/>
  <c r="Q480" i="8"/>
  <c r="R480" i="8" s="1"/>
  <c r="X330" i="8"/>
  <c r="M331" i="8" s="1"/>
  <c r="W330" i="8"/>
  <c r="L331" i="8" s="1"/>
  <c r="U330" i="8"/>
  <c r="J331" i="8" s="1"/>
  <c r="T330" i="8"/>
  <c r="I331" i="8" s="1"/>
  <c r="Q330" i="8"/>
  <c r="R330" i="8" s="1"/>
  <c r="P330" i="8"/>
  <c r="Y330" i="8" s="1"/>
  <c r="V330" i="8"/>
  <c r="K331" i="8" s="1"/>
  <c r="N482" i="8" l="1"/>
  <c r="O482" i="8" s="1"/>
  <c r="I483" i="8"/>
  <c r="I104" i="5"/>
  <c r="N103" i="5"/>
  <c r="O103" i="5" s="1"/>
  <c r="Q481" i="8"/>
  <c r="R481" i="8" s="1"/>
  <c r="P481" i="8"/>
  <c r="T481" i="8" s="1"/>
  <c r="T101" i="5"/>
  <c r="N11" i="6"/>
  <c r="O11" i="6" s="1"/>
  <c r="N331" i="8"/>
  <c r="O331" i="8" s="1"/>
  <c r="Q102" i="5"/>
  <c r="R102" i="5" s="1"/>
  <c r="P102" i="5"/>
  <c r="T102" i="5" s="1"/>
  <c r="W331" i="8" l="1"/>
  <c r="L332" i="8" s="1"/>
  <c r="V331" i="8"/>
  <c r="K332" i="8" s="1"/>
  <c r="U331" i="8"/>
  <c r="J332" i="8" s="1"/>
  <c r="T331" i="8"/>
  <c r="I332" i="8" s="1"/>
  <c r="P331" i="8"/>
  <c r="Y331" i="8" s="1"/>
  <c r="Q331" i="8"/>
  <c r="R331" i="8" s="1"/>
  <c r="X331" i="8"/>
  <c r="M332" i="8" s="1"/>
  <c r="U11" i="6"/>
  <c r="J12" i="6" s="1"/>
  <c r="X11" i="6"/>
  <c r="M12" i="6" s="1"/>
  <c r="W11" i="6"/>
  <c r="L12" i="6" s="1"/>
  <c r="V11" i="6"/>
  <c r="K12" i="6" s="1"/>
  <c r="T11" i="6"/>
  <c r="I12" i="6" s="1"/>
  <c r="Q11" i="6"/>
  <c r="R11" i="6" s="1"/>
  <c r="P11" i="6"/>
  <c r="Y11" i="6" s="1"/>
  <c r="Q103" i="5"/>
  <c r="R103" i="5" s="1"/>
  <c r="P103" i="5"/>
  <c r="I484" i="8"/>
  <c r="N483" i="8"/>
  <c r="O483" i="8" s="1"/>
  <c r="N104" i="5"/>
  <c r="O104" i="5" s="1"/>
  <c r="I105" i="5"/>
  <c r="P482" i="8"/>
  <c r="T482" i="8" s="1"/>
  <c r="Q482" i="8"/>
  <c r="R482" i="8" s="1"/>
  <c r="T103" i="5" l="1"/>
  <c r="I106" i="5"/>
  <c r="N105" i="5"/>
  <c r="O105" i="5" s="1"/>
  <c r="N12" i="6"/>
  <c r="O12" i="6" s="1"/>
  <c r="P104" i="5"/>
  <c r="T104" i="5" s="1"/>
  <c r="Q104" i="5"/>
  <c r="R104" i="5" s="1"/>
  <c r="N332" i="8"/>
  <c r="O332" i="8" s="1"/>
  <c r="Q483" i="8"/>
  <c r="R483" i="8" s="1"/>
  <c r="P483" i="8"/>
  <c r="T483" i="8" s="1"/>
  <c r="N484" i="8"/>
  <c r="O484" i="8" s="1"/>
  <c r="I485" i="8"/>
  <c r="Q105" i="5" l="1"/>
  <c r="R105" i="5" s="1"/>
  <c r="P105" i="5"/>
  <c r="T105" i="5" s="1"/>
  <c r="P484" i="8"/>
  <c r="T484" i="8" s="1"/>
  <c r="Q484" i="8"/>
  <c r="R484" i="8" s="1"/>
  <c r="U12" i="6"/>
  <c r="J13" i="6" s="1"/>
  <c r="X12" i="6"/>
  <c r="M13" i="6" s="1"/>
  <c r="W12" i="6"/>
  <c r="L13" i="6" s="1"/>
  <c r="V12" i="6"/>
  <c r="K13" i="6" s="1"/>
  <c r="T12" i="6"/>
  <c r="I13" i="6" s="1"/>
  <c r="Q12" i="6"/>
  <c r="R12" i="6" s="1"/>
  <c r="P12" i="6"/>
  <c r="Y12" i="6" s="1"/>
  <c r="N485" i="8"/>
  <c r="O485" i="8" s="1"/>
  <c r="I486" i="8"/>
  <c r="I107" i="5"/>
  <c r="N106" i="5"/>
  <c r="O106" i="5" s="1"/>
  <c r="X332" i="8"/>
  <c r="M333" i="8" s="1"/>
  <c r="W332" i="8"/>
  <c r="L333" i="8" s="1"/>
  <c r="V332" i="8"/>
  <c r="K333" i="8" s="1"/>
  <c r="U332" i="8"/>
  <c r="J333" i="8" s="1"/>
  <c r="P332" i="8"/>
  <c r="Y332" i="8" s="1"/>
  <c r="T332" i="8"/>
  <c r="I333" i="8" s="1"/>
  <c r="Q332" i="8"/>
  <c r="R332" i="8" s="1"/>
  <c r="Q485" i="8" l="1"/>
  <c r="R485" i="8" s="1"/>
  <c r="P485" i="8"/>
  <c r="T485" i="8" s="1"/>
  <c r="N333" i="8"/>
  <c r="O333" i="8" s="1"/>
  <c r="N107" i="5"/>
  <c r="O107" i="5" s="1"/>
  <c r="I108" i="5"/>
  <c r="I487" i="8"/>
  <c r="N486" i="8"/>
  <c r="O486" i="8" s="1"/>
  <c r="Q106" i="5"/>
  <c r="R106" i="5" s="1"/>
  <c r="P106" i="5"/>
  <c r="N13" i="6"/>
  <c r="O13" i="6" s="1"/>
  <c r="I488" i="8" l="1"/>
  <c r="N487" i="8"/>
  <c r="O487" i="8" s="1"/>
  <c r="T106" i="5"/>
  <c r="I109" i="5"/>
  <c r="N108" i="5"/>
  <c r="O108" i="5" s="1"/>
  <c r="Q486" i="8"/>
  <c r="R486" i="8" s="1"/>
  <c r="P486" i="8"/>
  <c r="T486" i="8" s="1"/>
  <c r="Q107" i="5"/>
  <c r="R107" i="5" s="1"/>
  <c r="P107" i="5"/>
  <c r="T107" i="5" s="1"/>
  <c r="X333" i="8"/>
  <c r="M334" i="8" s="1"/>
  <c r="W333" i="8"/>
  <c r="L334" i="8" s="1"/>
  <c r="U333" i="8"/>
  <c r="J334" i="8" s="1"/>
  <c r="V333" i="8"/>
  <c r="K334" i="8" s="1"/>
  <c r="P333" i="8"/>
  <c r="Y333" i="8" s="1"/>
  <c r="T333" i="8"/>
  <c r="I334" i="8" s="1"/>
  <c r="Q333" i="8"/>
  <c r="R333" i="8" s="1"/>
  <c r="U13" i="6"/>
  <c r="J14" i="6" s="1"/>
  <c r="X13" i="6"/>
  <c r="M14" i="6" s="1"/>
  <c r="W13" i="6"/>
  <c r="L14" i="6" s="1"/>
  <c r="V13" i="6"/>
  <c r="K14" i="6" s="1"/>
  <c r="T13" i="6"/>
  <c r="I14" i="6" s="1"/>
  <c r="Q13" i="6"/>
  <c r="R13" i="6" s="1"/>
  <c r="P13" i="6"/>
  <c r="Y13" i="6" s="1"/>
  <c r="N14" i="6" l="1"/>
  <c r="O14" i="6" s="1"/>
  <c r="Q108" i="5"/>
  <c r="R108" i="5" s="1"/>
  <c r="P108" i="5"/>
  <c r="T108" i="5" s="1"/>
  <c r="I110" i="5"/>
  <c r="N110" i="5" s="1"/>
  <c r="O110" i="5" s="1"/>
  <c r="N109" i="5"/>
  <c r="O109" i="5" s="1"/>
  <c r="Q487" i="8"/>
  <c r="R487" i="8" s="1"/>
  <c r="P487" i="8"/>
  <c r="T487" i="8" s="1"/>
  <c r="N334" i="8"/>
  <c r="O334" i="8" s="1"/>
  <c r="N488" i="8"/>
  <c r="O488" i="8" s="1"/>
  <c r="I489" i="8"/>
  <c r="N489" i="8" s="1"/>
  <c r="O489" i="8" s="1"/>
  <c r="Q110" i="5" l="1"/>
  <c r="R110" i="5" s="1"/>
  <c r="P110" i="5"/>
  <c r="Q109" i="5"/>
  <c r="R109" i="5" s="1"/>
  <c r="P109" i="5"/>
  <c r="T109" i="5" s="1"/>
  <c r="U14" i="6"/>
  <c r="J15" i="6" s="1"/>
  <c r="X14" i="6"/>
  <c r="M15" i="6" s="1"/>
  <c r="W14" i="6"/>
  <c r="L15" i="6" s="1"/>
  <c r="V14" i="6"/>
  <c r="K15" i="6" s="1"/>
  <c r="T14" i="6"/>
  <c r="I15" i="6" s="1"/>
  <c r="Q14" i="6"/>
  <c r="R14" i="6" s="1"/>
  <c r="P14" i="6"/>
  <c r="Y14" i="6" s="1"/>
  <c r="Q489" i="8"/>
  <c r="R489" i="8" s="1"/>
  <c r="W489" i="8" s="1"/>
  <c r="C519" i="8" s="1"/>
  <c r="P489" i="8"/>
  <c r="T489" i="8" s="1"/>
  <c r="V489" i="8" s="1"/>
  <c r="E519" i="8" s="1"/>
  <c r="P488" i="8"/>
  <c r="T488" i="8" s="1"/>
  <c r="Q488" i="8"/>
  <c r="R488" i="8" s="1"/>
  <c r="W334" i="8"/>
  <c r="L335" i="8" s="1"/>
  <c r="V334" i="8"/>
  <c r="K335" i="8" s="1"/>
  <c r="U334" i="8"/>
  <c r="J335" i="8" s="1"/>
  <c r="T334" i="8"/>
  <c r="I335" i="8" s="1"/>
  <c r="Q334" i="8"/>
  <c r="R334" i="8" s="1"/>
  <c r="P334" i="8"/>
  <c r="Y334" i="8" s="1"/>
  <c r="X334" i="8"/>
  <c r="M335" i="8" s="1"/>
  <c r="N15" i="6" l="1"/>
  <c r="O15" i="6" s="1"/>
  <c r="N335" i="8"/>
  <c r="O335" i="8" s="1"/>
  <c r="T110" i="5"/>
  <c r="T111" i="5" s="1"/>
  <c r="E8" i="7" s="1"/>
  <c r="C116" i="5"/>
  <c r="J115" i="5" s="1"/>
  <c r="D116" i="5"/>
  <c r="D117" i="5"/>
  <c r="C117" i="5"/>
  <c r="R111" i="5"/>
  <c r="C8" i="7" s="1"/>
  <c r="J117" i="5" l="1"/>
  <c r="J116" i="5"/>
  <c r="J118" i="5" s="1"/>
  <c r="Q335" i="8"/>
  <c r="R335" i="8" s="1"/>
  <c r="P335" i="8"/>
  <c r="Y335" i="8" s="1"/>
  <c r="X335" i="8"/>
  <c r="M336" i="8" s="1"/>
  <c r="V335" i="8"/>
  <c r="K336" i="8" s="1"/>
  <c r="U335" i="8"/>
  <c r="J336" i="8" s="1"/>
  <c r="T335" i="8"/>
  <c r="I336" i="8" s="1"/>
  <c r="W335" i="8"/>
  <c r="L336" i="8" s="1"/>
  <c r="U15" i="6"/>
  <c r="J16" i="6" s="1"/>
  <c r="X15" i="6"/>
  <c r="M16" i="6" s="1"/>
  <c r="W15" i="6"/>
  <c r="L16" i="6" s="1"/>
  <c r="V15" i="6"/>
  <c r="K16" i="6" s="1"/>
  <c r="T15" i="6"/>
  <c r="I16" i="6" s="1"/>
  <c r="Q15" i="6"/>
  <c r="R15" i="6" s="1"/>
  <c r="P15" i="6"/>
  <c r="Y15" i="6" s="1"/>
  <c r="N16" i="6" l="1"/>
  <c r="O16" i="6" s="1"/>
  <c r="N336" i="8"/>
  <c r="O336" i="8" s="1"/>
  <c r="T336" i="8" l="1"/>
  <c r="I337" i="8" s="1"/>
  <c r="P336" i="8"/>
  <c r="Y336" i="8" s="1"/>
  <c r="U336" i="8"/>
  <c r="J337" i="8" s="1"/>
  <c r="Q336" i="8"/>
  <c r="R336" i="8" s="1"/>
  <c r="X336" i="8"/>
  <c r="M337" i="8" s="1"/>
  <c r="W336" i="8"/>
  <c r="L337" i="8" s="1"/>
  <c r="V336" i="8"/>
  <c r="K337" i="8" s="1"/>
  <c r="U16" i="6"/>
  <c r="J17" i="6" s="1"/>
  <c r="X16" i="6"/>
  <c r="M17" i="6" s="1"/>
  <c r="W16" i="6"/>
  <c r="L17" i="6" s="1"/>
  <c r="V16" i="6"/>
  <c r="K17" i="6" s="1"/>
  <c r="T16" i="6"/>
  <c r="I17" i="6" s="1"/>
  <c r="P16" i="6"/>
  <c r="Y16" i="6" s="1"/>
  <c r="Q16" i="6"/>
  <c r="R16" i="6" s="1"/>
  <c r="N17" i="6" l="1"/>
  <c r="O17" i="6" s="1"/>
  <c r="N337" i="8"/>
  <c r="O337" i="8" s="1"/>
  <c r="V337" i="8" l="1"/>
  <c r="K338" i="8" s="1"/>
  <c r="U337" i="8"/>
  <c r="J338" i="8" s="1"/>
  <c r="Q337" i="8"/>
  <c r="R337" i="8" s="1"/>
  <c r="P337" i="8"/>
  <c r="Y337" i="8" s="1"/>
  <c r="T337" i="8"/>
  <c r="I338" i="8" s="1"/>
  <c r="W337" i="8"/>
  <c r="L338" i="8" s="1"/>
  <c r="X337" i="8"/>
  <c r="M338" i="8" s="1"/>
  <c r="U17" i="6"/>
  <c r="J18" i="6" s="1"/>
  <c r="X17" i="6"/>
  <c r="M18" i="6" s="1"/>
  <c r="W17" i="6"/>
  <c r="L18" i="6" s="1"/>
  <c r="V17" i="6"/>
  <c r="K18" i="6" s="1"/>
  <c r="T17" i="6"/>
  <c r="I18" i="6" s="1"/>
  <c r="Q17" i="6"/>
  <c r="R17" i="6" s="1"/>
  <c r="P17" i="6"/>
  <c r="Y17" i="6" s="1"/>
  <c r="N18" i="6" l="1"/>
  <c r="O18" i="6" s="1"/>
  <c r="N338" i="8"/>
  <c r="O338" i="8" s="1"/>
  <c r="X338" i="8" l="1"/>
  <c r="M339" i="8" s="1"/>
  <c r="W338" i="8"/>
  <c r="L339" i="8" s="1"/>
  <c r="U338" i="8"/>
  <c r="J339" i="8" s="1"/>
  <c r="T338" i="8"/>
  <c r="I339" i="8" s="1"/>
  <c r="Q338" i="8"/>
  <c r="R338" i="8" s="1"/>
  <c r="P338" i="8"/>
  <c r="Y338" i="8" s="1"/>
  <c r="V338" i="8"/>
  <c r="K339" i="8" s="1"/>
  <c r="U18" i="6"/>
  <c r="J19" i="6" s="1"/>
  <c r="P18" i="6"/>
  <c r="Y18" i="6" s="1"/>
  <c r="X18" i="6"/>
  <c r="M19" i="6" s="1"/>
  <c r="W18" i="6"/>
  <c r="L19" i="6" s="1"/>
  <c r="V18" i="6"/>
  <c r="K19" i="6" s="1"/>
  <c r="T18" i="6"/>
  <c r="I19" i="6" s="1"/>
  <c r="Q18" i="6"/>
  <c r="R18" i="6" s="1"/>
  <c r="N19" i="6" l="1"/>
  <c r="O19" i="6" s="1"/>
  <c r="N339" i="8"/>
  <c r="O339" i="8" s="1"/>
  <c r="W339" i="8" l="1"/>
  <c r="L340" i="8" s="1"/>
  <c r="V339" i="8"/>
  <c r="K340" i="8" s="1"/>
  <c r="U339" i="8"/>
  <c r="J340" i="8" s="1"/>
  <c r="T339" i="8"/>
  <c r="I340" i="8" s="1"/>
  <c r="P339" i="8"/>
  <c r="Y339" i="8" s="1"/>
  <c r="X339" i="8"/>
  <c r="M340" i="8" s="1"/>
  <c r="Q339" i="8"/>
  <c r="R339" i="8" s="1"/>
  <c r="U19" i="6"/>
  <c r="J20" i="6" s="1"/>
  <c r="Q19" i="6"/>
  <c r="R19" i="6" s="1"/>
  <c r="P19" i="6"/>
  <c r="Y19" i="6" s="1"/>
  <c r="X19" i="6"/>
  <c r="M20" i="6" s="1"/>
  <c r="W19" i="6"/>
  <c r="L20" i="6" s="1"/>
  <c r="V19" i="6"/>
  <c r="K20" i="6" s="1"/>
  <c r="T19" i="6"/>
  <c r="I20" i="6" s="1"/>
  <c r="N20" i="6" l="1"/>
  <c r="O20" i="6" s="1"/>
  <c r="N340" i="8"/>
  <c r="O340" i="8" s="1"/>
  <c r="W340" i="8" l="1"/>
  <c r="L341" i="8" s="1"/>
  <c r="X340" i="8"/>
  <c r="M341" i="8" s="1"/>
  <c r="V340" i="8"/>
  <c r="K341" i="8" s="1"/>
  <c r="U340" i="8"/>
  <c r="J341" i="8" s="1"/>
  <c r="Q340" i="8"/>
  <c r="R340" i="8" s="1"/>
  <c r="T340" i="8"/>
  <c r="I341" i="8" s="1"/>
  <c r="P340" i="8"/>
  <c r="Y340" i="8" s="1"/>
  <c r="U20" i="6"/>
  <c r="J21" i="6" s="1"/>
  <c r="Q20" i="6"/>
  <c r="R20" i="6" s="1"/>
  <c r="P20" i="6"/>
  <c r="Y20" i="6" s="1"/>
  <c r="X20" i="6"/>
  <c r="M21" i="6" s="1"/>
  <c r="W20" i="6"/>
  <c r="L21" i="6" s="1"/>
  <c r="V20" i="6"/>
  <c r="K21" i="6" s="1"/>
  <c r="T20" i="6"/>
  <c r="I21" i="6" s="1"/>
  <c r="N21" i="6" l="1"/>
  <c r="O21" i="6" s="1"/>
  <c r="N341" i="8"/>
  <c r="O341" i="8" s="1"/>
  <c r="W341" i="8" l="1"/>
  <c r="L342" i="8" s="1"/>
  <c r="V341" i="8"/>
  <c r="K342" i="8" s="1"/>
  <c r="U341" i="8"/>
  <c r="J342" i="8" s="1"/>
  <c r="T341" i="8"/>
  <c r="I342" i="8" s="1"/>
  <c r="Q341" i="8"/>
  <c r="R341" i="8" s="1"/>
  <c r="P341" i="8"/>
  <c r="Y341" i="8" s="1"/>
  <c r="X341" i="8"/>
  <c r="M342" i="8" s="1"/>
  <c r="U21" i="6"/>
  <c r="J22" i="6" s="1"/>
  <c r="T21" i="6"/>
  <c r="I22" i="6" s="1"/>
  <c r="Q21" i="6"/>
  <c r="R21" i="6" s="1"/>
  <c r="P21" i="6"/>
  <c r="Y21" i="6" s="1"/>
  <c r="X21" i="6"/>
  <c r="M22" i="6" s="1"/>
  <c r="W21" i="6"/>
  <c r="L22" i="6" s="1"/>
  <c r="V21" i="6"/>
  <c r="K22" i="6" s="1"/>
  <c r="N22" i="6" l="1"/>
  <c r="O22" i="6" s="1"/>
  <c r="N342" i="8"/>
  <c r="O342" i="8" s="1"/>
  <c r="W342" i="8" l="1"/>
  <c r="L343" i="8" s="1"/>
  <c r="Q342" i="8"/>
  <c r="R342" i="8" s="1"/>
  <c r="P342" i="8"/>
  <c r="Y342" i="8" s="1"/>
  <c r="V342" i="8"/>
  <c r="K343" i="8" s="1"/>
  <c r="X342" i="8"/>
  <c r="M343" i="8" s="1"/>
  <c r="U342" i="8"/>
  <c r="J343" i="8" s="1"/>
  <c r="T342" i="8"/>
  <c r="I343" i="8" s="1"/>
  <c r="U22" i="6"/>
  <c r="J23" i="6" s="1"/>
  <c r="V22" i="6"/>
  <c r="K23" i="6" s="1"/>
  <c r="T22" i="6"/>
  <c r="I23" i="6" s="1"/>
  <c r="Q22" i="6"/>
  <c r="R22" i="6" s="1"/>
  <c r="P22" i="6"/>
  <c r="Y22" i="6" s="1"/>
  <c r="X22" i="6"/>
  <c r="M23" i="6" s="1"/>
  <c r="W22" i="6"/>
  <c r="L23" i="6" s="1"/>
  <c r="N343" i="8" l="1"/>
  <c r="O343" i="8" s="1"/>
  <c r="N23" i="6"/>
  <c r="O23" i="6" s="1"/>
  <c r="U23" i="6" l="1"/>
  <c r="J24" i="6" s="1"/>
  <c r="W23" i="6"/>
  <c r="L24" i="6" s="1"/>
  <c r="V23" i="6"/>
  <c r="K24" i="6" s="1"/>
  <c r="T23" i="6"/>
  <c r="I24" i="6" s="1"/>
  <c r="Q23" i="6"/>
  <c r="R23" i="6" s="1"/>
  <c r="P23" i="6"/>
  <c r="Y23" i="6" s="1"/>
  <c r="X23" i="6"/>
  <c r="M24" i="6" s="1"/>
  <c r="W343" i="8"/>
  <c r="L344" i="8" s="1"/>
  <c r="V343" i="8"/>
  <c r="K344" i="8" s="1"/>
  <c r="U343" i="8"/>
  <c r="J344" i="8" s="1"/>
  <c r="T343" i="8"/>
  <c r="I344" i="8" s="1"/>
  <c r="Q343" i="8"/>
  <c r="R343" i="8" s="1"/>
  <c r="P343" i="8"/>
  <c r="Y343" i="8" s="1"/>
  <c r="X343" i="8"/>
  <c r="M344" i="8" s="1"/>
  <c r="N344" i="8" l="1"/>
  <c r="O344" i="8" s="1"/>
  <c r="N24" i="6"/>
  <c r="O24" i="6" s="1"/>
  <c r="U24" i="6" l="1"/>
  <c r="J25" i="6" s="1"/>
  <c r="X24" i="6"/>
  <c r="M25" i="6" s="1"/>
  <c r="W24" i="6"/>
  <c r="L25" i="6" s="1"/>
  <c r="V24" i="6"/>
  <c r="K25" i="6" s="1"/>
  <c r="T24" i="6"/>
  <c r="I25" i="6" s="1"/>
  <c r="Q24" i="6"/>
  <c r="R24" i="6" s="1"/>
  <c r="P24" i="6"/>
  <c r="Y24" i="6" s="1"/>
  <c r="W344" i="8"/>
  <c r="L345" i="8" s="1"/>
  <c r="V344" i="8"/>
  <c r="K345" i="8" s="1"/>
  <c r="X344" i="8"/>
  <c r="M345" i="8" s="1"/>
  <c r="U344" i="8"/>
  <c r="J345" i="8" s="1"/>
  <c r="T344" i="8"/>
  <c r="I345" i="8" s="1"/>
  <c r="Q344" i="8"/>
  <c r="R344" i="8" s="1"/>
  <c r="P344" i="8"/>
  <c r="Y344" i="8" s="1"/>
  <c r="N25" i="6" l="1"/>
  <c r="O25" i="6" s="1"/>
  <c r="N345" i="8"/>
  <c r="O345" i="8" s="1"/>
  <c r="X345" i="8" l="1"/>
  <c r="M346" i="8" s="1"/>
  <c r="W345" i="8"/>
  <c r="L346" i="8" s="1"/>
  <c r="V345" i="8"/>
  <c r="K346" i="8" s="1"/>
  <c r="T345" i="8"/>
  <c r="I346" i="8" s="1"/>
  <c r="U345" i="8"/>
  <c r="J346" i="8" s="1"/>
  <c r="Q345" i="8"/>
  <c r="R345" i="8" s="1"/>
  <c r="P345" i="8"/>
  <c r="Y345" i="8" s="1"/>
  <c r="U25" i="6"/>
  <c r="J26" i="6" s="1"/>
  <c r="X25" i="6"/>
  <c r="M26" i="6" s="1"/>
  <c r="W25" i="6"/>
  <c r="L26" i="6" s="1"/>
  <c r="V25" i="6"/>
  <c r="K26" i="6" s="1"/>
  <c r="T25" i="6"/>
  <c r="I26" i="6" s="1"/>
  <c r="Q25" i="6"/>
  <c r="R25" i="6" s="1"/>
  <c r="P25" i="6"/>
  <c r="Y25" i="6" s="1"/>
  <c r="N26" i="6" l="1"/>
  <c r="O26" i="6" s="1"/>
  <c r="N346" i="8"/>
  <c r="O346" i="8" s="1"/>
  <c r="X346" i="8" l="1"/>
  <c r="M347" i="8" s="1"/>
  <c r="W346" i="8"/>
  <c r="L347" i="8" s="1"/>
  <c r="V346" i="8"/>
  <c r="K347" i="8" s="1"/>
  <c r="Q346" i="8"/>
  <c r="R346" i="8" s="1"/>
  <c r="P346" i="8"/>
  <c r="Y346" i="8" s="1"/>
  <c r="U346" i="8"/>
  <c r="J347" i="8" s="1"/>
  <c r="T346" i="8"/>
  <c r="I347" i="8" s="1"/>
  <c r="U26" i="6"/>
  <c r="J27" i="6" s="1"/>
  <c r="X26" i="6"/>
  <c r="M27" i="6" s="1"/>
  <c r="W26" i="6"/>
  <c r="L27" i="6" s="1"/>
  <c r="V26" i="6"/>
  <c r="K27" i="6" s="1"/>
  <c r="T26" i="6"/>
  <c r="I27" i="6" s="1"/>
  <c r="Q26" i="6"/>
  <c r="R26" i="6" s="1"/>
  <c r="P26" i="6"/>
  <c r="Y26" i="6" s="1"/>
  <c r="N27" i="6" l="1"/>
  <c r="O27" i="6" s="1"/>
  <c r="N347" i="8"/>
  <c r="O347" i="8" s="1"/>
  <c r="X347" i="8" l="1"/>
  <c r="M348" i="8" s="1"/>
  <c r="W347" i="8"/>
  <c r="L348" i="8" s="1"/>
  <c r="V347" i="8"/>
  <c r="K348" i="8" s="1"/>
  <c r="T347" i="8"/>
  <c r="I348" i="8" s="1"/>
  <c r="Q347" i="8"/>
  <c r="R347" i="8" s="1"/>
  <c r="P347" i="8"/>
  <c r="Y347" i="8" s="1"/>
  <c r="U347" i="8"/>
  <c r="J348" i="8" s="1"/>
  <c r="U27" i="6"/>
  <c r="J28" i="6" s="1"/>
  <c r="X27" i="6"/>
  <c r="M28" i="6" s="1"/>
  <c r="W27" i="6"/>
  <c r="L28" i="6" s="1"/>
  <c r="V27" i="6"/>
  <c r="K28" i="6" s="1"/>
  <c r="T27" i="6"/>
  <c r="I28" i="6" s="1"/>
  <c r="Q27" i="6"/>
  <c r="R27" i="6" s="1"/>
  <c r="P27" i="6"/>
  <c r="Y27" i="6" s="1"/>
  <c r="N28" i="6" l="1"/>
  <c r="O28" i="6" s="1"/>
  <c r="N348" i="8"/>
  <c r="O348" i="8" s="1"/>
  <c r="X348" i="8" l="1"/>
  <c r="M349" i="8" s="1"/>
  <c r="W348" i="8"/>
  <c r="L349" i="8" s="1"/>
  <c r="V348" i="8"/>
  <c r="K349" i="8" s="1"/>
  <c r="T348" i="8"/>
  <c r="I349" i="8" s="1"/>
  <c r="U348" i="8"/>
  <c r="J349" i="8" s="1"/>
  <c r="Q348" i="8"/>
  <c r="R348" i="8" s="1"/>
  <c r="P348" i="8"/>
  <c r="Y348" i="8" s="1"/>
  <c r="U28" i="6"/>
  <c r="J29" i="6" s="1"/>
  <c r="X28" i="6"/>
  <c r="M29" i="6" s="1"/>
  <c r="W28" i="6"/>
  <c r="L29" i="6" s="1"/>
  <c r="V28" i="6"/>
  <c r="K29" i="6" s="1"/>
  <c r="T28" i="6"/>
  <c r="I29" i="6" s="1"/>
  <c r="Q28" i="6"/>
  <c r="R28" i="6" s="1"/>
  <c r="P28" i="6"/>
  <c r="Y28" i="6" s="1"/>
  <c r="N29" i="6" l="1"/>
  <c r="O29" i="6" s="1"/>
  <c r="N349" i="8"/>
  <c r="O349" i="8" s="1"/>
  <c r="X349" i="8" l="1"/>
  <c r="M350" i="8" s="1"/>
  <c r="W349" i="8"/>
  <c r="L350" i="8" s="1"/>
  <c r="V349" i="8"/>
  <c r="K350" i="8" s="1"/>
  <c r="Q349" i="8"/>
  <c r="R349" i="8" s="1"/>
  <c r="T349" i="8"/>
  <c r="I350" i="8" s="1"/>
  <c r="U349" i="8"/>
  <c r="J350" i="8" s="1"/>
  <c r="P349" i="8"/>
  <c r="Y349" i="8" s="1"/>
  <c r="U29" i="6"/>
  <c r="J30" i="6" s="1"/>
  <c r="X29" i="6"/>
  <c r="M30" i="6" s="1"/>
  <c r="W29" i="6"/>
  <c r="L30" i="6" s="1"/>
  <c r="V29" i="6"/>
  <c r="K30" i="6" s="1"/>
  <c r="T29" i="6"/>
  <c r="I30" i="6" s="1"/>
  <c r="Q29" i="6"/>
  <c r="R29" i="6" s="1"/>
  <c r="P29" i="6"/>
  <c r="Y29" i="6" s="1"/>
  <c r="N30" i="6" l="1"/>
  <c r="O30" i="6" s="1"/>
  <c r="N350" i="8"/>
  <c r="O350" i="8" s="1"/>
  <c r="X350" i="8" l="1"/>
  <c r="M351" i="8" s="1"/>
  <c r="W350" i="8"/>
  <c r="L351" i="8" s="1"/>
  <c r="V350" i="8"/>
  <c r="K351" i="8" s="1"/>
  <c r="U350" i="8"/>
  <c r="J351" i="8" s="1"/>
  <c r="T350" i="8"/>
  <c r="I351" i="8" s="1"/>
  <c r="Q350" i="8"/>
  <c r="R350" i="8" s="1"/>
  <c r="P350" i="8"/>
  <c r="Y350" i="8" s="1"/>
  <c r="U30" i="6"/>
  <c r="J31" i="6" s="1"/>
  <c r="X30" i="6"/>
  <c r="M31" i="6" s="1"/>
  <c r="W30" i="6"/>
  <c r="L31" i="6" s="1"/>
  <c r="V30" i="6"/>
  <c r="K31" i="6" s="1"/>
  <c r="T30" i="6"/>
  <c r="I31" i="6" s="1"/>
  <c r="Q30" i="6"/>
  <c r="R30" i="6" s="1"/>
  <c r="P30" i="6"/>
  <c r="Y30" i="6" s="1"/>
  <c r="N351" i="8" l="1"/>
  <c r="O351" i="8" s="1"/>
  <c r="N31" i="6"/>
  <c r="O31" i="6" s="1"/>
  <c r="U31" i="6" l="1"/>
  <c r="J32" i="6" s="1"/>
  <c r="X31" i="6"/>
  <c r="M32" i="6" s="1"/>
  <c r="W31" i="6"/>
  <c r="L32" i="6" s="1"/>
  <c r="V31" i="6"/>
  <c r="K32" i="6" s="1"/>
  <c r="T31" i="6"/>
  <c r="I32" i="6" s="1"/>
  <c r="Q31" i="6"/>
  <c r="R31" i="6" s="1"/>
  <c r="P31" i="6"/>
  <c r="Y31" i="6" s="1"/>
  <c r="X351" i="8"/>
  <c r="M352" i="8" s="1"/>
  <c r="W351" i="8"/>
  <c r="L352" i="8" s="1"/>
  <c r="V351" i="8"/>
  <c r="K352" i="8" s="1"/>
  <c r="U351" i="8"/>
  <c r="J352" i="8" s="1"/>
  <c r="T351" i="8"/>
  <c r="I352" i="8" s="1"/>
  <c r="Q351" i="8"/>
  <c r="R351" i="8" s="1"/>
  <c r="P351" i="8"/>
  <c r="Y351" i="8" s="1"/>
  <c r="N352" i="8" l="1"/>
  <c r="O352" i="8" s="1"/>
  <c r="N32" i="6"/>
  <c r="O32" i="6" s="1"/>
  <c r="U32" i="6" l="1"/>
  <c r="J33" i="6" s="1"/>
  <c r="X32" i="6"/>
  <c r="M33" i="6" s="1"/>
  <c r="W32" i="6"/>
  <c r="L33" i="6" s="1"/>
  <c r="V32" i="6"/>
  <c r="K33" i="6" s="1"/>
  <c r="T32" i="6"/>
  <c r="I33" i="6" s="1"/>
  <c r="P32" i="6"/>
  <c r="Y32" i="6" s="1"/>
  <c r="Q32" i="6"/>
  <c r="R32" i="6" s="1"/>
  <c r="X352" i="8"/>
  <c r="M353" i="8" s="1"/>
  <c r="W352" i="8"/>
  <c r="L353" i="8" s="1"/>
  <c r="V352" i="8"/>
  <c r="K353" i="8" s="1"/>
  <c r="U352" i="8"/>
  <c r="J353" i="8" s="1"/>
  <c r="T352" i="8"/>
  <c r="I353" i="8" s="1"/>
  <c r="Q352" i="8"/>
  <c r="R352" i="8" s="1"/>
  <c r="P352" i="8"/>
  <c r="Y352" i="8" s="1"/>
  <c r="N353" i="8" l="1"/>
  <c r="O353" i="8" s="1"/>
  <c r="N33" i="6"/>
  <c r="O33" i="6" s="1"/>
  <c r="U33" i="6" l="1"/>
  <c r="J34" i="6" s="1"/>
  <c r="X33" i="6"/>
  <c r="M34" i="6" s="1"/>
  <c r="W33" i="6"/>
  <c r="L34" i="6" s="1"/>
  <c r="V33" i="6"/>
  <c r="K34" i="6" s="1"/>
  <c r="T33" i="6"/>
  <c r="I34" i="6" s="1"/>
  <c r="Q33" i="6"/>
  <c r="R33" i="6" s="1"/>
  <c r="P33" i="6"/>
  <c r="Y33" i="6" s="1"/>
  <c r="X353" i="8"/>
  <c r="M354" i="8" s="1"/>
  <c r="W353" i="8"/>
  <c r="L354" i="8" s="1"/>
  <c r="V353" i="8"/>
  <c r="K354" i="8" s="1"/>
  <c r="U353" i="8"/>
  <c r="J354" i="8" s="1"/>
  <c r="T353" i="8"/>
  <c r="I354" i="8" s="1"/>
  <c r="Q353" i="8"/>
  <c r="R353" i="8" s="1"/>
  <c r="P353" i="8"/>
  <c r="Y353" i="8" s="1"/>
  <c r="N354" i="8" l="1"/>
  <c r="O354" i="8" s="1"/>
  <c r="N34" i="6"/>
  <c r="O34" i="6" s="1"/>
  <c r="U34" i="6" l="1"/>
  <c r="J35" i="6" s="1"/>
  <c r="P34" i="6"/>
  <c r="Y34" i="6" s="1"/>
  <c r="X34" i="6"/>
  <c r="M35" i="6" s="1"/>
  <c r="W34" i="6"/>
  <c r="L35" i="6" s="1"/>
  <c r="V34" i="6"/>
  <c r="K35" i="6" s="1"/>
  <c r="T34" i="6"/>
  <c r="I35" i="6" s="1"/>
  <c r="Q34" i="6"/>
  <c r="R34" i="6" s="1"/>
  <c r="X354" i="8"/>
  <c r="M355" i="8" s="1"/>
  <c r="W354" i="8"/>
  <c r="L355" i="8" s="1"/>
  <c r="V354" i="8"/>
  <c r="K355" i="8" s="1"/>
  <c r="P354" i="8"/>
  <c r="Y354" i="8" s="1"/>
  <c r="U354" i="8"/>
  <c r="J355" i="8" s="1"/>
  <c r="T354" i="8"/>
  <c r="I355" i="8" s="1"/>
  <c r="Q354" i="8"/>
  <c r="R354" i="8" s="1"/>
  <c r="N355" i="8" l="1"/>
  <c r="O355" i="8" s="1"/>
  <c r="N35" i="6"/>
  <c r="O35" i="6" s="1"/>
  <c r="U35" i="6" l="1"/>
  <c r="J36" i="6" s="1"/>
  <c r="Q35" i="6"/>
  <c r="R35" i="6" s="1"/>
  <c r="P35" i="6"/>
  <c r="Y35" i="6" s="1"/>
  <c r="X35" i="6"/>
  <c r="M36" i="6" s="1"/>
  <c r="W35" i="6"/>
  <c r="L36" i="6" s="1"/>
  <c r="V35" i="6"/>
  <c r="K36" i="6" s="1"/>
  <c r="T35" i="6"/>
  <c r="I36" i="6" s="1"/>
  <c r="X355" i="8"/>
  <c r="M356" i="8" s="1"/>
  <c r="W355" i="8"/>
  <c r="L356" i="8" s="1"/>
  <c r="V355" i="8"/>
  <c r="K356" i="8" s="1"/>
  <c r="T355" i="8"/>
  <c r="I356" i="8" s="1"/>
  <c r="Q355" i="8"/>
  <c r="R355" i="8" s="1"/>
  <c r="P355" i="8"/>
  <c r="Y355" i="8" s="1"/>
  <c r="U355" i="8"/>
  <c r="J356" i="8" s="1"/>
  <c r="N356" i="8" l="1"/>
  <c r="O356" i="8" s="1"/>
  <c r="N36" i="6"/>
  <c r="O36" i="6" s="1"/>
  <c r="U36" i="6" l="1"/>
  <c r="J37" i="6" s="1"/>
  <c r="Q36" i="6"/>
  <c r="R36" i="6" s="1"/>
  <c r="P36" i="6"/>
  <c r="Y36" i="6" s="1"/>
  <c r="X36" i="6"/>
  <c r="M37" i="6" s="1"/>
  <c r="W36" i="6"/>
  <c r="L37" i="6" s="1"/>
  <c r="V36" i="6"/>
  <c r="K37" i="6" s="1"/>
  <c r="T36" i="6"/>
  <c r="I37" i="6" s="1"/>
  <c r="X356" i="8"/>
  <c r="M357" i="8" s="1"/>
  <c r="W356" i="8"/>
  <c r="L357" i="8" s="1"/>
  <c r="V356" i="8"/>
  <c r="K357" i="8" s="1"/>
  <c r="T356" i="8"/>
  <c r="I357" i="8" s="1"/>
  <c r="P356" i="8"/>
  <c r="Y356" i="8" s="1"/>
  <c r="U356" i="8"/>
  <c r="J357" i="8" s="1"/>
  <c r="Q356" i="8"/>
  <c r="R356" i="8" s="1"/>
  <c r="N37" i="6" l="1"/>
  <c r="O37" i="6" s="1"/>
  <c r="N357" i="8"/>
  <c r="O357" i="8" s="1"/>
  <c r="X357" i="8" l="1"/>
  <c r="M358" i="8" s="1"/>
  <c r="W357" i="8"/>
  <c r="L358" i="8" s="1"/>
  <c r="V357" i="8"/>
  <c r="K358" i="8" s="1"/>
  <c r="Q357" i="8"/>
  <c r="R357" i="8" s="1"/>
  <c r="P357" i="8"/>
  <c r="Y357" i="8" s="1"/>
  <c r="U357" i="8"/>
  <c r="J358" i="8" s="1"/>
  <c r="T357" i="8"/>
  <c r="I358" i="8" s="1"/>
  <c r="U37" i="6"/>
  <c r="J38" i="6" s="1"/>
  <c r="T37" i="6"/>
  <c r="I38" i="6" s="1"/>
  <c r="Q37" i="6"/>
  <c r="R37" i="6" s="1"/>
  <c r="P37" i="6"/>
  <c r="Y37" i="6" s="1"/>
  <c r="X37" i="6"/>
  <c r="M38" i="6" s="1"/>
  <c r="W37" i="6"/>
  <c r="L38" i="6" s="1"/>
  <c r="V37" i="6"/>
  <c r="K38" i="6" s="1"/>
  <c r="N358" i="8" l="1"/>
  <c r="O358" i="8" s="1"/>
  <c r="N38" i="6"/>
  <c r="O38" i="6" s="1"/>
  <c r="U38" i="6" l="1"/>
  <c r="J39" i="6" s="1"/>
  <c r="V38" i="6"/>
  <c r="K39" i="6" s="1"/>
  <c r="T38" i="6"/>
  <c r="I39" i="6" s="1"/>
  <c r="Q38" i="6"/>
  <c r="R38" i="6" s="1"/>
  <c r="P38" i="6"/>
  <c r="Y38" i="6" s="1"/>
  <c r="X38" i="6"/>
  <c r="M39" i="6" s="1"/>
  <c r="W38" i="6"/>
  <c r="L39" i="6" s="1"/>
  <c r="X358" i="8"/>
  <c r="M359" i="8" s="1"/>
  <c r="W358" i="8"/>
  <c r="L359" i="8" s="1"/>
  <c r="V358" i="8"/>
  <c r="K359" i="8" s="1"/>
  <c r="U358" i="8"/>
  <c r="J359" i="8" s="1"/>
  <c r="T358" i="8"/>
  <c r="I359" i="8" s="1"/>
  <c r="Q358" i="8"/>
  <c r="R358" i="8" s="1"/>
  <c r="P358" i="8"/>
  <c r="Y358" i="8" s="1"/>
  <c r="N359" i="8" l="1"/>
  <c r="O359" i="8" s="1"/>
  <c r="N39" i="6"/>
  <c r="O39" i="6" s="1"/>
  <c r="U39" i="6" l="1"/>
  <c r="J40" i="6" s="1"/>
  <c r="W39" i="6"/>
  <c r="L40" i="6" s="1"/>
  <c r="V39" i="6"/>
  <c r="K40" i="6" s="1"/>
  <c r="T39" i="6"/>
  <c r="I40" i="6" s="1"/>
  <c r="Q39" i="6"/>
  <c r="R39" i="6" s="1"/>
  <c r="P39" i="6"/>
  <c r="Y39" i="6" s="1"/>
  <c r="X39" i="6"/>
  <c r="M40" i="6" s="1"/>
  <c r="X359" i="8"/>
  <c r="M360" i="8" s="1"/>
  <c r="W359" i="8"/>
  <c r="L360" i="8" s="1"/>
  <c r="V359" i="8"/>
  <c r="K360" i="8" s="1"/>
  <c r="U359" i="8"/>
  <c r="J360" i="8" s="1"/>
  <c r="T359" i="8"/>
  <c r="I360" i="8" s="1"/>
  <c r="Q359" i="8"/>
  <c r="R359" i="8" s="1"/>
  <c r="P359" i="8"/>
  <c r="Y359" i="8" s="1"/>
  <c r="N360" i="8" l="1"/>
  <c r="O360" i="8" s="1"/>
  <c r="N40" i="6"/>
  <c r="O40" i="6" s="1"/>
  <c r="U40" i="6" l="1"/>
  <c r="J41" i="6" s="1"/>
  <c r="X40" i="6"/>
  <c r="M41" i="6" s="1"/>
  <c r="W40" i="6"/>
  <c r="L41" i="6" s="1"/>
  <c r="V40" i="6"/>
  <c r="K41" i="6" s="1"/>
  <c r="T40" i="6"/>
  <c r="I41" i="6" s="1"/>
  <c r="Q40" i="6"/>
  <c r="R40" i="6" s="1"/>
  <c r="P40" i="6"/>
  <c r="Y40" i="6" s="1"/>
  <c r="X360" i="8"/>
  <c r="M361" i="8" s="1"/>
  <c r="W360" i="8"/>
  <c r="L361" i="8" s="1"/>
  <c r="V360" i="8"/>
  <c r="K361" i="8" s="1"/>
  <c r="U360" i="8"/>
  <c r="J361" i="8" s="1"/>
  <c r="T360" i="8"/>
  <c r="I361" i="8" s="1"/>
  <c r="Q360" i="8"/>
  <c r="R360" i="8" s="1"/>
  <c r="P360" i="8"/>
  <c r="Y360" i="8" s="1"/>
  <c r="N361" i="8" l="1"/>
  <c r="O361" i="8" s="1"/>
  <c r="N41" i="6"/>
  <c r="O41" i="6" s="1"/>
  <c r="U41" i="6" l="1"/>
  <c r="J42" i="6" s="1"/>
  <c r="X41" i="6"/>
  <c r="M42" i="6" s="1"/>
  <c r="W41" i="6"/>
  <c r="L42" i="6" s="1"/>
  <c r="V41" i="6"/>
  <c r="K42" i="6" s="1"/>
  <c r="T41" i="6"/>
  <c r="I42" i="6" s="1"/>
  <c r="Q41" i="6"/>
  <c r="R41" i="6" s="1"/>
  <c r="P41" i="6"/>
  <c r="Y41" i="6" s="1"/>
  <c r="X361" i="8"/>
  <c r="M362" i="8" s="1"/>
  <c r="W361" i="8"/>
  <c r="L362" i="8" s="1"/>
  <c r="V361" i="8"/>
  <c r="K362" i="8" s="1"/>
  <c r="U361" i="8"/>
  <c r="J362" i="8" s="1"/>
  <c r="T361" i="8"/>
  <c r="I362" i="8" s="1"/>
  <c r="Q361" i="8"/>
  <c r="R361" i="8" s="1"/>
  <c r="P361" i="8"/>
  <c r="Y361" i="8" s="1"/>
  <c r="N362" i="8" l="1"/>
  <c r="O362" i="8" s="1"/>
  <c r="N42" i="6"/>
  <c r="O42" i="6" s="1"/>
  <c r="U42" i="6" l="1"/>
  <c r="J43" i="6" s="1"/>
  <c r="X42" i="6"/>
  <c r="M43" i="6" s="1"/>
  <c r="W42" i="6"/>
  <c r="L43" i="6" s="1"/>
  <c r="V42" i="6"/>
  <c r="K43" i="6" s="1"/>
  <c r="T42" i="6"/>
  <c r="I43" i="6" s="1"/>
  <c r="Q42" i="6"/>
  <c r="R42" i="6" s="1"/>
  <c r="P42" i="6"/>
  <c r="Y42" i="6" s="1"/>
  <c r="X362" i="8"/>
  <c r="M363" i="8" s="1"/>
  <c r="W362" i="8"/>
  <c r="L363" i="8" s="1"/>
  <c r="V362" i="8"/>
  <c r="K363" i="8" s="1"/>
  <c r="P362" i="8"/>
  <c r="Y362" i="8" s="1"/>
  <c r="U362" i="8"/>
  <c r="J363" i="8" s="1"/>
  <c r="Q362" i="8"/>
  <c r="R362" i="8" s="1"/>
  <c r="T362" i="8"/>
  <c r="I363" i="8" s="1"/>
  <c r="N363" i="8" l="1"/>
  <c r="O363" i="8" s="1"/>
  <c r="N43" i="6"/>
  <c r="O43" i="6" s="1"/>
  <c r="U43" i="6" l="1"/>
  <c r="J44" i="6" s="1"/>
  <c r="X43" i="6"/>
  <c r="M44" i="6" s="1"/>
  <c r="W43" i="6"/>
  <c r="L44" i="6" s="1"/>
  <c r="V43" i="6"/>
  <c r="K44" i="6" s="1"/>
  <c r="T43" i="6"/>
  <c r="I44" i="6" s="1"/>
  <c r="Q43" i="6"/>
  <c r="R43" i="6" s="1"/>
  <c r="P43" i="6"/>
  <c r="Y43" i="6" s="1"/>
  <c r="X363" i="8"/>
  <c r="M364" i="8" s="1"/>
  <c r="W363" i="8"/>
  <c r="L364" i="8" s="1"/>
  <c r="V363" i="8"/>
  <c r="K364" i="8" s="1"/>
  <c r="T363" i="8"/>
  <c r="I364" i="8" s="1"/>
  <c r="Q363" i="8"/>
  <c r="R363" i="8" s="1"/>
  <c r="P363" i="8"/>
  <c r="Y363" i="8" s="1"/>
  <c r="U363" i="8"/>
  <c r="J364" i="8" s="1"/>
  <c r="N364" i="8" l="1"/>
  <c r="O364" i="8" s="1"/>
  <c r="N44" i="6"/>
  <c r="O44" i="6" s="1"/>
  <c r="U44" i="6" l="1"/>
  <c r="J45" i="6" s="1"/>
  <c r="X44" i="6"/>
  <c r="M45" i="6" s="1"/>
  <c r="W44" i="6"/>
  <c r="L45" i="6" s="1"/>
  <c r="V44" i="6"/>
  <c r="K45" i="6" s="1"/>
  <c r="T44" i="6"/>
  <c r="I45" i="6" s="1"/>
  <c r="Q44" i="6"/>
  <c r="R44" i="6" s="1"/>
  <c r="P44" i="6"/>
  <c r="Y44" i="6" s="1"/>
  <c r="X364" i="8"/>
  <c r="M365" i="8" s="1"/>
  <c r="W364" i="8"/>
  <c r="L365" i="8" s="1"/>
  <c r="V364" i="8"/>
  <c r="K365" i="8" s="1"/>
  <c r="U364" i="8"/>
  <c r="J365" i="8" s="1"/>
  <c r="T364" i="8"/>
  <c r="I365" i="8" s="1"/>
  <c r="P364" i="8"/>
  <c r="Y364" i="8" s="1"/>
  <c r="Q364" i="8"/>
  <c r="R364" i="8" s="1"/>
  <c r="N365" i="8" l="1"/>
  <c r="O365" i="8" s="1"/>
  <c r="N45" i="6"/>
  <c r="O45" i="6" s="1"/>
  <c r="U45" i="6" l="1"/>
  <c r="J46" i="6" s="1"/>
  <c r="X45" i="6"/>
  <c r="M46" i="6" s="1"/>
  <c r="W45" i="6"/>
  <c r="L46" i="6" s="1"/>
  <c r="V45" i="6"/>
  <c r="K46" i="6" s="1"/>
  <c r="T45" i="6"/>
  <c r="I46" i="6" s="1"/>
  <c r="Q45" i="6"/>
  <c r="R45" i="6" s="1"/>
  <c r="P45" i="6"/>
  <c r="Y45" i="6" s="1"/>
  <c r="X365" i="8"/>
  <c r="M366" i="8" s="1"/>
  <c r="W365" i="8"/>
  <c r="L366" i="8" s="1"/>
  <c r="V365" i="8"/>
  <c r="K366" i="8" s="1"/>
  <c r="Q365" i="8"/>
  <c r="R365" i="8" s="1"/>
  <c r="P365" i="8"/>
  <c r="Y365" i="8" s="1"/>
  <c r="T365" i="8"/>
  <c r="I366" i="8" s="1"/>
  <c r="U365" i="8"/>
  <c r="J366" i="8" s="1"/>
  <c r="N366" i="8" l="1"/>
  <c r="O366" i="8" s="1"/>
  <c r="N46" i="6"/>
  <c r="O46" i="6" s="1"/>
  <c r="U46" i="6" l="1"/>
  <c r="J47" i="6" s="1"/>
  <c r="T46" i="6"/>
  <c r="I47" i="6" s="1"/>
  <c r="P46" i="6"/>
  <c r="Y46" i="6" s="1"/>
  <c r="X46" i="6"/>
  <c r="M47" i="6" s="1"/>
  <c r="W46" i="6"/>
  <c r="L47" i="6" s="1"/>
  <c r="V46" i="6"/>
  <c r="K47" i="6" s="1"/>
  <c r="Q46" i="6"/>
  <c r="R46" i="6" s="1"/>
  <c r="X366" i="8"/>
  <c r="M367" i="8" s="1"/>
  <c r="W366" i="8"/>
  <c r="L367" i="8" s="1"/>
  <c r="V366" i="8"/>
  <c r="K367" i="8" s="1"/>
  <c r="U366" i="8"/>
  <c r="J367" i="8" s="1"/>
  <c r="T366" i="8"/>
  <c r="I367" i="8" s="1"/>
  <c r="Q366" i="8"/>
  <c r="R366" i="8" s="1"/>
  <c r="P366" i="8"/>
  <c r="Y366" i="8" s="1"/>
  <c r="N47" i="6" l="1"/>
  <c r="O47" i="6" s="1"/>
  <c r="N367" i="8"/>
  <c r="O367" i="8" s="1"/>
  <c r="X367" i="8" l="1"/>
  <c r="M368" i="8" s="1"/>
  <c r="W367" i="8"/>
  <c r="L368" i="8" s="1"/>
  <c r="V367" i="8"/>
  <c r="K368" i="8" s="1"/>
  <c r="U367" i="8"/>
  <c r="J368" i="8" s="1"/>
  <c r="Q367" i="8"/>
  <c r="R367" i="8" s="1"/>
  <c r="P367" i="8"/>
  <c r="Y367" i="8" s="1"/>
  <c r="T367" i="8"/>
  <c r="I368" i="8" s="1"/>
  <c r="U47" i="6"/>
  <c r="J48" i="6" s="1"/>
  <c r="T47" i="6"/>
  <c r="I48" i="6" s="1"/>
  <c r="Q47" i="6"/>
  <c r="R47" i="6" s="1"/>
  <c r="P47" i="6"/>
  <c r="Y47" i="6" s="1"/>
  <c r="W47" i="6"/>
  <c r="L48" i="6" s="1"/>
  <c r="V47" i="6"/>
  <c r="K48" i="6" s="1"/>
  <c r="X47" i="6"/>
  <c r="M48" i="6" s="1"/>
  <c r="N48" i="6" l="1"/>
  <c r="O48" i="6" s="1"/>
  <c r="N368" i="8"/>
  <c r="O368" i="8" s="1"/>
  <c r="X368" i="8" l="1"/>
  <c r="M369" i="8" s="1"/>
  <c r="W368" i="8"/>
  <c r="L369" i="8" s="1"/>
  <c r="V368" i="8"/>
  <c r="K369" i="8" s="1"/>
  <c r="U368" i="8"/>
  <c r="J369" i="8" s="1"/>
  <c r="T368" i="8"/>
  <c r="I369" i="8" s="1"/>
  <c r="Q368" i="8"/>
  <c r="R368" i="8" s="1"/>
  <c r="P368" i="8"/>
  <c r="Y368" i="8" s="1"/>
  <c r="U48" i="6"/>
  <c r="J49" i="6" s="1"/>
  <c r="T48" i="6"/>
  <c r="I49" i="6" s="1"/>
  <c r="Q48" i="6"/>
  <c r="R48" i="6" s="1"/>
  <c r="P48" i="6"/>
  <c r="Y48" i="6" s="1"/>
  <c r="X48" i="6"/>
  <c r="M49" i="6" s="1"/>
  <c r="W48" i="6"/>
  <c r="L49" i="6" s="1"/>
  <c r="V48" i="6"/>
  <c r="K49" i="6" s="1"/>
  <c r="N49" i="6" l="1"/>
  <c r="O49" i="6" s="1"/>
  <c r="N369" i="8"/>
  <c r="O369" i="8" s="1"/>
  <c r="X369" i="8" l="1"/>
  <c r="M370" i="8" s="1"/>
  <c r="W369" i="8"/>
  <c r="L370" i="8" s="1"/>
  <c r="T369" i="8"/>
  <c r="I370" i="8" s="1"/>
  <c r="U369" i="8"/>
  <c r="J370" i="8" s="1"/>
  <c r="V369" i="8"/>
  <c r="K370" i="8" s="1"/>
  <c r="Q369" i="8"/>
  <c r="R369" i="8" s="1"/>
  <c r="P369" i="8"/>
  <c r="Y369" i="8" s="1"/>
  <c r="U49" i="6"/>
  <c r="J50" i="6" s="1"/>
  <c r="T49" i="6"/>
  <c r="I50" i="6" s="1"/>
  <c r="Q49" i="6"/>
  <c r="R49" i="6" s="1"/>
  <c r="P49" i="6"/>
  <c r="Y49" i="6" s="1"/>
  <c r="X49" i="6"/>
  <c r="M50" i="6" s="1"/>
  <c r="W49" i="6"/>
  <c r="L50" i="6" s="1"/>
  <c r="V49" i="6"/>
  <c r="K50" i="6" s="1"/>
  <c r="N50" i="6" l="1"/>
  <c r="O50" i="6" s="1"/>
  <c r="N370" i="8"/>
  <c r="O370" i="8" s="1"/>
  <c r="X370" i="8" l="1"/>
  <c r="M371" i="8" s="1"/>
  <c r="W370" i="8"/>
  <c r="L371" i="8" s="1"/>
  <c r="T370" i="8"/>
  <c r="I371" i="8" s="1"/>
  <c r="P370" i="8"/>
  <c r="Y370" i="8" s="1"/>
  <c r="V370" i="8"/>
  <c r="K371" i="8" s="1"/>
  <c r="U370" i="8"/>
  <c r="J371" i="8" s="1"/>
  <c r="Q370" i="8"/>
  <c r="R370" i="8" s="1"/>
  <c r="U50" i="6"/>
  <c r="J51" i="6" s="1"/>
  <c r="T50" i="6"/>
  <c r="I51" i="6" s="1"/>
  <c r="Q50" i="6"/>
  <c r="R50" i="6" s="1"/>
  <c r="P50" i="6"/>
  <c r="Y50" i="6" s="1"/>
  <c r="V50" i="6"/>
  <c r="K51" i="6" s="1"/>
  <c r="X50" i="6"/>
  <c r="M51" i="6" s="1"/>
  <c r="W50" i="6"/>
  <c r="L51" i="6" s="1"/>
  <c r="N51" i="6" l="1"/>
  <c r="O51" i="6" s="1"/>
  <c r="N371" i="8"/>
  <c r="O371" i="8" s="1"/>
  <c r="X371" i="8" l="1"/>
  <c r="M372" i="8" s="1"/>
  <c r="W371" i="8"/>
  <c r="L372" i="8" s="1"/>
  <c r="T371" i="8"/>
  <c r="I372" i="8" s="1"/>
  <c r="V371" i="8"/>
  <c r="K372" i="8" s="1"/>
  <c r="U371" i="8"/>
  <c r="J372" i="8" s="1"/>
  <c r="P371" i="8"/>
  <c r="Y371" i="8" s="1"/>
  <c r="Q371" i="8"/>
  <c r="R371" i="8" s="1"/>
  <c r="U51" i="6"/>
  <c r="J52" i="6" s="1"/>
  <c r="T51" i="6"/>
  <c r="I52" i="6" s="1"/>
  <c r="Q51" i="6"/>
  <c r="R51" i="6" s="1"/>
  <c r="P51" i="6"/>
  <c r="Y51" i="6" s="1"/>
  <c r="X51" i="6"/>
  <c r="M52" i="6" s="1"/>
  <c r="W51" i="6"/>
  <c r="L52" i="6" s="1"/>
  <c r="V51" i="6"/>
  <c r="K52" i="6" s="1"/>
  <c r="N52" i="6" l="1"/>
  <c r="O52" i="6" s="1"/>
  <c r="N372" i="8"/>
  <c r="O372" i="8" s="1"/>
  <c r="X372" i="8" l="1"/>
  <c r="M373" i="8" s="1"/>
  <c r="W372" i="8"/>
  <c r="L373" i="8" s="1"/>
  <c r="T372" i="8"/>
  <c r="I373" i="8" s="1"/>
  <c r="V372" i="8"/>
  <c r="K373" i="8" s="1"/>
  <c r="U372" i="8"/>
  <c r="J373" i="8" s="1"/>
  <c r="P372" i="8"/>
  <c r="Y372" i="8" s="1"/>
  <c r="Q372" i="8"/>
  <c r="R372" i="8" s="1"/>
  <c r="U52" i="6"/>
  <c r="J53" i="6" s="1"/>
  <c r="T52" i="6"/>
  <c r="I53" i="6" s="1"/>
  <c r="Q52" i="6"/>
  <c r="R52" i="6" s="1"/>
  <c r="P52" i="6"/>
  <c r="Y52" i="6" s="1"/>
  <c r="X52" i="6"/>
  <c r="M53" i="6" s="1"/>
  <c r="W52" i="6"/>
  <c r="L53" i="6" s="1"/>
  <c r="V52" i="6"/>
  <c r="K53" i="6" s="1"/>
  <c r="N53" i="6" l="1"/>
  <c r="O53" i="6" s="1"/>
  <c r="N373" i="8"/>
  <c r="O373" i="8" s="1"/>
  <c r="X373" i="8" l="1"/>
  <c r="M374" i="8" s="1"/>
  <c r="W373" i="8"/>
  <c r="L374" i="8" s="1"/>
  <c r="T373" i="8"/>
  <c r="I374" i="8" s="1"/>
  <c r="V373" i="8"/>
  <c r="K374" i="8" s="1"/>
  <c r="U373" i="8"/>
  <c r="J374" i="8" s="1"/>
  <c r="Q373" i="8"/>
  <c r="R373" i="8" s="1"/>
  <c r="P373" i="8"/>
  <c r="Y373" i="8" s="1"/>
  <c r="U53" i="6"/>
  <c r="J54" i="6" s="1"/>
  <c r="T53" i="6"/>
  <c r="I54" i="6" s="1"/>
  <c r="Q53" i="6"/>
  <c r="R53" i="6" s="1"/>
  <c r="P53" i="6"/>
  <c r="Y53" i="6" s="1"/>
  <c r="W53" i="6"/>
  <c r="L54" i="6" s="1"/>
  <c r="V53" i="6"/>
  <c r="K54" i="6" s="1"/>
  <c r="X53" i="6"/>
  <c r="M54" i="6" s="1"/>
  <c r="N54" i="6" l="1"/>
  <c r="O54" i="6" s="1"/>
  <c r="N374" i="8"/>
  <c r="O374" i="8" s="1"/>
  <c r="X374" i="8" l="1"/>
  <c r="M375" i="8" s="1"/>
  <c r="W374" i="8"/>
  <c r="L375" i="8" s="1"/>
  <c r="T374" i="8"/>
  <c r="I375" i="8" s="1"/>
  <c r="U374" i="8"/>
  <c r="J375" i="8" s="1"/>
  <c r="Q374" i="8"/>
  <c r="R374" i="8" s="1"/>
  <c r="P374" i="8"/>
  <c r="Y374" i="8" s="1"/>
  <c r="V374" i="8"/>
  <c r="K375" i="8" s="1"/>
  <c r="U54" i="6"/>
  <c r="J55" i="6" s="1"/>
  <c r="T54" i="6"/>
  <c r="I55" i="6" s="1"/>
  <c r="Q54" i="6"/>
  <c r="R54" i="6" s="1"/>
  <c r="P54" i="6"/>
  <c r="Y54" i="6" s="1"/>
  <c r="X54" i="6"/>
  <c r="M55" i="6" s="1"/>
  <c r="W54" i="6"/>
  <c r="L55" i="6" s="1"/>
  <c r="V54" i="6"/>
  <c r="K55" i="6" s="1"/>
  <c r="N55" i="6" l="1"/>
  <c r="O55" i="6" s="1"/>
  <c r="N375" i="8"/>
  <c r="O375" i="8" s="1"/>
  <c r="X375" i="8" l="1"/>
  <c r="M376" i="8" s="1"/>
  <c r="W375" i="8"/>
  <c r="L376" i="8" s="1"/>
  <c r="T375" i="8"/>
  <c r="I376" i="8" s="1"/>
  <c r="V375" i="8"/>
  <c r="K376" i="8" s="1"/>
  <c r="U375" i="8"/>
  <c r="J376" i="8" s="1"/>
  <c r="Q375" i="8"/>
  <c r="R375" i="8" s="1"/>
  <c r="P375" i="8"/>
  <c r="Y375" i="8" s="1"/>
  <c r="U55" i="6"/>
  <c r="J56" i="6" s="1"/>
  <c r="T55" i="6"/>
  <c r="I56" i="6" s="1"/>
  <c r="Q55" i="6"/>
  <c r="R55" i="6" s="1"/>
  <c r="P55" i="6"/>
  <c r="Y55" i="6" s="1"/>
  <c r="X55" i="6"/>
  <c r="M56" i="6" s="1"/>
  <c r="W55" i="6"/>
  <c r="L56" i="6" s="1"/>
  <c r="V55" i="6"/>
  <c r="K56" i="6" s="1"/>
  <c r="N56" i="6" l="1"/>
  <c r="O56" i="6" s="1"/>
  <c r="N376" i="8"/>
  <c r="O376" i="8" s="1"/>
  <c r="X376" i="8" l="1"/>
  <c r="M377" i="8" s="1"/>
  <c r="W376" i="8"/>
  <c r="L377" i="8" s="1"/>
  <c r="T376" i="8"/>
  <c r="I377" i="8" s="1"/>
  <c r="V376" i="8"/>
  <c r="K377" i="8" s="1"/>
  <c r="U376" i="8"/>
  <c r="J377" i="8" s="1"/>
  <c r="Q376" i="8"/>
  <c r="R376" i="8" s="1"/>
  <c r="P376" i="8"/>
  <c r="Y376" i="8" s="1"/>
  <c r="U56" i="6"/>
  <c r="J57" i="6" s="1"/>
  <c r="T56" i="6"/>
  <c r="I57" i="6" s="1"/>
  <c r="Q56" i="6"/>
  <c r="R56" i="6" s="1"/>
  <c r="P56" i="6"/>
  <c r="Y56" i="6" s="1"/>
  <c r="X56" i="6"/>
  <c r="M57" i="6" s="1"/>
  <c r="W56" i="6"/>
  <c r="L57" i="6" s="1"/>
  <c r="V56" i="6"/>
  <c r="K57" i="6" s="1"/>
  <c r="N57" i="6" l="1"/>
  <c r="O57" i="6" s="1"/>
  <c r="N377" i="8"/>
  <c r="O377" i="8" s="1"/>
  <c r="X377" i="8" l="1"/>
  <c r="M378" i="8" s="1"/>
  <c r="W377" i="8"/>
  <c r="L378" i="8" s="1"/>
  <c r="T377" i="8"/>
  <c r="I378" i="8" s="1"/>
  <c r="V377" i="8"/>
  <c r="K378" i="8" s="1"/>
  <c r="U377" i="8"/>
  <c r="J378" i="8" s="1"/>
  <c r="P377" i="8"/>
  <c r="Y377" i="8" s="1"/>
  <c r="Q377" i="8"/>
  <c r="R377" i="8" s="1"/>
  <c r="U57" i="6"/>
  <c r="J58" i="6" s="1"/>
  <c r="T57" i="6"/>
  <c r="I58" i="6" s="1"/>
  <c r="Q57" i="6"/>
  <c r="R57" i="6" s="1"/>
  <c r="P57" i="6"/>
  <c r="Y57" i="6" s="1"/>
  <c r="X57" i="6"/>
  <c r="M58" i="6" s="1"/>
  <c r="W57" i="6"/>
  <c r="L58" i="6" s="1"/>
  <c r="V57" i="6"/>
  <c r="K58" i="6" s="1"/>
  <c r="N58" i="6" l="1"/>
  <c r="O58" i="6" s="1"/>
  <c r="N378" i="8"/>
  <c r="O378" i="8" s="1"/>
  <c r="X378" i="8" l="1"/>
  <c r="M379" i="8" s="1"/>
  <c r="W378" i="8"/>
  <c r="L379" i="8" s="1"/>
  <c r="T378" i="8"/>
  <c r="I379" i="8" s="1"/>
  <c r="U378" i="8"/>
  <c r="J379" i="8" s="1"/>
  <c r="V378" i="8"/>
  <c r="K379" i="8" s="1"/>
  <c r="Q378" i="8"/>
  <c r="R378" i="8" s="1"/>
  <c r="P378" i="8"/>
  <c r="Y378" i="8" s="1"/>
  <c r="U58" i="6"/>
  <c r="J59" i="6" s="1"/>
  <c r="T58" i="6"/>
  <c r="I59" i="6" s="1"/>
  <c r="Q58" i="6"/>
  <c r="R58" i="6" s="1"/>
  <c r="P58" i="6"/>
  <c r="Y58" i="6" s="1"/>
  <c r="V58" i="6"/>
  <c r="K59" i="6" s="1"/>
  <c r="X58" i="6"/>
  <c r="M59" i="6" s="1"/>
  <c r="W58" i="6"/>
  <c r="L59" i="6" s="1"/>
  <c r="N59" i="6" l="1"/>
  <c r="O59" i="6" s="1"/>
  <c r="N379" i="8"/>
  <c r="O379" i="8" s="1"/>
  <c r="X379" i="8" l="1"/>
  <c r="M380" i="8" s="1"/>
  <c r="W379" i="8"/>
  <c r="L380" i="8" s="1"/>
  <c r="T379" i="8"/>
  <c r="I380" i="8" s="1"/>
  <c r="U379" i="8"/>
  <c r="J380" i="8" s="1"/>
  <c r="Q379" i="8"/>
  <c r="R379" i="8" s="1"/>
  <c r="P379" i="8"/>
  <c r="Y379" i="8" s="1"/>
  <c r="V379" i="8"/>
  <c r="K380" i="8" s="1"/>
  <c r="U59" i="6"/>
  <c r="J60" i="6" s="1"/>
  <c r="T59" i="6"/>
  <c r="I60" i="6" s="1"/>
  <c r="Q59" i="6"/>
  <c r="R59" i="6" s="1"/>
  <c r="P59" i="6"/>
  <c r="Y59" i="6" s="1"/>
  <c r="X59" i="6"/>
  <c r="M60" i="6" s="1"/>
  <c r="W59" i="6"/>
  <c r="L60" i="6" s="1"/>
  <c r="V59" i="6"/>
  <c r="K60" i="6" s="1"/>
  <c r="N60" i="6" l="1"/>
  <c r="O60" i="6" s="1"/>
  <c r="N380" i="8"/>
  <c r="O380" i="8" s="1"/>
  <c r="X380" i="8" l="1"/>
  <c r="M381" i="8" s="1"/>
  <c r="W380" i="8"/>
  <c r="L381" i="8" s="1"/>
  <c r="T380" i="8"/>
  <c r="I381" i="8" s="1"/>
  <c r="V380" i="8"/>
  <c r="K381" i="8" s="1"/>
  <c r="U380" i="8"/>
  <c r="J381" i="8" s="1"/>
  <c r="P380" i="8"/>
  <c r="Y380" i="8" s="1"/>
  <c r="Q380" i="8"/>
  <c r="R380" i="8" s="1"/>
  <c r="U60" i="6"/>
  <c r="J61" i="6" s="1"/>
  <c r="T60" i="6"/>
  <c r="I61" i="6" s="1"/>
  <c r="Q60" i="6"/>
  <c r="R60" i="6" s="1"/>
  <c r="P60" i="6"/>
  <c r="Y60" i="6" s="1"/>
  <c r="X60" i="6"/>
  <c r="M61" i="6" s="1"/>
  <c r="W60" i="6"/>
  <c r="L61" i="6" s="1"/>
  <c r="V60" i="6"/>
  <c r="K61" i="6" s="1"/>
  <c r="N61" i="6" l="1"/>
  <c r="O61" i="6" s="1"/>
  <c r="N381" i="8"/>
  <c r="O381" i="8" s="1"/>
  <c r="X381" i="8" l="1"/>
  <c r="M382" i="8" s="1"/>
  <c r="W381" i="8"/>
  <c r="L382" i="8" s="1"/>
  <c r="T381" i="8"/>
  <c r="I382" i="8" s="1"/>
  <c r="P381" i="8"/>
  <c r="Y381" i="8" s="1"/>
  <c r="V381" i="8"/>
  <c r="K382" i="8" s="1"/>
  <c r="U381" i="8"/>
  <c r="J382" i="8" s="1"/>
  <c r="Q381" i="8"/>
  <c r="R381" i="8" s="1"/>
  <c r="U61" i="6"/>
  <c r="J62" i="6" s="1"/>
  <c r="T61" i="6"/>
  <c r="I62" i="6" s="1"/>
  <c r="Q61" i="6"/>
  <c r="R61" i="6" s="1"/>
  <c r="P61" i="6"/>
  <c r="Y61" i="6" s="1"/>
  <c r="X61" i="6"/>
  <c r="M62" i="6" s="1"/>
  <c r="W61" i="6"/>
  <c r="L62" i="6" s="1"/>
  <c r="V61" i="6"/>
  <c r="K62" i="6" s="1"/>
  <c r="N382" i="8" l="1"/>
  <c r="O382" i="8" s="1"/>
  <c r="N62" i="6"/>
  <c r="O62" i="6" s="1"/>
  <c r="U62" i="6" l="1"/>
  <c r="J63" i="6" s="1"/>
  <c r="T62" i="6"/>
  <c r="I63" i="6" s="1"/>
  <c r="Q62" i="6"/>
  <c r="R62" i="6" s="1"/>
  <c r="P62" i="6"/>
  <c r="Y62" i="6" s="1"/>
  <c r="X62" i="6"/>
  <c r="M63" i="6" s="1"/>
  <c r="W62" i="6"/>
  <c r="L63" i="6" s="1"/>
  <c r="V62" i="6"/>
  <c r="K63" i="6" s="1"/>
  <c r="X382" i="8"/>
  <c r="M383" i="8" s="1"/>
  <c r="W382" i="8"/>
  <c r="L383" i="8" s="1"/>
  <c r="T382" i="8"/>
  <c r="I383" i="8" s="1"/>
  <c r="V382" i="8"/>
  <c r="K383" i="8" s="1"/>
  <c r="U382" i="8"/>
  <c r="J383" i="8" s="1"/>
  <c r="Q382" i="8"/>
  <c r="R382" i="8" s="1"/>
  <c r="P382" i="8"/>
  <c r="Y382" i="8" s="1"/>
  <c r="N383" i="8" l="1"/>
  <c r="O383" i="8" s="1"/>
  <c r="N63" i="6"/>
  <c r="O63" i="6" s="1"/>
  <c r="U63" i="6" l="1"/>
  <c r="J64" i="6" s="1"/>
  <c r="T63" i="6"/>
  <c r="I64" i="6" s="1"/>
  <c r="Q63" i="6"/>
  <c r="R63" i="6" s="1"/>
  <c r="P63" i="6"/>
  <c r="Y63" i="6" s="1"/>
  <c r="X63" i="6"/>
  <c r="M64" i="6" s="1"/>
  <c r="W63" i="6"/>
  <c r="L64" i="6" s="1"/>
  <c r="V63" i="6"/>
  <c r="K64" i="6" s="1"/>
  <c r="X383" i="8"/>
  <c r="M384" i="8" s="1"/>
  <c r="W383" i="8"/>
  <c r="L384" i="8" s="1"/>
  <c r="T383" i="8"/>
  <c r="I384" i="8" s="1"/>
  <c r="V383" i="8"/>
  <c r="K384" i="8" s="1"/>
  <c r="U383" i="8"/>
  <c r="J384" i="8" s="1"/>
  <c r="Q383" i="8"/>
  <c r="R383" i="8" s="1"/>
  <c r="P383" i="8"/>
  <c r="Y383" i="8" s="1"/>
  <c r="N384" i="8" l="1"/>
  <c r="O384" i="8" s="1"/>
  <c r="N64" i="6"/>
  <c r="O64" i="6" s="1"/>
  <c r="U64" i="6" l="1"/>
  <c r="J65" i="6" s="1"/>
  <c r="T64" i="6"/>
  <c r="I65" i="6" s="1"/>
  <c r="Q64" i="6"/>
  <c r="R64" i="6" s="1"/>
  <c r="P64" i="6"/>
  <c r="Y64" i="6" s="1"/>
  <c r="X64" i="6"/>
  <c r="M65" i="6" s="1"/>
  <c r="W64" i="6"/>
  <c r="L65" i="6" s="1"/>
  <c r="V64" i="6"/>
  <c r="K65" i="6" s="1"/>
  <c r="X384" i="8"/>
  <c r="M385" i="8" s="1"/>
  <c r="W384" i="8"/>
  <c r="L385" i="8" s="1"/>
  <c r="T384" i="8"/>
  <c r="I385" i="8" s="1"/>
  <c r="V384" i="8"/>
  <c r="K385" i="8" s="1"/>
  <c r="U384" i="8"/>
  <c r="J385" i="8" s="1"/>
  <c r="Q384" i="8"/>
  <c r="R384" i="8" s="1"/>
  <c r="P384" i="8"/>
  <c r="Y384" i="8" s="1"/>
  <c r="N385" i="8" l="1"/>
  <c r="O385" i="8" s="1"/>
  <c r="N65" i="6"/>
  <c r="O65" i="6" s="1"/>
  <c r="U65" i="6" l="1"/>
  <c r="J66" i="6" s="1"/>
  <c r="T65" i="6"/>
  <c r="I66" i="6" s="1"/>
  <c r="Q65" i="6"/>
  <c r="R65" i="6" s="1"/>
  <c r="P65" i="6"/>
  <c r="Y65" i="6" s="1"/>
  <c r="X65" i="6"/>
  <c r="M66" i="6" s="1"/>
  <c r="W65" i="6"/>
  <c r="L66" i="6" s="1"/>
  <c r="V65" i="6"/>
  <c r="K66" i="6" s="1"/>
  <c r="X385" i="8"/>
  <c r="M386" i="8" s="1"/>
  <c r="W385" i="8"/>
  <c r="L386" i="8" s="1"/>
  <c r="T385" i="8"/>
  <c r="I386" i="8" s="1"/>
  <c r="V385" i="8"/>
  <c r="K386" i="8" s="1"/>
  <c r="U385" i="8"/>
  <c r="J386" i="8" s="1"/>
  <c r="P385" i="8"/>
  <c r="Y385" i="8" s="1"/>
  <c r="Q385" i="8"/>
  <c r="R385" i="8" s="1"/>
  <c r="N386" i="8" l="1"/>
  <c r="O386" i="8" s="1"/>
  <c r="N66" i="6"/>
  <c r="O66" i="6" s="1"/>
  <c r="U66" i="6" l="1"/>
  <c r="J67" i="6" s="1"/>
  <c r="T66" i="6"/>
  <c r="I67" i="6" s="1"/>
  <c r="Q66" i="6"/>
  <c r="R66" i="6" s="1"/>
  <c r="P66" i="6"/>
  <c r="Y66" i="6" s="1"/>
  <c r="X66" i="6"/>
  <c r="M67" i="6" s="1"/>
  <c r="W66" i="6"/>
  <c r="L67" i="6" s="1"/>
  <c r="V66" i="6"/>
  <c r="K67" i="6" s="1"/>
  <c r="X386" i="8"/>
  <c r="M387" i="8" s="1"/>
  <c r="W386" i="8"/>
  <c r="L387" i="8" s="1"/>
  <c r="T386" i="8"/>
  <c r="I387" i="8" s="1"/>
  <c r="V386" i="8"/>
  <c r="K387" i="8" s="1"/>
  <c r="U386" i="8"/>
  <c r="J387" i="8" s="1"/>
  <c r="Q386" i="8"/>
  <c r="R386" i="8" s="1"/>
  <c r="P386" i="8"/>
  <c r="Y386" i="8" s="1"/>
  <c r="N387" i="8" l="1"/>
  <c r="O387" i="8" s="1"/>
  <c r="N67" i="6"/>
  <c r="O67" i="6" s="1"/>
  <c r="U67" i="6" l="1"/>
  <c r="J68" i="6" s="1"/>
  <c r="T67" i="6"/>
  <c r="I68" i="6" s="1"/>
  <c r="Q67" i="6"/>
  <c r="R67" i="6" s="1"/>
  <c r="P67" i="6"/>
  <c r="Y67" i="6" s="1"/>
  <c r="X67" i="6"/>
  <c r="M68" i="6" s="1"/>
  <c r="W67" i="6"/>
  <c r="L68" i="6" s="1"/>
  <c r="V67" i="6"/>
  <c r="K68" i="6" s="1"/>
  <c r="X387" i="8"/>
  <c r="M388" i="8" s="1"/>
  <c r="W387" i="8"/>
  <c r="L388" i="8" s="1"/>
  <c r="T387" i="8"/>
  <c r="I388" i="8" s="1"/>
  <c r="V387" i="8"/>
  <c r="K388" i="8" s="1"/>
  <c r="U387" i="8"/>
  <c r="J388" i="8" s="1"/>
  <c r="Q387" i="8"/>
  <c r="R387" i="8" s="1"/>
  <c r="P387" i="8"/>
  <c r="Y387" i="8" s="1"/>
  <c r="N388" i="8" l="1"/>
  <c r="O388" i="8" s="1"/>
  <c r="N68" i="6"/>
  <c r="O68" i="6" s="1"/>
  <c r="U68" i="6" l="1"/>
  <c r="J69" i="6" s="1"/>
  <c r="T68" i="6"/>
  <c r="I69" i="6" s="1"/>
  <c r="Q68" i="6"/>
  <c r="R68" i="6" s="1"/>
  <c r="P68" i="6"/>
  <c r="Y68" i="6" s="1"/>
  <c r="W68" i="6"/>
  <c r="L69" i="6" s="1"/>
  <c r="V68" i="6"/>
  <c r="K69" i="6" s="1"/>
  <c r="X68" i="6"/>
  <c r="M69" i="6" s="1"/>
  <c r="X388" i="8"/>
  <c r="M389" i="8" s="1"/>
  <c r="W388" i="8"/>
  <c r="L389" i="8" s="1"/>
  <c r="T388" i="8"/>
  <c r="I389" i="8" s="1"/>
  <c r="V388" i="8"/>
  <c r="K389" i="8" s="1"/>
  <c r="U388" i="8"/>
  <c r="J389" i="8" s="1"/>
  <c r="Q388" i="8"/>
  <c r="R388" i="8" s="1"/>
  <c r="P388" i="8"/>
  <c r="Y388" i="8" s="1"/>
  <c r="N389" i="8" l="1"/>
  <c r="O389" i="8" s="1"/>
  <c r="N69" i="6"/>
  <c r="O69" i="6" s="1"/>
  <c r="U69" i="6" l="1"/>
  <c r="J70" i="6" s="1"/>
  <c r="T69" i="6"/>
  <c r="I70" i="6" s="1"/>
  <c r="Q69" i="6"/>
  <c r="R69" i="6" s="1"/>
  <c r="P69" i="6"/>
  <c r="Y69" i="6" s="1"/>
  <c r="X69" i="6"/>
  <c r="M70" i="6" s="1"/>
  <c r="W69" i="6"/>
  <c r="L70" i="6" s="1"/>
  <c r="V69" i="6"/>
  <c r="K70" i="6" s="1"/>
  <c r="X389" i="8"/>
  <c r="M390" i="8" s="1"/>
  <c r="W389" i="8"/>
  <c r="L390" i="8" s="1"/>
  <c r="T389" i="8"/>
  <c r="I390" i="8" s="1"/>
  <c r="V389" i="8"/>
  <c r="K390" i="8" s="1"/>
  <c r="P389" i="8"/>
  <c r="Y389" i="8" s="1"/>
  <c r="Q389" i="8"/>
  <c r="R389" i="8" s="1"/>
  <c r="U389" i="8"/>
  <c r="J390" i="8" s="1"/>
  <c r="N390" i="8" l="1"/>
  <c r="O390" i="8" s="1"/>
  <c r="N70" i="6"/>
  <c r="O70" i="6" s="1"/>
  <c r="U70" i="6" l="1"/>
  <c r="J71" i="6" s="1"/>
  <c r="T70" i="6"/>
  <c r="I71" i="6" s="1"/>
  <c r="Q70" i="6"/>
  <c r="R70" i="6" s="1"/>
  <c r="P70" i="6"/>
  <c r="Y70" i="6" s="1"/>
  <c r="X70" i="6"/>
  <c r="M71" i="6" s="1"/>
  <c r="W70" i="6"/>
  <c r="L71" i="6" s="1"/>
  <c r="V70" i="6"/>
  <c r="K71" i="6" s="1"/>
  <c r="X390" i="8"/>
  <c r="M391" i="8" s="1"/>
  <c r="W390" i="8"/>
  <c r="L391" i="8" s="1"/>
  <c r="T390" i="8"/>
  <c r="I391" i="8" s="1"/>
  <c r="V390" i="8"/>
  <c r="K391" i="8" s="1"/>
  <c r="U390" i="8"/>
  <c r="J391" i="8" s="1"/>
  <c r="Q390" i="8"/>
  <c r="R390" i="8" s="1"/>
  <c r="P390" i="8"/>
  <c r="Y390" i="8" s="1"/>
  <c r="N391" i="8" l="1"/>
  <c r="O391" i="8" s="1"/>
  <c r="N71" i="6"/>
  <c r="O71" i="6" s="1"/>
  <c r="U71" i="6" l="1"/>
  <c r="J72" i="6" s="1"/>
  <c r="T71" i="6"/>
  <c r="I72" i="6" s="1"/>
  <c r="Q71" i="6"/>
  <c r="R71" i="6" s="1"/>
  <c r="P71" i="6"/>
  <c r="Y71" i="6" s="1"/>
  <c r="X71" i="6"/>
  <c r="M72" i="6" s="1"/>
  <c r="W71" i="6"/>
  <c r="L72" i="6" s="1"/>
  <c r="V71" i="6"/>
  <c r="K72" i="6" s="1"/>
  <c r="P391" i="8"/>
  <c r="Y391" i="8" s="1"/>
  <c r="V391" i="8"/>
  <c r="K392" i="8" s="1"/>
  <c r="U391" i="8"/>
  <c r="J392" i="8" s="1"/>
  <c r="X391" i="8"/>
  <c r="M392" i="8" s="1"/>
  <c r="W391" i="8"/>
  <c r="L392" i="8" s="1"/>
  <c r="T391" i="8"/>
  <c r="I392" i="8" s="1"/>
  <c r="Q391" i="8"/>
  <c r="R391" i="8" s="1"/>
  <c r="N392" i="8" l="1"/>
  <c r="O392" i="8" s="1"/>
  <c r="N72" i="6"/>
  <c r="O72" i="6" s="1"/>
  <c r="U72" i="6" l="1"/>
  <c r="J73" i="6" s="1"/>
  <c r="T72" i="6"/>
  <c r="I73" i="6" s="1"/>
  <c r="Q72" i="6"/>
  <c r="R72" i="6" s="1"/>
  <c r="P72" i="6"/>
  <c r="Y72" i="6" s="1"/>
  <c r="X72" i="6"/>
  <c r="M73" i="6" s="1"/>
  <c r="W72" i="6"/>
  <c r="L73" i="6" s="1"/>
  <c r="V72" i="6"/>
  <c r="K73" i="6" s="1"/>
  <c r="P392" i="8"/>
  <c r="Y392" i="8" s="1"/>
  <c r="X392" i="8"/>
  <c r="M393" i="8" s="1"/>
  <c r="W392" i="8"/>
  <c r="L393" i="8" s="1"/>
  <c r="V392" i="8"/>
  <c r="K393" i="8" s="1"/>
  <c r="U392" i="8"/>
  <c r="J393" i="8" s="1"/>
  <c r="T392" i="8"/>
  <c r="I393" i="8" s="1"/>
  <c r="Q392" i="8"/>
  <c r="R392" i="8" s="1"/>
  <c r="N393" i="8" l="1"/>
  <c r="O393" i="8" s="1"/>
  <c r="N73" i="6"/>
  <c r="O73" i="6" s="1"/>
  <c r="U73" i="6" l="1"/>
  <c r="J74" i="6" s="1"/>
  <c r="T73" i="6"/>
  <c r="I74" i="6" s="1"/>
  <c r="Q73" i="6"/>
  <c r="R73" i="6" s="1"/>
  <c r="P73" i="6"/>
  <c r="Y73" i="6" s="1"/>
  <c r="X73" i="6"/>
  <c r="M74" i="6" s="1"/>
  <c r="W73" i="6"/>
  <c r="L74" i="6" s="1"/>
  <c r="V73" i="6"/>
  <c r="K74" i="6" s="1"/>
  <c r="P393" i="8"/>
  <c r="Y393" i="8" s="1"/>
  <c r="Q393" i="8"/>
  <c r="R393" i="8" s="1"/>
  <c r="X393" i="8"/>
  <c r="M394" i="8" s="1"/>
  <c r="W393" i="8"/>
  <c r="L394" i="8" s="1"/>
  <c r="V393" i="8"/>
  <c r="K394" i="8" s="1"/>
  <c r="U393" i="8"/>
  <c r="J394" i="8" s="1"/>
  <c r="T393" i="8"/>
  <c r="I394" i="8" s="1"/>
  <c r="N394" i="8" l="1"/>
  <c r="O394" i="8" s="1"/>
  <c r="N74" i="6"/>
  <c r="O74" i="6" s="1"/>
  <c r="U74" i="6" l="1"/>
  <c r="J75" i="6" s="1"/>
  <c r="T74" i="6"/>
  <c r="I75" i="6" s="1"/>
  <c r="Q74" i="6"/>
  <c r="R74" i="6" s="1"/>
  <c r="P74" i="6"/>
  <c r="Y74" i="6" s="1"/>
  <c r="X74" i="6"/>
  <c r="M75" i="6" s="1"/>
  <c r="W74" i="6"/>
  <c r="L75" i="6" s="1"/>
  <c r="V74" i="6"/>
  <c r="K75" i="6" s="1"/>
  <c r="P394" i="8"/>
  <c r="Y394" i="8" s="1"/>
  <c r="U394" i="8"/>
  <c r="J395" i="8" s="1"/>
  <c r="T394" i="8"/>
  <c r="I395" i="8" s="1"/>
  <c r="Q394" i="8"/>
  <c r="R394" i="8" s="1"/>
  <c r="X394" i="8"/>
  <c r="M395" i="8" s="1"/>
  <c r="W394" i="8"/>
  <c r="L395" i="8" s="1"/>
  <c r="V394" i="8"/>
  <c r="K395" i="8" s="1"/>
  <c r="N395" i="8" l="1"/>
  <c r="O395" i="8" s="1"/>
  <c r="N75" i="6"/>
  <c r="O75" i="6" s="1"/>
  <c r="U75" i="6" l="1"/>
  <c r="J76" i="6" s="1"/>
  <c r="T75" i="6"/>
  <c r="I76" i="6" s="1"/>
  <c r="Q75" i="6"/>
  <c r="R75" i="6" s="1"/>
  <c r="P75" i="6"/>
  <c r="Y75" i="6" s="1"/>
  <c r="X75" i="6"/>
  <c r="M76" i="6" s="1"/>
  <c r="W75" i="6"/>
  <c r="L76" i="6" s="1"/>
  <c r="V75" i="6"/>
  <c r="K76" i="6" s="1"/>
  <c r="P395" i="8"/>
  <c r="Y395" i="8" s="1"/>
  <c r="W395" i="8"/>
  <c r="L396" i="8" s="1"/>
  <c r="V395" i="8"/>
  <c r="K396" i="8" s="1"/>
  <c r="U395" i="8"/>
  <c r="J396" i="8" s="1"/>
  <c r="T395" i="8"/>
  <c r="I396" i="8" s="1"/>
  <c r="Q395" i="8"/>
  <c r="R395" i="8" s="1"/>
  <c r="X395" i="8"/>
  <c r="M396" i="8" s="1"/>
  <c r="N396" i="8" l="1"/>
  <c r="O396" i="8" s="1"/>
  <c r="N76" i="6"/>
  <c r="O76" i="6" s="1"/>
  <c r="U76" i="6" l="1"/>
  <c r="J77" i="6" s="1"/>
  <c r="T76" i="6"/>
  <c r="I77" i="6" s="1"/>
  <c r="Q76" i="6"/>
  <c r="R76" i="6" s="1"/>
  <c r="P76" i="6"/>
  <c r="Y76" i="6" s="1"/>
  <c r="X76" i="6"/>
  <c r="M77" i="6" s="1"/>
  <c r="W76" i="6"/>
  <c r="L77" i="6" s="1"/>
  <c r="V76" i="6"/>
  <c r="K77" i="6" s="1"/>
  <c r="P396" i="8"/>
  <c r="Y396" i="8" s="1"/>
  <c r="X396" i="8"/>
  <c r="M397" i="8" s="1"/>
  <c r="W396" i="8"/>
  <c r="L397" i="8" s="1"/>
  <c r="V396" i="8"/>
  <c r="K397" i="8" s="1"/>
  <c r="T396" i="8"/>
  <c r="I397" i="8" s="1"/>
  <c r="U396" i="8"/>
  <c r="J397" i="8" s="1"/>
  <c r="Q396" i="8"/>
  <c r="R396" i="8" s="1"/>
  <c r="N77" i="6" l="1"/>
  <c r="O77" i="6" s="1"/>
  <c r="N397" i="8"/>
  <c r="O397" i="8" s="1"/>
  <c r="P397" i="8" l="1"/>
  <c r="Y397" i="8" s="1"/>
  <c r="X397" i="8"/>
  <c r="M398" i="8" s="1"/>
  <c r="V397" i="8"/>
  <c r="K398" i="8" s="1"/>
  <c r="U397" i="8"/>
  <c r="J398" i="8" s="1"/>
  <c r="Q397" i="8"/>
  <c r="R397" i="8" s="1"/>
  <c r="W397" i="8"/>
  <c r="L398" i="8" s="1"/>
  <c r="T397" i="8"/>
  <c r="I398" i="8" s="1"/>
  <c r="U77" i="6"/>
  <c r="J78" i="6" s="1"/>
  <c r="T77" i="6"/>
  <c r="I78" i="6" s="1"/>
  <c r="Q77" i="6"/>
  <c r="R77" i="6" s="1"/>
  <c r="P77" i="6"/>
  <c r="Y77" i="6" s="1"/>
  <c r="X77" i="6"/>
  <c r="M78" i="6" s="1"/>
  <c r="W77" i="6"/>
  <c r="L78" i="6" s="1"/>
  <c r="V77" i="6"/>
  <c r="K78" i="6" s="1"/>
  <c r="N398" i="8" l="1"/>
  <c r="O398" i="8" s="1"/>
  <c r="N78" i="6"/>
  <c r="O78" i="6" s="1"/>
  <c r="U78" i="6" l="1"/>
  <c r="J79" i="6" s="1"/>
  <c r="T78" i="6"/>
  <c r="I79" i="6" s="1"/>
  <c r="Q78" i="6"/>
  <c r="R78" i="6" s="1"/>
  <c r="P78" i="6"/>
  <c r="Y78" i="6" s="1"/>
  <c r="X78" i="6"/>
  <c r="M79" i="6" s="1"/>
  <c r="W78" i="6"/>
  <c r="L79" i="6" s="1"/>
  <c r="V78" i="6"/>
  <c r="K79" i="6" s="1"/>
  <c r="Q398" i="8"/>
  <c r="R398" i="8" s="1"/>
  <c r="P398" i="8"/>
  <c r="Y398" i="8" s="1"/>
  <c r="X398" i="8"/>
  <c r="M399" i="8" s="1"/>
  <c r="U398" i="8"/>
  <c r="J399" i="8" s="1"/>
  <c r="T398" i="8"/>
  <c r="I399" i="8" s="1"/>
  <c r="W398" i="8"/>
  <c r="L399" i="8" s="1"/>
  <c r="V398" i="8"/>
  <c r="K399" i="8" s="1"/>
  <c r="N399" i="8" l="1"/>
  <c r="O399" i="8" s="1"/>
  <c r="N79" i="6"/>
  <c r="O79" i="6" s="1"/>
  <c r="U79" i="6" l="1"/>
  <c r="J80" i="6" s="1"/>
  <c r="T79" i="6"/>
  <c r="I80" i="6" s="1"/>
  <c r="Q79" i="6"/>
  <c r="R79" i="6" s="1"/>
  <c r="P79" i="6"/>
  <c r="Y79" i="6" s="1"/>
  <c r="X79" i="6"/>
  <c r="M80" i="6" s="1"/>
  <c r="W79" i="6"/>
  <c r="L80" i="6" s="1"/>
  <c r="V79" i="6"/>
  <c r="K80" i="6" s="1"/>
  <c r="Q399" i="8"/>
  <c r="R399" i="8" s="1"/>
  <c r="P399" i="8"/>
  <c r="Y399" i="8" s="1"/>
  <c r="X399" i="8"/>
  <c r="M400" i="8" s="1"/>
  <c r="W399" i="8"/>
  <c r="L400" i="8" s="1"/>
  <c r="V399" i="8"/>
  <c r="K400" i="8" s="1"/>
  <c r="U399" i="8"/>
  <c r="J400" i="8" s="1"/>
  <c r="T399" i="8"/>
  <c r="I400" i="8" s="1"/>
  <c r="N400" i="8" l="1"/>
  <c r="O400" i="8" s="1"/>
  <c r="N80" i="6"/>
  <c r="O80" i="6" s="1"/>
  <c r="U80" i="6" l="1"/>
  <c r="J81" i="6" s="1"/>
  <c r="T80" i="6"/>
  <c r="I81" i="6" s="1"/>
  <c r="Q80" i="6"/>
  <c r="R80" i="6" s="1"/>
  <c r="P80" i="6"/>
  <c r="Y80" i="6" s="1"/>
  <c r="X80" i="6"/>
  <c r="M81" i="6" s="1"/>
  <c r="W80" i="6"/>
  <c r="L81" i="6" s="1"/>
  <c r="V80" i="6"/>
  <c r="K81" i="6" s="1"/>
  <c r="Q400" i="8"/>
  <c r="R400" i="8" s="1"/>
  <c r="P400" i="8"/>
  <c r="Y400" i="8" s="1"/>
  <c r="T400" i="8"/>
  <c r="I401" i="8" s="1"/>
  <c r="U400" i="8"/>
  <c r="J401" i="8" s="1"/>
  <c r="X400" i="8"/>
  <c r="M401" i="8" s="1"/>
  <c r="W400" i="8"/>
  <c r="L401" i="8" s="1"/>
  <c r="V400" i="8"/>
  <c r="K401" i="8" s="1"/>
  <c r="N401" i="8" l="1"/>
  <c r="O401" i="8" s="1"/>
  <c r="N81" i="6"/>
  <c r="O81" i="6" s="1"/>
  <c r="U81" i="6" l="1"/>
  <c r="J82" i="6" s="1"/>
  <c r="T81" i="6"/>
  <c r="I82" i="6" s="1"/>
  <c r="Q81" i="6"/>
  <c r="R81" i="6" s="1"/>
  <c r="P81" i="6"/>
  <c r="Y81" i="6" s="1"/>
  <c r="X81" i="6"/>
  <c r="M82" i="6" s="1"/>
  <c r="W81" i="6"/>
  <c r="L82" i="6" s="1"/>
  <c r="V81" i="6"/>
  <c r="K82" i="6" s="1"/>
  <c r="Q401" i="8"/>
  <c r="R401" i="8" s="1"/>
  <c r="P401" i="8"/>
  <c r="Y401" i="8" s="1"/>
  <c r="W401" i="8"/>
  <c r="L402" i="8" s="1"/>
  <c r="V401" i="8"/>
  <c r="K402" i="8" s="1"/>
  <c r="U401" i="8"/>
  <c r="J402" i="8" s="1"/>
  <c r="T401" i="8"/>
  <c r="I402" i="8" s="1"/>
  <c r="X401" i="8"/>
  <c r="M402" i="8" s="1"/>
  <c r="N402" i="8" l="1"/>
  <c r="O402" i="8" s="1"/>
  <c r="N82" i="6"/>
  <c r="O82" i="6" s="1"/>
  <c r="U82" i="6" l="1"/>
  <c r="J83" i="6" s="1"/>
  <c r="T82" i="6"/>
  <c r="I83" i="6" s="1"/>
  <c r="Q82" i="6"/>
  <c r="R82" i="6" s="1"/>
  <c r="P82" i="6"/>
  <c r="Y82" i="6" s="1"/>
  <c r="X82" i="6"/>
  <c r="M83" i="6" s="1"/>
  <c r="W82" i="6"/>
  <c r="L83" i="6" s="1"/>
  <c r="V82" i="6"/>
  <c r="K83" i="6" s="1"/>
  <c r="Q402" i="8"/>
  <c r="R402" i="8" s="1"/>
  <c r="P402" i="8"/>
  <c r="Y402" i="8" s="1"/>
  <c r="X402" i="8"/>
  <c r="M403" i="8" s="1"/>
  <c r="W402" i="8"/>
  <c r="L403" i="8" s="1"/>
  <c r="V402" i="8"/>
  <c r="K403" i="8" s="1"/>
  <c r="U402" i="8"/>
  <c r="J403" i="8" s="1"/>
  <c r="T402" i="8"/>
  <c r="I403" i="8" s="1"/>
  <c r="N403" i="8" l="1"/>
  <c r="O403" i="8" s="1"/>
  <c r="N83" i="6"/>
  <c r="O83" i="6" s="1"/>
  <c r="U83" i="6" l="1"/>
  <c r="J84" i="6" s="1"/>
  <c r="T83" i="6"/>
  <c r="I84" i="6" s="1"/>
  <c r="Q83" i="6"/>
  <c r="R83" i="6" s="1"/>
  <c r="P83" i="6"/>
  <c r="Y83" i="6" s="1"/>
  <c r="X83" i="6"/>
  <c r="M84" i="6" s="1"/>
  <c r="W83" i="6"/>
  <c r="L84" i="6" s="1"/>
  <c r="V83" i="6"/>
  <c r="K84" i="6" s="1"/>
  <c r="Q403" i="8"/>
  <c r="R403" i="8" s="1"/>
  <c r="P403" i="8"/>
  <c r="Y403" i="8" s="1"/>
  <c r="X403" i="8"/>
  <c r="M404" i="8" s="1"/>
  <c r="M490" i="8" s="1"/>
  <c r="M491" i="8" s="1"/>
  <c r="M492" i="8" s="1"/>
  <c r="M493" i="8" s="1"/>
  <c r="M494" i="8" s="1"/>
  <c r="M495" i="8" s="1"/>
  <c r="M496" i="8" s="1"/>
  <c r="M497" i="8" s="1"/>
  <c r="M498" i="8" s="1"/>
  <c r="M499" i="8" s="1"/>
  <c r="M500" i="8" s="1"/>
  <c r="M501" i="8" s="1"/>
  <c r="M502" i="8" s="1"/>
  <c r="M503" i="8" s="1"/>
  <c r="M504" i="8" s="1"/>
  <c r="M505" i="8" s="1"/>
  <c r="M506" i="8" s="1"/>
  <c r="M507" i="8" s="1"/>
  <c r="M508" i="8" s="1"/>
  <c r="M509" i="8" s="1"/>
  <c r="W403" i="8"/>
  <c r="L404" i="8" s="1"/>
  <c r="L490" i="8" s="1"/>
  <c r="L491" i="8" s="1"/>
  <c r="L492" i="8" s="1"/>
  <c r="L493" i="8" s="1"/>
  <c r="L494" i="8" s="1"/>
  <c r="L495" i="8" s="1"/>
  <c r="L496" i="8" s="1"/>
  <c r="L497" i="8" s="1"/>
  <c r="L498" i="8" s="1"/>
  <c r="L499" i="8" s="1"/>
  <c r="L500" i="8" s="1"/>
  <c r="L501" i="8" s="1"/>
  <c r="L502" i="8" s="1"/>
  <c r="L503" i="8" s="1"/>
  <c r="L504" i="8" s="1"/>
  <c r="L505" i="8" s="1"/>
  <c r="L506" i="8" s="1"/>
  <c r="L507" i="8" s="1"/>
  <c r="L508" i="8" s="1"/>
  <c r="L509" i="8" s="1"/>
  <c r="T403" i="8"/>
  <c r="I404" i="8" s="1"/>
  <c r="V403" i="8"/>
  <c r="K404" i="8" s="1"/>
  <c r="K490" i="8" s="1"/>
  <c r="K491" i="8" s="1"/>
  <c r="K492" i="8" s="1"/>
  <c r="K493" i="8" s="1"/>
  <c r="K494" i="8" s="1"/>
  <c r="K495" i="8" s="1"/>
  <c r="K496" i="8" s="1"/>
  <c r="K497" i="8" s="1"/>
  <c r="K498" i="8" s="1"/>
  <c r="K499" i="8" s="1"/>
  <c r="K500" i="8" s="1"/>
  <c r="K501" i="8" s="1"/>
  <c r="K502" i="8" s="1"/>
  <c r="K503" i="8" s="1"/>
  <c r="K504" i="8" s="1"/>
  <c r="K505" i="8" s="1"/>
  <c r="K506" i="8" s="1"/>
  <c r="K507" i="8" s="1"/>
  <c r="K508" i="8" s="1"/>
  <c r="K509" i="8" s="1"/>
  <c r="U403" i="8"/>
  <c r="J404" i="8" s="1"/>
  <c r="J490" i="8" s="1"/>
  <c r="J491" i="8" s="1"/>
  <c r="J492" i="8" s="1"/>
  <c r="J493" i="8" s="1"/>
  <c r="J494" i="8" s="1"/>
  <c r="J495" i="8" s="1"/>
  <c r="J496" i="8" s="1"/>
  <c r="J497" i="8" s="1"/>
  <c r="J498" i="8" s="1"/>
  <c r="J499" i="8" s="1"/>
  <c r="J500" i="8" s="1"/>
  <c r="J501" i="8" s="1"/>
  <c r="J502" i="8" s="1"/>
  <c r="J503" i="8" s="1"/>
  <c r="J504" i="8" s="1"/>
  <c r="J505" i="8" s="1"/>
  <c r="J506" i="8" s="1"/>
  <c r="J507" i="8" s="1"/>
  <c r="J508" i="8" s="1"/>
  <c r="J509" i="8" s="1"/>
  <c r="I490" i="8" l="1"/>
  <c r="N404" i="8"/>
  <c r="O404" i="8" s="1"/>
  <c r="L91" i="6"/>
  <c r="L92" i="6" s="1"/>
  <c r="L93" i="6" s="1"/>
  <c r="L94" i="6" s="1"/>
  <c r="L95" i="6" s="1"/>
  <c r="L96" i="6" s="1"/>
  <c r="L97" i="6" s="1"/>
  <c r="L98" i="6" s="1"/>
  <c r="L99" i="6" s="1"/>
  <c r="L100" i="6" s="1"/>
  <c r="L101" i="6" s="1"/>
  <c r="L102" i="6" s="1"/>
  <c r="L103" i="6" s="1"/>
  <c r="L104" i="6" s="1"/>
  <c r="L105" i="6" s="1"/>
  <c r="L106" i="6" s="1"/>
  <c r="L107" i="6" s="1"/>
  <c r="L108" i="6" s="1"/>
  <c r="L109" i="6" s="1"/>
  <c r="L110" i="6" s="1"/>
  <c r="D13" i="7"/>
  <c r="K91" i="6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K103" i="6" s="1"/>
  <c r="K104" i="6" s="1"/>
  <c r="K105" i="6" s="1"/>
  <c r="K106" i="6" s="1"/>
  <c r="K107" i="6" s="1"/>
  <c r="K108" i="6" s="1"/>
  <c r="K109" i="6" s="1"/>
  <c r="K110" i="6" s="1"/>
  <c r="C13" i="7"/>
  <c r="E13" i="7"/>
  <c r="M91" i="6"/>
  <c r="M92" i="6" s="1"/>
  <c r="M93" i="6" s="1"/>
  <c r="M94" i="6" s="1"/>
  <c r="M95" i="6" s="1"/>
  <c r="M96" i="6" s="1"/>
  <c r="M97" i="6" s="1"/>
  <c r="M98" i="6" s="1"/>
  <c r="M99" i="6" s="1"/>
  <c r="M100" i="6" s="1"/>
  <c r="M101" i="6" s="1"/>
  <c r="M102" i="6" s="1"/>
  <c r="M103" i="6" s="1"/>
  <c r="M104" i="6" s="1"/>
  <c r="M105" i="6" s="1"/>
  <c r="M106" i="6" s="1"/>
  <c r="M107" i="6" s="1"/>
  <c r="M108" i="6" s="1"/>
  <c r="M109" i="6" s="1"/>
  <c r="M110" i="6" s="1"/>
  <c r="N84" i="6"/>
  <c r="O84" i="6" s="1"/>
  <c r="I91" i="6"/>
  <c r="A13" i="7"/>
  <c r="J91" i="6"/>
  <c r="J92" i="6" s="1"/>
  <c r="J93" i="6" s="1"/>
  <c r="J94" i="6" s="1"/>
  <c r="J95" i="6" s="1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109" i="6" s="1"/>
  <c r="J110" i="6" s="1"/>
  <c r="B13" i="7"/>
  <c r="U84" i="6" l="1"/>
  <c r="T84" i="6"/>
  <c r="Q84" i="6"/>
  <c r="R84" i="6" s="1"/>
  <c r="R85" i="6" s="1"/>
  <c r="B9" i="7" s="1"/>
  <c r="B525" i="8" s="1"/>
  <c r="P84" i="6"/>
  <c r="Y84" i="6" s="1"/>
  <c r="Y85" i="6" s="1"/>
  <c r="D9" i="7" s="1"/>
  <c r="D525" i="8" s="1"/>
  <c r="X84" i="6"/>
  <c r="W84" i="6"/>
  <c r="V84" i="6"/>
  <c r="N91" i="6"/>
  <c r="O91" i="6" s="1"/>
  <c r="I92" i="6"/>
  <c r="Q404" i="8"/>
  <c r="R404" i="8" s="1"/>
  <c r="AB404" i="8" s="1"/>
  <c r="B520" i="8" s="1"/>
  <c r="B526" i="8" s="1"/>
  <c r="P404" i="8"/>
  <c r="Y404" i="8" s="1"/>
  <c r="AA404" i="8" s="1"/>
  <c r="D520" i="8" s="1"/>
  <c r="D526" i="8" s="1"/>
  <c r="W404" i="8"/>
  <c r="V404" i="8"/>
  <c r="X404" i="8"/>
  <c r="U404" i="8"/>
  <c r="T404" i="8"/>
  <c r="I491" i="8"/>
  <c r="N490" i="8"/>
  <c r="O490" i="8" s="1"/>
  <c r="I93" i="6" l="1"/>
  <c r="N92" i="6"/>
  <c r="O92" i="6" s="1"/>
  <c r="Q91" i="6"/>
  <c r="R91" i="6" s="1"/>
  <c r="P91" i="6"/>
  <c r="Q490" i="8"/>
  <c r="R490" i="8" s="1"/>
  <c r="P490" i="8"/>
  <c r="T490" i="8" s="1"/>
  <c r="I492" i="8"/>
  <c r="N491" i="8"/>
  <c r="O491" i="8" s="1"/>
  <c r="I493" i="8" l="1"/>
  <c r="N492" i="8"/>
  <c r="O492" i="8" s="1"/>
  <c r="Q491" i="8"/>
  <c r="R491" i="8" s="1"/>
  <c r="P491" i="8"/>
  <c r="T491" i="8" s="1"/>
  <c r="T91" i="6"/>
  <c r="Q92" i="6"/>
  <c r="R92" i="6" s="1"/>
  <c r="P92" i="6"/>
  <c r="T92" i="6" s="1"/>
  <c r="I94" i="6"/>
  <c r="N93" i="6"/>
  <c r="O93" i="6" s="1"/>
  <c r="N94" i="6" l="1"/>
  <c r="O94" i="6" s="1"/>
  <c r="I95" i="6"/>
  <c r="P93" i="6"/>
  <c r="Q93" i="6"/>
  <c r="R93" i="6" s="1"/>
  <c r="P492" i="8"/>
  <c r="T492" i="8" s="1"/>
  <c r="Q492" i="8"/>
  <c r="R492" i="8" s="1"/>
  <c r="I494" i="8"/>
  <c r="N493" i="8"/>
  <c r="O493" i="8" s="1"/>
  <c r="N494" i="8" l="1"/>
  <c r="O494" i="8" s="1"/>
  <c r="I495" i="8"/>
  <c r="Q493" i="8"/>
  <c r="R493" i="8" s="1"/>
  <c r="P493" i="8"/>
  <c r="T493" i="8" s="1"/>
  <c r="I96" i="6"/>
  <c r="N95" i="6"/>
  <c r="O95" i="6" s="1"/>
  <c r="T93" i="6"/>
  <c r="P94" i="6"/>
  <c r="T94" i="6" s="1"/>
  <c r="Q94" i="6"/>
  <c r="R94" i="6" s="1"/>
  <c r="N495" i="8" l="1"/>
  <c r="O495" i="8" s="1"/>
  <c r="I496" i="8"/>
  <c r="Q95" i="6"/>
  <c r="R95" i="6" s="1"/>
  <c r="P95" i="6"/>
  <c r="Q494" i="8"/>
  <c r="R494" i="8" s="1"/>
  <c r="P494" i="8"/>
  <c r="T494" i="8" s="1"/>
  <c r="I97" i="6"/>
  <c r="N96" i="6"/>
  <c r="O96" i="6" s="1"/>
  <c r="I497" i="8" l="1"/>
  <c r="N496" i="8"/>
  <c r="O496" i="8" s="1"/>
  <c r="Q96" i="6"/>
  <c r="R96" i="6" s="1"/>
  <c r="P96" i="6"/>
  <c r="T96" i="6" s="1"/>
  <c r="N97" i="6"/>
  <c r="O97" i="6" s="1"/>
  <c r="I98" i="6"/>
  <c r="T95" i="6"/>
  <c r="Q495" i="8"/>
  <c r="R495" i="8" s="1"/>
  <c r="P495" i="8"/>
  <c r="T495" i="8" s="1"/>
  <c r="I99" i="6" l="1"/>
  <c r="N98" i="6"/>
  <c r="O98" i="6" s="1"/>
  <c r="Q496" i="8"/>
  <c r="R496" i="8" s="1"/>
  <c r="P496" i="8"/>
  <c r="T496" i="8" s="1"/>
  <c r="Q97" i="6"/>
  <c r="R97" i="6" s="1"/>
  <c r="P97" i="6"/>
  <c r="N497" i="8"/>
  <c r="O497" i="8" s="1"/>
  <c r="I498" i="8"/>
  <c r="N498" i="8" l="1"/>
  <c r="O498" i="8" s="1"/>
  <c r="I499" i="8"/>
  <c r="T97" i="6"/>
  <c r="P497" i="8"/>
  <c r="T497" i="8" s="1"/>
  <c r="Q497" i="8"/>
  <c r="R497" i="8" s="1"/>
  <c r="Q98" i="6"/>
  <c r="R98" i="6" s="1"/>
  <c r="P98" i="6"/>
  <c r="T98" i="6" s="1"/>
  <c r="I100" i="6"/>
  <c r="N99" i="6"/>
  <c r="O99" i="6" s="1"/>
  <c r="N100" i="6" l="1"/>
  <c r="O100" i="6" s="1"/>
  <c r="I101" i="6"/>
  <c r="Q99" i="6"/>
  <c r="R99" i="6" s="1"/>
  <c r="P99" i="6"/>
  <c r="T99" i="6" s="1"/>
  <c r="N499" i="8"/>
  <c r="O499" i="8" s="1"/>
  <c r="I500" i="8"/>
  <c r="Q498" i="8"/>
  <c r="R498" i="8" s="1"/>
  <c r="P498" i="8"/>
  <c r="T498" i="8" s="1"/>
  <c r="I501" i="8" l="1"/>
  <c r="N500" i="8"/>
  <c r="O500" i="8" s="1"/>
  <c r="Q499" i="8"/>
  <c r="R499" i="8" s="1"/>
  <c r="P499" i="8"/>
  <c r="T499" i="8" s="1"/>
  <c r="N101" i="6"/>
  <c r="O101" i="6" s="1"/>
  <c r="I102" i="6"/>
  <c r="P100" i="6"/>
  <c r="T100" i="6" s="1"/>
  <c r="Q100" i="6"/>
  <c r="R100" i="6" s="1"/>
  <c r="Q101" i="6" l="1"/>
  <c r="R101" i="6" s="1"/>
  <c r="P101" i="6"/>
  <c r="I103" i="6"/>
  <c r="N102" i="6"/>
  <c r="O102" i="6" s="1"/>
  <c r="Q500" i="8"/>
  <c r="R500" i="8" s="1"/>
  <c r="P500" i="8"/>
  <c r="T500" i="8" s="1"/>
  <c r="I502" i="8"/>
  <c r="N501" i="8"/>
  <c r="O501" i="8" s="1"/>
  <c r="Q501" i="8" l="1"/>
  <c r="R501" i="8" s="1"/>
  <c r="P501" i="8"/>
  <c r="T501" i="8" s="1"/>
  <c r="I503" i="8"/>
  <c r="N502" i="8"/>
  <c r="O502" i="8" s="1"/>
  <c r="Q102" i="6"/>
  <c r="R102" i="6" s="1"/>
  <c r="P102" i="6"/>
  <c r="T102" i="6" s="1"/>
  <c r="I104" i="6"/>
  <c r="N103" i="6"/>
  <c r="O103" i="6" s="1"/>
  <c r="T101" i="6"/>
  <c r="Q103" i="6" l="1"/>
  <c r="R103" i="6" s="1"/>
  <c r="P103" i="6"/>
  <c r="N104" i="6"/>
  <c r="O104" i="6" s="1"/>
  <c r="I105" i="6"/>
  <c r="Q502" i="8"/>
  <c r="R502" i="8" s="1"/>
  <c r="P502" i="8"/>
  <c r="T502" i="8" s="1"/>
  <c r="I504" i="8"/>
  <c r="N503" i="8"/>
  <c r="O503" i="8" s="1"/>
  <c r="N504" i="8" l="1"/>
  <c r="O504" i="8" s="1"/>
  <c r="I505" i="8"/>
  <c r="Q503" i="8"/>
  <c r="R503" i="8" s="1"/>
  <c r="P503" i="8"/>
  <c r="T503" i="8" s="1"/>
  <c r="I106" i="6"/>
  <c r="N105" i="6"/>
  <c r="O105" i="6" s="1"/>
  <c r="Q104" i="6"/>
  <c r="R104" i="6" s="1"/>
  <c r="P104" i="6"/>
  <c r="T104" i="6" s="1"/>
  <c r="T103" i="6"/>
  <c r="Q105" i="6" l="1"/>
  <c r="R105" i="6" s="1"/>
  <c r="P105" i="6"/>
  <c r="I107" i="6"/>
  <c r="N106" i="6"/>
  <c r="O106" i="6" s="1"/>
  <c r="I506" i="8"/>
  <c r="N505" i="8"/>
  <c r="O505" i="8" s="1"/>
  <c r="P504" i="8"/>
  <c r="T504" i="8" s="1"/>
  <c r="Q504" i="8"/>
  <c r="R504" i="8" s="1"/>
  <c r="Q505" i="8" l="1"/>
  <c r="R505" i="8" s="1"/>
  <c r="P505" i="8"/>
  <c r="T505" i="8" s="1"/>
  <c r="I507" i="8"/>
  <c r="N506" i="8"/>
  <c r="O506" i="8" s="1"/>
  <c r="Q106" i="6"/>
  <c r="R106" i="6" s="1"/>
  <c r="P106" i="6"/>
  <c r="T106" i="6" s="1"/>
  <c r="N107" i="6"/>
  <c r="O107" i="6" s="1"/>
  <c r="I108" i="6"/>
  <c r="T105" i="6"/>
  <c r="I109" i="6" l="1"/>
  <c r="N108" i="6"/>
  <c r="O108" i="6" s="1"/>
  <c r="Q107" i="6"/>
  <c r="R107" i="6" s="1"/>
  <c r="P107" i="6"/>
  <c r="Q506" i="8"/>
  <c r="R506" i="8" s="1"/>
  <c r="P506" i="8"/>
  <c r="T506" i="8" s="1"/>
  <c r="N507" i="8"/>
  <c r="O507" i="8" s="1"/>
  <c r="I508" i="8"/>
  <c r="I509" i="8" l="1"/>
  <c r="N509" i="8" s="1"/>
  <c r="O509" i="8" s="1"/>
  <c r="N508" i="8"/>
  <c r="O508" i="8" s="1"/>
  <c r="Q507" i="8"/>
  <c r="R507" i="8" s="1"/>
  <c r="P507" i="8"/>
  <c r="T507" i="8" s="1"/>
  <c r="T107" i="6"/>
  <c r="Q108" i="6"/>
  <c r="R108" i="6" s="1"/>
  <c r="P108" i="6"/>
  <c r="T108" i="6" s="1"/>
  <c r="I110" i="6"/>
  <c r="N110" i="6" s="1"/>
  <c r="O110" i="6" s="1"/>
  <c r="N109" i="6"/>
  <c r="O109" i="6" s="1"/>
  <c r="P109" i="6" l="1"/>
  <c r="Q109" i="6"/>
  <c r="R109" i="6" s="1"/>
  <c r="P110" i="6"/>
  <c r="Q110" i="6"/>
  <c r="R110" i="6" s="1"/>
  <c r="R111" i="6" s="1"/>
  <c r="C9" i="7" s="1"/>
  <c r="C525" i="8" s="1"/>
  <c r="D117" i="6"/>
  <c r="P508" i="8"/>
  <c r="T508" i="8" s="1"/>
  <c r="Q508" i="8"/>
  <c r="R508" i="8" s="1"/>
  <c r="Q509" i="8"/>
  <c r="R509" i="8" s="1"/>
  <c r="W509" i="8" s="1"/>
  <c r="C520" i="8" s="1"/>
  <c r="C526" i="8" s="1"/>
  <c r="P509" i="8"/>
  <c r="T509" i="8" s="1"/>
  <c r="V509" i="8" s="1"/>
  <c r="E520" i="8" s="1"/>
  <c r="E526" i="8" s="1"/>
  <c r="T110" i="6" l="1"/>
  <c r="D116" i="6"/>
  <c r="J116" i="6" s="1"/>
  <c r="C116" i="6"/>
  <c r="T109" i="6"/>
  <c r="C117" i="6"/>
  <c r="J117" i="6" s="1"/>
  <c r="C17" i="7" s="1"/>
  <c r="J118" i="6" l="1"/>
  <c r="D17" i="7" s="1"/>
  <c r="B17" i="7"/>
  <c r="J115" i="6"/>
  <c r="A17" i="7" s="1"/>
  <c r="T111" i="6"/>
  <c r="E9" i="7" s="1"/>
  <c r="E525" i="8" s="1"/>
</calcChain>
</file>

<file path=xl/sharedStrings.xml><?xml version="1.0" encoding="utf-8"?>
<sst xmlns="http://schemas.openxmlformats.org/spreadsheetml/2006/main" count="737" uniqueCount="126">
  <si>
    <t>Single Layer Perceptron — Klasifikasi Iris Setosa vs Iris Versicolor</t>
  </si>
  <si>
    <t>Arsitektur &amp; Hyperparameter</t>
  </si>
  <si>
    <t>Parameter</t>
  </si>
  <si>
    <t>Nilai</t>
  </si>
  <si>
    <t>Keterangan</t>
  </si>
  <si>
    <t>Jumlah neuron input (X1–X4)</t>
  </si>
  <si>
    <t>SepalLength, SepalWidth, PetalLength, PetalWidth</t>
  </si>
  <si>
    <t>Jumlah neuron output</t>
  </si>
  <si>
    <t>Binary encoding, 1 neuron</t>
  </si>
  <si>
    <t>Target — Iris Setosa</t>
  </si>
  <si>
    <t>Kelas negatif</t>
  </si>
  <si>
    <t>Target — Iris Versicolor</t>
  </si>
  <si>
    <t>Kelas positif</t>
  </si>
  <si>
    <t>Bobot awal teta1–teta4</t>
  </si>
  <si>
    <t>Nilai inisiasi dari template PMM</t>
  </si>
  <si>
    <t>Bias awal</t>
  </si>
  <si>
    <t>Learning Rate</t>
  </si>
  <si>
    <t>Sigmoid</t>
  </si>
  <si>
    <t>g(z) = 1/(1+e^(−z))</t>
  </si>
  <si>
    <t>z = bias + teta1·X1 + teta2·X2 + teta3·X3 + teta4·X4</t>
  </si>
  <si>
    <t>error</t>
  </si>
  <si>
    <t>g(z) − TARGET</t>
  </si>
  <si>
    <t>Selisih output sigmoid dengan target</t>
  </si>
  <si>
    <t>Sum Square Error</t>
  </si>
  <si>
    <t>error²</t>
  </si>
  <si>
    <t>Dirata-rata jadi MSE per epoch</t>
  </si>
  <si>
    <t>Metode update</t>
  </si>
  <si>
    <t>Gradient Descent (stochastic, per data)</t>
  </si>
  <si>
    <t>teta = teta − LR·dteta ; bias = bias − LR·dbias</t>
  </si>
  <si>
    <t>Jumlah epoch</t>
  </si>
  <si>
    <t>Bobot baris terakhir tiap epoch = bobot awal epoch berikutnya</t>
  </si>
  <si>
    <t>Jumlah data training</t>
  </si>
  <si>
    <t>40 Setosa + 40 Versicolor</t>
  </si>
  <si>
    <t>Jumlah data testing</t>
  </si>
  <si>
    <t>10 Setosa + 10 Versicolor</t>
  </si>
  <si>
    <t>Urutan data training</t>
  </si>
  <si>
    <t>Selang-seling blok 20 (0–1–0–1)</t>
  </si>
  <si>
    <t>Versi tanpa acak ada di sheet Trial</t>
  </si>
  <si>
    <t>Threshold prediksi</t>
  </si>
  <si>
    <t>g(z) &gt; 0.5 → 1, selainnya → 0</t>
  </si>
  <si>
    <t>Bobot untuk testing</t>
  </si>
  <si>
    <t>Sama dengan baris training terakhir</t>
  </si>
  <si>
    <t>Tidak ada update tambahan setelah data ke-80</t>
  </si>
  <si>
    <t>Rumus turunan (slide SLP – Gradient Descent)</t>
  </si>
  <si>
    <t>dteta_j = 2·[g(z) − TARGET]·[1 − g(z)]·g(z)·X_j</t>
  </si>
  <si>
    <t>dbias   = 2·[g(z) − TARGET]·[1 − g(z)]·g(z)</t>
  </si>
  <si>
    <t>teta_j ← teta_j − LR·dteta_j        bias ← bias − LR·dbias</t>
  </si>
  <si>
    <t>EPOCH 1 — TRAINING (80 data)</t>
  </si>
  <si>
    <t>Setosa = 0</t>
  </si>
  <si>
    <t>Versicolor = 1</t>
  </si>
  <si>
    <t>Bobot bias</t>
  </si>
  <si>
    <t>dot</t>
  </si>
  <si>
    <t>Prediksi</t>
  </si>
  <si>
    <t>EPOCH</t>
  </si>
  <si>
    <t>No</t>
  </si>
  <si>
    <t>X1</t>
  </si>
  <si>
    <t>X2</t>
  </si>
  <si>
    <t>X3</t>
  </si>
  <si>
    <t>X4</t>
  </si>
  <si>
    <t>TARGET</t>
  </si>
  <si>
    <t>bias</t>
  </si>
  <si>
    <t>teta1</t>
  </si>
  <si>
    <t>teta2</t>
  </si>
  <si>
    <t>teta 3</t>
  </si>
  <si>
    <t>teta4</t>
  </si>
  <si>
    <t>z</t>
  </si>
  <si>
    <t>g(z)</t>
  </si>
  <si>
    <t>dbias</t>
  </si>
  <si>
    <t>dteta1</t>
  </si>
  <si>
    <t>dteta2</t>
  </si>
  <si>
    <t>dteta3</t>
  </si>
  <si>
    <t>dteta4</t>
  </si>
  <si>
    <t>Akurasi</t>
  </si>
  <si>
    <t>epoch 1</t>
  </si>
  <si>
    <t>MSE →</t>
  </si>
  <si>
    <t>Akurasi →</t>
  </si>
  <si>
    <t>EPOCH 1 — TESTING (20 data, bobot = baris 84)</t>
  </si>
  <si>
    <t>testing</t>
  </si>
  <si>
    <t>Confusion Matrix (data testing)</t>
  </si>
  <si>
    <t>Evaluation Metrics</t>
  </si>
  <si>
    <t>Metrik</t>
  </si>
  <si>
    <t>Hasil (%)</t>
  </si>
  <si>
    <t>Setosa (0)</t>
  </si>
  <si>
    <t>Versicolor (1)</t>
  </si>
  <si>
    <t>Aktual</t>
  </si>
  <si>
    <t>Presisi</t>
  </si>
  <si>
    <t>Recall</t>
  </si>
  <si>
    <t>F1-Score</t>
  </si>
  <si>
    <t>Kelas positif = Versicolor (1)</t>
  </si>
  <si>
    <t>EPOCH 2 — TRAINING (80 data)</t>
  </si>
  <si>
    <t>epoch 2</t>
  </si>
  <si>
    <t>EPOCH 2 — TESTING (20 data, bobot = baris 84)</t>
  </si>
  <si>
    <t>EPOCH 3 — TRAINING (80 data)</t>
  </si>
  <si>
    <t>epoch 3</t>
  </si>
  <si>
    <t>EPOCH 3 — TESTING (20 data, bobot = baris 84)</t>
  </si>
  <si>
    <t>EPOCH 4 — TRAINING (80 data)</t>
  </si>
  <si>
    <t>epoch 4</t>
  </si>
  <si>
    <t>EPOCH 4 — TESTING (20 data, bobot = baris 84)</t>
  </si>
  <si>
    <t>EPOCH 5 — TRAINING (80 data)</t>
  </si>
  <si>
    <t>epoch 5</t>
  </si>
  <si>
    <t>EPOCH 5 — TESTING (20 data, bobot = baris 84)</t>
  </si>
  <si>
    <t>Hasil Training &amp; Testing per Epoch (data diacak)</t>
  </si>
  <si>
    <t>Epoch</t>
  </si>
  <si>
    <t>MSE (Loss)</t>
  </si>
  <si>
    <t>Training</t>
  </si>
  <si>
    <t>Testing</t>
  </si>
  <si>
    <t>Bobot akhir (baris training terakhir epoch 5)</t>
  </si>
  <si>
    <t>Metrik akhir (Epoch 5, data testing)</t>
  </si>
  <si>
    <t>TRIAL — DATA TIDAK DIACAK (40 Setosa berurutan, lalu 40 Versicolor)</t>
  </si>
  <si>
    <t>Akurasi per epoch</t>
  </si>
  <si>
    <t>MSE per epoch</t>
  </si>
  <si>
    <t>TESTING — bobot = baris training terakhir tiap epoch</t>
  </si>
  <si>
    <t>HASIL — data tidak diacak</t>
  </si>
  <si>
    <t>Perbandingan akhir epoch 5</t>
  </si>
  <si>
    <t>Skenario</t>
  </si>
  <si>
    <t>MSE Training</t>
  </si>
  <si>
    <t>MSE Testing</t>
  </si>
  <si>
    <t>Akurasi Training</t>
  </si>
  <si>
    <t>Akurasi Testing</t>
  </si>
  <si>
    <t>Diacak (blok 20)</t>
  </si>
  <si>
    <t>Tidak diacak</t>
  </si>
  <si>
    <t>Data yang dipakai (100 baris: 50 Setosa + 50 Versicolor)</t>
  </si>
  <si>
    <t>Bagian</t>
  </si>
  <si>
    <t>Spesies</t>
  </si>
  <si>
    <t>Iris-setosa</t>
  </si>
  <si>
    <t>Iris-versicolor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</si>
</sst>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"/>
  </numFmts>
  <fonts count="5" x14ac:knownFonts="1">
    <font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i/>
      <sz val="9"/>
      <color rgb="FF80808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FFF99"/>
      </patternFill>
    </fill>
    <fill>
      <patternFill patternType="solid">
        <fgColor rgb="FFC5E0B3"/>
        <bgColor rgb="FFD9D9D9"/>
      </patternFill>
    </fill>
    <fill>
      <patternFill patternType="solid">
        <fgColor rgb="FFFFE598"/>
        <bgColor rgb="FFFEF2CB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/>
    <xf numFmtId="0" fontId="4" fillId="3" borderId="2" xfId="0" applyFont="1" applyFill="1" applyBorder="1"/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3" fillId="3" borderId="2" xfId="0" applyNumberFormat="1" applyFont="1" applyFill="1" applyBorder="1"/>
    <xf numFmtId="164" fontId="3" fillId="0" borderId="2" xfId="0" applyNumberFormat="1" applyFont="1" applyBorder="1"/>
    <xf numFmtId="0" fontId="2" fillId="0" borderId="0" xfId="0" applyFont="1" applyAlignment="1">
      <alignment horizontal="right"/>
    </xf>
    <xf numFmtId="165" fontId="2" fillId="5" borderId="1" xfId="0" applyNumberFormat="1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/>
    </xf>
    <xf numFmtId="10" fontId="3" fillId="3" borderId="2" xfId="0" applyNumberFormat="1" applyFont="1" applyFill="1" applyBorder="1" applyAlignment="1">
      <alignment horizontal="center"/>
    </xf>
    <xf numFmtId="165" fontId="3" fillId="5" borderId="2" xfId="0" applyNumberFormat="1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3"/>
      <rgbColor rgb="FF808080"/>
      <rgbColor rgb="FF9999FF"/>
      <rgbColor rgb="FFBE4B48"/>
      <rgbColor rgb="FFFEF2C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8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Lost / Error Function per Epoch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'Hasil dan Visualisasi'!$B$4</c:f>
              <c:strCache>
                <c:ptCount val="1"/>
                <c:pt idx="0">
                  <c:v>Training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'Hasil dan Visualisasi'!$A$5:$A$9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'Hasil dan Visualisasi'!$B$5:$B$9</c:f>
              <c:numCache>
                <c:formatCode>0.00000000</c:formatCode>
                <c:ptCount val="5"/>
                <c:pt idx="0">
                  <c:v>0.44715463431711733</c:v>
                </c:pt>
                <c:pt idx="1">
                  <c:v>4.4862842218896144E-2</c:v>
                </c:pt>
                <c:pt idx="2">
                  <c:v>2.3811702069879752E-2</c:v>
                </c:pt>
                <c:pt idx="3">
                  <c:v>1.5115838788380121E-2</c:v>
                </c:pt>
                <c:pt idx="4">
                  <c:v>1.0836262608817917E-2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86-4F6C-A023-AE9C258443EC}"/>
            </c:ext>
          </c:extLst>
        </c:ser>
        <c:ser>
          <c:idx val="1"/>
          <c:order val="1"/>
          <c:tx>
            <c:strRef>
              <c:f>'Hasil dan Visualisasi'!$C$4</c:f>
              <c:strCache>
                <c:ptCount val="1"/>
                <c:pt idx="0">
                  <c:v>Testing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'Hasil dan Visualisasi'!$A$5:$A$9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'Hasil dan Visualisasi'!$C$5:$C$9</c:f>
              <c:numCache>
                <c:formatCode>0.00000000</c:formatCode>
                <c:ptCount val="5"/>
                <c:pt idx="0">
                  <c:v>0.28755157750288607</c:v>
                </c:pt>
                <c:pt idx="1">
                  <c:v>0.15501014204339694</c:v>
                </c:pt>
                <c:pt idx="2">
                  <c:v>7.7740282045347511E-2</c:v>
                </c:pt>
                <c:pt idx="3">
                  <c:v>4.1654606369249669E-2</c:v>
                </c:pt>
                <c:pt idx="4">
                  <c:v>2.5099208240929149E-2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686-4F6C-A023-AE9C2584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185966"/>
        <c:axId val="17406531"/>
      </c:lineChart>
      <c:catAx>
        <c:axId val="191859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406531"/>
        <c:crosses val="autoZero"/>
        <c:auto val="1"/>
        <c:lblAlgn val="ctr"/>
        <c:lblOffset val="100"/>
        <c:noMultiLvlLbl val="0"/>
      </c:catAx>
      <c:valAx>
        <c:axId val="174065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1859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Accuracy per Epoch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'Hasil dan Visualisasi'!$D$4</c:f>
              <c:strCache>
                <c:ptCount val="1"/>
                <c:pt idx="0">
                  <c:v>Training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'Hasil dan Visualisasi'!$A$5:$A$9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'Hasil dan Visualisasi'!$D$5:$D$9</c:f>
              <c:numCache>
                <c:formatCode>0.00%</c:formatCode>
                <c:ptCount val="5"/>
                <c:pt idx="0">
                  <c:v>0.52500000000000002</c:v>
                </c:pt>
                <c:pt idx="1">
                  <c:v>0.9375</c:v>
                </c:pt>
                <c:pt idx="2">
                  <c:v>0.97499999999999998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7C-42B2-851B-89F14D824876}"/>
            </c:ext>
          </c:extLst>
        </c:ser>
        <c:ser>
          <c:idx val="1"/>
          <c:order val="1"/>
          <c:tx>
            <c:strRef>
              <c:f>'Hasil dan Visualisasi'!$E$4</c:f>
              <c:strCache>
                <c:ptCount val="1"/>
                <c:pt idx="0">
                  <c:v>Testing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'Hasil dan Visualisasi'!$A$5:$A$9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'Hasil dan Visualisasi'!$E$5:$E$9</c:f>
              <c:numCache>
                <c:formatCode>0.00%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7C-42B2-851B-89F14D824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070461"/>
        <c:axId val="43831696"/>
      </c:lineChart>
      <c:catAx>
        <c:axId val="860704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831696"/>
        <c:crosses val="autoZero"/>
        <c:auto val="1"/>
        <c:lblAlgn val="ctr"/>
        <c:lblOffset val="100"/>
        <c:noMultiLvlLbl val="0"/>
      </c:catAx>
      <c:valAx>
        <c:axId val="43831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704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Lost / Error Function — Data Tidak Diacak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without shuffled data'!$B$515</c:f>
              <c:strCache>
                <c:ptCount val="1"/>
                <c:pt idx="0">
                  <c:v>Training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'Trial without shuffled data'!$A$516:$A$520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'Trial without shuffled data'!$B$516:$B$520</c:f>
              <c:numCache>
                <c:formatCode>0.00000000</c:formatCode>
                <c:ptCount val="5"/>
                <c:pt idx="0">
                  <c:v>0.44988865513952919</c:v>
                </c:pt>
                <c:pt idx="1">
                  <c:v>3.735536229040335E-2</c:v>
                </c:pt>
                <c:pt idx="2">
                  <c:v>2.4337091440304374E-2</c:v>
                </c:pt>
                <c:pt idx="3">
                  <c:v>1.735241069643615E-2</c:v>
                </c:pt>
                <c:pt idx="4">
                  <c:v>1.2749798070801871E-2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E4-4859-8AA6-06D913F45B36}"/>
            </c:ext>
          </c:extLst>
        </c:ser>
        <c:ser>
          <c:idx val="1"/>
          <c:order val="1"/>
          <c:tx>
            <c:strRef>
              <c:f>'Trial without shuffled data'!$C$515</c:f>
              <c:strCache>
                <c:ptCount val="1"/>
                <c:pt idx="0">
                  <c:v>Testing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'Trial without shuffled data'!$A$516:$A$520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'Trial without shuffled data'!$C$516:$C$520</c:f>
              <c:numCache>
                <c:formatCode>0.00000000</c:formatCode>
                <c:ptCount val="5"/>
                <c:pt idx="0">
                  <c:v>0.32757315043824775</c:v>
                </c:pt>
                <c:pt idx="1">
                  <c:v>0.24596642301729213</c:v>
                </c:pt>
                <c:pt idx="2">
                  <c:v>0.17493701928921751</c:v>
                </c:pt>
                <c:pt idx="3">
                  <c:v>0.11875407537087945</c:v>
                </c:pt>
                <c:pt idx="4">
                  <c:v>8.1238908671473001E-2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4E4-4859-8AA6-06D913F45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35180"/>
        <c:axId val="27431261"/>
      </c:lineChart>
      <c:catAx>
        <c:axId val="853518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431261"/>
        <c:crosses val="autoZero"/>
        <c:auto val="1"/>
        <c:lblAlgn val="ctr"/>
        <c:lblOffset val="100"/>
        <c:noMultiLvlLbl val="0"/>
      </c:catAx>
      <c:valAx>
        <c:axId val="274312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351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Accuracy — Data Tidak Diacak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'Trial without shuffled data'!$D$515</c:f>
              <c:strCache>
                <c:ptCount val="1"/>
                <c:pt idx="0">
                  <c:v>Training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'Trial without shuffled data'!$A$516:$A$520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'Trial without shuffled data'!$D$516:$D$520</c:f>
              <c:numCache>
                <c:formatCode>0.00%</c:formatCode>
                <c:ptCount val="5"/>
                <c:pt idx="0">
                  <c:v>0.52500000000000002</c:v>
                </c:pt>
                <c:pt idx="1">
                  <c:v>0.95</c:v>
                </c:pt>
                <c:pt idx="2">
                  <c:v>0.97499999999999998</c:v>
                </c:pt>
                <c:pt idx="3">
                  <c:v>0.97499999999999998</c:v>
                </c:pt>
                <c:pt idx="4">
                  <c:v>0.98750000000000004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087-42D4-8BDB-0137C7690554}"/>
            </c:ext>
          </c:extLst>
        </c:ser>
        <c:ser>
          <c:idx val="1"/>
          <c:order val="1"/>
          <c:tx>
            <c:strRef>
              <c:f>'Trial without shuffled data'!$E$515</c:f>
              <c:strCache>
                <c:ptCount val="1"/>
                <c:pt idx="0">
                  <c:v>Testing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'Trial without shuffled data'!$A$516:$A$520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'Trial without shuffled data'!$E$516:$E$520</c:f>
              <c:numCache>
                <c:formatCode>0.00%</c:formatCode>
                <c:ptCount val="5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0.85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087-42D4-8BDB-0137C7690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59060"/>
        <c:axId val="57821721"/>
      </c:lineChart>
      <c:catAx>
        <c:axId val="77590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21721"/>
        <c:crosses val="autoZero"/>
        <c:auto val="1"/>
        <c:lblAlgn val="ctr"/>
        <c:lblOffset val="100"/>
        <c:noMultiLvlLbl val="0"/>
      </c:catAx>
      <c:valAx>
        <c:axId val="57821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Akurasi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9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15</xdr:col>
      <xdr:colOff>347580</xdr:colOff>
      <xdr:row>17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15</xdr:col>
      <xdr:colOff>347580</xdr:colOff>
      <xdr:row>34</xdr:row>
      <xdr:rowOff>21960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511</xdr:row>
      <xdr:rowOff>42120</xdr:rowOff>
    </xdr:from>
    <xdr:to>
      <xdr:col>14</xdr:col>
      <xdr:colOff>534240</xdr:colOff>
      <xdr:row>526</xdr:row>
      <xdr:rowOff>64080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528</xdr:row>
      <xdr:rowOff>41760</xdr:rowOff>
    </xdr:from>
    <xdr:to>
      <xdr:col>14</xdr:col>
      <xdr:colOff>534240</xdr:colOff>
      <xdr:row>543</xdr:row>
      <xdr:rowOff>64080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Normal="100" workbookViewId="0">
      <selection activeCell="B27" sqref="B27"/>
    </sheetView>
  </sheetViews>
  <sheetFormatPr defaultColWidth="8.6640625" defaultRowHeight="14.4" x14ac:dyDescent="0.3"/>
  <cols>
    <col min="1" max="1" width="34" customWidth="1"/>
    <col min="2" max="2" width="36" customWidth="1"/>
    <col min="3" max="3" width="52" customWidth="1"/>
  </cols>
  <sheetData>
    <row r="1" spans="1:3" ht="15.6" x14ac:dyDescent="0.3">
      <c r="A1" s="1" t="s">
        <v>0</v>
      </c>
    </row>
    <row r="3" spans="1:3" x14ac:dyDescent="0.3">
      <c r="A3" s="2" t="s">
        <v>1</v>
      </c>
    </row>
    <row r="4" spans="1:3" x14ac:dyDescent="0.3">
      <c r="A4" s="3" t="s">
        <v>2</v>
      </c>
      <c r="B4" s="3" t="s">
        <v>3</v>
      </c>
      <c r="C4" s="3" t="s">
        <v>4</v>
      </c>
    </row>
    <row r="5" spans="1:3" x14ac:dyDescent="0.3">
      <c r="A5" s="4" t="s">
        <v>5</v>
      </c>
      <c r="B5" s="4">
        <v>4</v>
      </c>
      <c r="C5" s="5" t="s">
        <v>6</v>
      </c>
    </row>
    <row r="6" spans="1:3" x14ac:dyDescent="0.3">
      <c r="A6" s="4" t="s">
        <v>7</v>
      </c>
      <c r="B6" s="4">
        <v>1</v>
      </c>
      <c r="C6" s="5" t="s">
        <v>8</v>
      </c>
    </row>
    <row r="7" spans="1:3" x14ac:dyDescent="0.3">
      <c r="A7" s="4" t="s">
        <v>9</v>
      </c>
      <c r="B7" s="4">
        <v>0</v>
      </c>
      <c r="C7" s="5" t="s">
        <v>10</v>
      </c>
    </row>
    <row r="8" spans="1:3" x14ac:dyDescent="0.3">
      <c r="A8" s="4" t="s">
        <v>11</v>
      </c>
      <c r="B8" s="4">
        <v>1</v>
      </c>
      <c r="C8" s="5" t="s">
        <v>12</v>
      </c>
    </row>
    <row r="9" spans="1:3" x14ac:dyDescent="0.3">
      <c r="A9" s="4" t="s">
        <v>13</v>
      </c>
      <c r="B9" s="6">
        <v>0.5</v>
      </c>
      <c r="C9" s="5" t="s">
        <v>14</v>
      </c>
    </row>
    <row r="10" spans="1:3" x14ac:dyDescent="0.3">
      <c r="A10" s="4" t="s">
        <v>15</v>
      </c>
      <c r="B10" s="6">
        <v>0.5</v>
      </c>
      <c r="C10" s="5" t="s">
        <v>14</v>
      </c>
    </row>
    <row r="11" spans="1:3" x14ac:dyDescent="0.3">
      <c r="A11" s="4" t="s">
        <v>16</v>
      </c>
      <c r="B11" s="6">
        <v>0.1</v>
      </c>
      <c r="C11" s="5" t="s">
        <v>14</v>
      </c>
    </row>
    <row r="12" spans="1:3" x14ac:dyDescent="0.3">
      <c r="A12" s="4" t="s">
        <v>17</v>
      </c>
      <c r="B12" s="4" t="s">
        <v>18</v>
      </c>
      <c r="C12" s="5" t="s">
        <v>19</v>
      </c>
    </row>
    <row r="13" spans="1:3" x14ac:dyDescent="0.3">
      <c r="A13" s="4" t="s">
        <v>20</v>
      </c>
      <c r="B13" s="4" t="s">
        <v>21</v>
      </c>
      <c r="C13" s="5" t="s">
        <v>22</v>
      </c>
    </row>
    <row r="14" spans="1:3" x14ac:dyDescent="0.3">
      <c r="A14" s="4" t="s">
        <v>23</v>
      </c>
      <c r="B14" s="4" t="s">
        <v>24</v>
      </c>
      <c r="C14" s="5" t="s">
        <v>25</v>
      </c>
    </row>
    <row r="15" spans="1:3" x14ac:dyDescent="0.3">
      <c r="A15" s="4" t="s">
        <v>26</v>
      </c>
      <c r="B15" s="4" t="s">
        <v>27</v>
      </c>
      <c r="C15" s="5" t="s">
        <v>28</v>
      </c>
    </row>
    <row r="16" spans="1:3" x14ac:dyDescent="0.3">
      <c r="A16" s="4" t="s">
        <v>29</v>
      </c>
      <c r="B16" s="4">
        <v>5</v>
      </c>
      <c r="C16" s="5" t="s">
        <v>30</v>
      </c>
    </row>
    <row r="17" spans="1:3" x14ac:dyDescent="0.3">
      <c r="A17" s="4" t="s">
        <v>31</v>
      </c>
      <c r="B17" s="4">
        <v>80</v>
      </c>
      <c r="C17" s="5" t="s">
        <v>32</v>
      </c>
    </row>
    <row r="18" spans="1:3" x14ac:dyDescent="0.3">
      <c r="A18" s="4" t="s">
        <v>33</v>
      </c>
      <c r="B18" s="4">
        <v>20</v>
      </c>
      <c r="C18" s="5" t="s">
        <v>34</v>
      </c>
    </row>
    <row r="19" spans="1:3" x14ac:dyDescent="0.3">
      <c r="A19" s="4" t="s">
        <v>35</v>
      </c>
      <c r="B19" s="4" t="s">
        <v>36</v>
      </c>
      <c r="C19" s="5" t="s">
        <v>37</v>
      </c>
    </row>
    <row r="20" spans="1:3" x14ac:dyDescent="0.3">
      <c r="A20" s="4" t="s">
        <v>38</v>
      </c>
      <c r="B20" s="4">
        <v>0.5</v>
      </c>
      <c r="C20" s="5" t="s">
        <v>39</v>
      </c>
    </row>
    <row r="21" spans="1:3" x14ac:dyDescent="0.3">
      <c r="A21" s="4" t="s">
        <v>40</v>
      </c>
      <c r="B21" s="4" t="s">
        <v>41</v>
      </c>
      <c r="C21" s="5" t="s">
        <v>42</v>
      </c>
    </row>
    <row r="24" spans="1:3" x14ac:dyDescent="0.3">
      <c r="A24" s="2" t="s">
        <v>43</v>
      </c>
    </row>
    <row r="25" spans="1:3" x14ac:dyDescent="0.3">
      <c r="A25" s="7" t="s">
        <v>44</v>
      </c>
    </row>
    <row r="26" spans="1:3" x14ac:dyDescent="0.3">
      <c r="A26" s="7" t="s">
        <v>45</v>
      </c>
    </row>
    <row r="27" spans="1:3" x14ac:dyDescent="0.3">
      <c r="A27" s="7" t="s">
        <v>46</v>
      </c>
    </row>
    <row r="29" spans="1:3" x14ac:dyDescent="0.3">
      <c r="A29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9"/>
  <sheetViews>
    <sheetView zoomScaleNormal="100" workbookViewId="0">
      <pane ySplit="4" topLeftCell="A5" activePane="bottomLeft" state="frozen"/>
      <selection pane="bottomLeft" activeCell="J116" sqref="J116"/>
    </sheetView>
  </sheetViews>
  <sheetFormatPr defaultColWidth="8.6640625" defaultRowHeight="14.4" x14ac:dyDescent="0.3"/>
  <cols>
    <col min="1" max="1" width="10" customWidth="1"/>
    <col min="2" max="2" width="5.5546875" customWidth="1"/>
    <col min="3" max="3" width="9" customWidth="1"/>
    <col min="4" max="4" width="8.6640625" bestFit="1" customWidth="1"/>
    <col min="5" max="6" width="9" customWidth="1"/>
    <col min="7" max="7" width="12.109375" bestFit="1" customWidth="1"/>
    <col min="8" max="8" width="2.44140625" customWidth="1"/>
    <col min="9" max="15" width="11.44140625" customWidth="1"/>
    <col min="16" max="16" width="10" customWidth="1"/>
    <col min="17" max="17" width="12" customWidth="1"/>
    <col min="18" max="18" width="17" customWidth="1"/>
    <col min="19" max="19" width="2.44140625" customWidth="1"/>
    <col min="20" max="24" width="11" customWidth="1"/>
    <col min="25" max="25" width="9" customWidth="1"/>
  </cols>
  <sheetData>
    <row r="1" spans="1:25" ht="15.6" x14ac:dyDescent="0.3">
      <c r="A1" s="1" t="s">
        <v>47</v>
      </c>
    </row>
    <row r="2" spans="1:25" x14ac:dyDescent="0.3">
      <c r="G2" s="9" t="s">
        <v>48</v>
      </c>
      <c r="I2" s="25" t="s">
        <v>16</v>
      </c>
      <c r="J2" s="25"/>
      <c r="K2" s="26">
        <f>'Konfigurasi Model'!$B$11</f>
        <v>0.1</v>
      </c>
      <c r="L2" s="26"/>
      <c r="M2" s="26"/>
    </row>
    <row r="3" spans="1:25" ht="15" customHeight="1" x14ac:dyDescent="0.3">
      <c r="G3" s="9" t="s">
        <v>49</v>
      </c>
      <c r="I3" s="24" t="s">
        <v>50</v>
      </c>
      <c r="J3" s="24"/>
      <c r="K3" s="24"/>
      <c r="L3" s="24"/>
      <c r="M3" s="24"/>
      <c r="N3" s="10" t="s">
        <v>51</v>
      </c>
      <c r="O3" s="10" t="s">
        <v>17</v>
      </c>
      <c r="P3" s="24" t="s">
        <v>52</v>
      </c>
      <c r="Q3" s="24" t="s">
        <v>20</v>
      </c>
      <c r="R3" s="24" t="s">
        <v>23</v>
      </c>
    </row>
    <row r="4" spans="1:25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  <c r="O4" s="10" t="s">
        <v>66</v>
      </c>
      <c r="P4" s="24"/>
      <c r="Q4" s="24"/>
      <c r="R4" s="24"/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0" t="s">
        <v>72</v>
      </c>
    </row>
    <row r="5" spans="1:25" x14ac:dyDescent="0.3">
      <c r="A5" s="23" t="s">
        <v>73</v>
      </c>
      <c r="B5" s="12">
        <v>1</v>
      </c>
      <c r="C5" s="12">
        <v>5.0999999999999996</v>
      </c>
      <c r="D5" s="12">
        <v>3.5</v>
      </c>
      <c r="E5" s="12">
        <v>1.4</v>
      </c>
      <c r="F5" s="12">
        <v>0.2</v>
      </c>
      <c r="G5" s="12">
        <v>0</v>
      </c>
      <c r="I5" s="13">
        <f>'Konfigurasi Model'!$B$10</f>
        <v>0.5</v>
      </c>
      <c r="J5" s="13">
        <f>'Konfigurasi Model'!$B$9</f>
        <v>0.5</v>
      </c>
      <c r="K5" s="13">
        <f>'Konfigurasi Model'!$B$9</f>
        <v>0.5</v>
      </c>
      <c r="L5" s="13">
        <f>'Konfigurasi Model'!$B$9</f>
        <v>0.5</v>
      </c>
      <c r="M5" s="13">
        <f>'Konfigurasi Model'!$B$9</f>
        <v>0.5</v>
      </c>
      <c r="N5" s="13">
        <f t="shared" ref="N5:N36" si="0">I5+J5*C5+K5*D5+L5*E5+M5*F5</f>
        <v>5.6</v>
      </c>
      <c r="O5" s="13">
        <f t="shared" ref="O5:O36" si="1">1/(1+EXP(-N5))</f>
        <v>0.99631576010056411</v>
      </c>
      <c r="P5" s="12">
        <f t="shared" ref="P5:P36" si="2">IF(O5&gt;0.5,1,0)</f>
        <v>1</v>
      </c>
      <c r="Q5" s="13">
        <f t="shared" ref="Q5:Q36" si="3">O5-G5</f>
        <v>0.99631576010056411</v>
      </c>
      <c r="R5" s="13">
        <f t="shared" ref="R5:R36" si="4">Q5^2</f>
        <v>0.99264509382476485</v>
      </c>
      <c r="T5" s="14">
        <f t="shared" ref="T5:T36" si="5">2*(O5-G5)*(1-O5)*O5</f>
        <v>7.3142853212969676E-3</v>
      </c>
      <c r="U5" s="14">
        <f t="shared" ref="U5:U36" si="6">2*(O5-G5)*(1-O5)*O5*C5</f>
        <v>3.7302855138614532E-2</v>
      </c>
      <c r="V5" s="14">
        <f t="shared" ref="V5:V36" si="7">2*(O5-G5)*(1-O5)*O5*D5</f>
        <v>2.5599998624539388E-2</v>
      </c>
      <c r="W5" s="14">
        <f t="shared" ref="W5:W36" si="8">2*(O5-G5)*(1-O5)*O5*E5</f>
        <v>1.0239999449815754E-2</v>
      </c>
      <c r="X5" s="14">
        <f t="shared" ref="X5:X36" si="9">2*(O5-G5)*(1-O5)*O5*F5</f>
        <v>1.4628570642593935E-3</v>
      </c>
      <c r="Y5" s="12">
        <f t="shared" ref="Y5:Y36" si="10">IF(P5=G5,1,0)</f>
        <v>0</v>
      </c>
    </row>
    <row r="6" spans="1:25" x14ac:dyDescent="0.3">
      <c r="A6" s="23"/>
      <c r="B6" s="12">
        <v>2</v>
      </c>
      <c r="C6" s="12">
        <v>4.9000000000000004</v>
      </c>
      <c r="D6" s="12">
        <v>3</v>
      </c>
      <c r="E6" s="12">
        <v>1.4</v>
      </c>
      <c r="F6" s="12">
        <v>0.2</v>
      </c>
      <c r="G6" s="12">
        <v>0</v>
      </c>
      <c r="I6" s="13">
        <f>I5-('Konfigurasi Model'!$B$11*T5)</f>
        <v>0.49926857146787029</v>
      </c>
      <c r="J6" s="13">
        <f>J5-('Konfigurasi Model'!$B$11*U5)</f>
        <v>0.49626971448613855</v>
      </c>
      <c r="K6" s="13">
        <f>K5-('Konfigurasi Model'!$B$11*V5)</f>
        <v>0.49744000013754608</v>
      </c>
      <c r="L6" s="13">
        <f>L5-('Konfigurasi Model'!$B$11*W5)</f>
        <v>0.49897600005501841</v>
      </c>
      <c r="M6" s="13">
        <f>M5-('Konfigurasi Model'!$B$11*X5)</f>
        <v>0.49985371429357406</v>
      </c>
      <c r="N6" s="13">
        <f t="shared" si="0"/>
        <v>5.2218473157983274</v>
      </c>
      <c r="O6" s="13">
        <f t="shared" si="1"/>
        <v>0.99463162568864605</v>
      </c>
      <c r="P6" s="12">
        <f t="shared" si="2"/>
        <v>1</v>
      </c>
      <c r="Q6" s="13">
        <f t="shared" si="3"/>
        <v>0.99463162568864605</v>
      </c>
      <c r="R6" s="13">
        <f t="shared" si="4"/>
        <v>0.98929207082003889</v>
      </c>
      <c r="T6" s="14">
        <f t="shared" si="5"/>
        <v>1.0621780278832902E-2</v>
      </c>
      <c r="U6" s="14">
        <f t="shared" si="6"/>
        <v>5.2046723366281224E-2</v>
      </c>
      <c r="V6" s="14">
        <f t="shared" si="7"/>
        <v>3.186534083649871E-2</v>
      </c>
      <c r="W6" s="14">
        <f t="shared" si="8"/>
        <v>1.4870492390366061E-2</v>
      </c>
      <c r="X6" s="14">
        <f t="shared" si="9"/>
        <v>2.1243560557665806E-3</v>
      </c>
      <c r="Y6" s="12">
        <f t="shared" si="10"/>
        <v>0</v>
      </c>
    </row>
    <row r="7" spans="1:25" x14ac:dyDescent="0.3">
      <c r="A7" s="23"/>
      <c r="B7" s="12">
        <v>3</v>
      </c>
      <c r="C7" s="12">
        <v>4.7</v>
      </c>
      <c r="D7" s="12">
        <v>3.2</v>
      </c>
      <c r="E7" s="12">
        <v>1.3</v>
      </c>
      <c r="F7" s="12">
        <v>0.2</v>
      </c>
      <c r="G7" s="12">
        <v>0</v>
      </c>
      <c r="I7" s="13">
        <f>I6-('Konfigurasi Model'!$B$11*T6)</f>
        <v>0.49820639343998702</v>
      </c>
      <c r="J7" s="13">
        <f>J6-('Konfigurasi Model'!$B$11*U6)</f>
        <v>0.49106504214951041</v>
      </c>
      <c r="K7" s="13">
        <f>K6-('Konfigurasi Model'!$B$11*V6)</f>
        <v>0.4942534660538962</v>
      </c>
      <c r="L7" s="13">
        <f>L6-('Konfigurasi Model'!$B$11*W6)</f>
        <v>0.49748895081598182</v>
      </c>
      <c r="M7" s="13">
        <f>M6-('Konfigurasi Model'!$B$11*X6)</f>
        <v>0.4996412786879974</v>
      </c>
      <c r="N7" s="13">
        <f t="shared" si="0"/>
        <v>5.1344870747135296</v>
      </c>
      <c r="O7" s="13">
        <f t="shared" si="1"/>
        <v>0.99414441790221386</v>
      </c>
      <c r="P7" s="12">
        <f t="shared" si="2"/>
        <v>1</v>
      </c>
      <c r="Q7" s="13">
        <f t="shared" si="3"/>
        <v>0.99414441790221386</v>
      </c>
      <c r="R7" s="13">
        <f t="shared" si="4"/>
        <v>0.98832312364613162</v>
      </c>
      <c r="T7" s="14">
        <f t="shared" si="5"/>
        <v>1.157441437930073E-2</v>
      </c>
      <c r="U7" s="14">
        <f t="shared" si="6"/>
        <v>5.4399747582713431E-2</v>
      </c>
      <c r="V7" s="14">
        <f t="shared" si="7"/>
        <v>3.7038126013762336E-2</v>
      </c>
      <c r="W7" s="14">
        <f t="shared" si="8"/>
        <v>1.504673869309095E-2</v>
      </c>
      <c r="X7" s="14">
        <f t="shared" si="9"/>
        <v>2.314882875860146E-3</v>
      </c>
      <c r="Y7" s="12">
        <f t="shared" si="10"/>
        <v>0</v>
      </c>
    </row>
    <row r="8" spans="1:25" x14ac:dyDescent="0.3">
      <c r="A8" s="23"/>
      <c r="B8" s="12">
        <v>4</v>
      </c>
      <c r="C8" s="12">
        <v>4.5999999999999996</v>
      </c>
      <c r="D8" s="12">
        <v>3.1</v>
      </c>
      <c r="E8" s="12">
        <v>1.5</v>
      </c>
      <c r="F8" s="12">
        <v>0.2</v>
      </c>
      <c r="G8" s="12">
        <v>0</v>
      </c>
      <c r="I8" s="13">
        <f>I7-('Konfigurasi Model'!$B$11*T7)</f>
        <v>0.49704895200205695</v>
      </c>
      <c r="J8" s="13">
        <f>J7-('Konfigurasi Model'!$B$11*U7)</f>
        <v>0.48562506739123906</v>
      </c>
      <c r="K8" s="13">
        <f>K7-('Konfigurasi Model'!$B$11*V7)</f>
        <v>0.49054965345251994</v>
      </c>
      <c r="L8" s="13">
        <f>L7-('Konfigurasi Model'!$B$11*W7)</f>
        <v>0.49598427694667274</v>
      </c>
      <c r="M8" s="13">
        <f>M7-('Konfigurasi Model'!$B$11*X7)</f>
        <v>0.49940979040041139</v>
      </c>
      <c r="N8" s="13">
        <f t="shared" si="0"/>
        <v>5.0954865612046607</v>
      </c>
      <c r="O8" s="13">
        <f t="shared" si="1"/>
        <v>0.99391295301012028</v>
      </c>
      <c r="P8" s="12">
        <f t="shared" si="2"/>
        <v>1</v>
      </c>
      <c r="Q8" s="13">
        <f t="shared" si="3"/>
        <v>0.99391295301012028</v>
      </c>
      <c r="R8" s="13">
        <f t="shared" si="4"/>
        <v>0.98786295816129754</v>
      </c>
      <c r="T8" s="14">
        <f t="shared" si="5"/>
        <v>1.2026336491778802E-2</v>
      </c>
      <c r="U8" s="14">
        <f t="shared" si="6"/>
        <v>5.5321147862182486E-2</v>
      </c>
      <c r="V8" s="14">
        <f t="shared" si="7"/>
        <v>3.7281643124514284E-2</v>
      </c>
      <c r="W8" s="14">
        <f t="shared" si="8"/>
        <v>1.8039504737668202E-2</v>
      </c>
      <c r="X8" s="14">
        <f t="shared" si="9"/>
        <v>2.4052672983557607E-3</v>
      </c>
      <c r="Y8" s="12">
        <f t="shared" si="10"/>
        <v>0</v>
      </c>
    </row>
    <row r="9" spans="1:25" x14ac:dyDescent="0.3">
      <c r="A9" s="23"/>
      <c r="B9" s="12">
        <v>5</v>
      </c>
      <c r="C9" s="12">
        <v>5</v>
      </c>
      <c r="D9" s="12">
        <v>3.6</v>
      </c>
      <c r="E9" s="12">
        <v>1.4</v>
      </c>
      <c r="F9" s="12">
        <v>0.2</v>
      </c>
      <c r="G9" s="12">
        <v>0</v>
      </c>
      <c r="I9" s="13">
        <f>I8-('Konfigurasi Model'!$B$11*T8)</f>
        <v>0.49584631835287907</v>
      </c>
      <c r="J9" s="13">
        <f>J8-('Konfigurasi Model'!$B$11*U8)</f>
        <v>0.48009295260502083</v>
      </c>
      <c r="K9" s="13">
        <f>K8-('Konfigurasi Model'!$B$11*V8)</f>
        <v>0.48682148914006851</v>
      </c>
      <c r="L9" s="13">
        <f>L8-('Konfigurasi Model'!$B$11*W8)</f>
        <v>0.49418032647290594</v>
      </c>
      <c r="M9" s="13">
        <f>M8-('Konfigurasi Model'!$B$11*X8)</f>
        <v>0.49916926367057579</v>
      </c>
      <c r="N9" s="13">
        <f t="shared" si="0"/>
        <v>5.4405547520784125</v>
      </c>
      <c r="O9" s="13">
        <f t="shared" si="1"/>
        <v>0.99568165240332707</v>
      </c>
      <c r="P9" s="12">
        <f t="shared" si="2"/>
        <v>1</v>
      </c>
      <c r="Q9" s="13">
        <f t="shared" si="3"/>
        <v>0.99568165240332707</v>
      </c>
      <c r="R9" s="13">
        <f t="shared" si="4"/>
        <v>0.99138195293261977</v>
      </c>
      <c r="T9" s="14">
        <f t="shared" si="5"/>
        <v>8.5622637476629963E-3</v>
      </c>
      <c r="U9" s="14">
        <f t="shared" si="6"/>
        <v>4.281131873831498E-2</v>
      </c>
      <c r="V9" s="14">
        <f t="shared" si="7"/>
        <v>3.0824149491586787E-2</v>
      </c>
      <c r="W9" s="14">
        <f t="shared" si="8"/>
        <v>1.1987169246728194E-2</v>
      </c>
      <c r="X9" s="14">
        <f t="shared" si="9"/>
        <v>1.7124527495325993E-3</v>
      </c>
      <c r="Y9" s="12">
        <f t="shared" si="10"/>
        <v>0</v>
      </c>
    </row>
    <row r="10" spans="1:25" x14ac:dyDescent="0.3">
      <c r="A10" s="23"/>
      <c r="B10" s="12">
        <v>6</v>
      </c>
      <c r="C10" s="12">
        <v>5.4</v>
      </c>
      <c r="D10" s="12">
        <v>3.9</v>
      </c>
      <c r="E10" s="12">
        <v>1.7</v>
      </c>
      <c r="F10" s="12">
        <v>0.4</v>
      </c>
      <c r="G10" s="12">
        <v>0</v>
      </c>
      <c r="I10" s="13">
        <f>I9-('Konfigurasi Model'!$B$11*T9)</f>
        <v>0.49499009197811278</v>
      </c>
      <c r="J10" s="13">
        <f>J9-('Konfigurasi Model'!$B$11*U9)</f>
        <v>0.47581182073118933</v>
      </c>
      <c r="K10" s="13">
        <f>K9-('Konfigurasi Model'!$B$11*V9)</f>
        <v>0.48373907419090983</v>
      </c>
      <c r="L10" s="13">
        <f>L9-('Konfigurasi Model'!$B$11*W9)</f>
        <v>0.49298160954823311</v>
      </c>
      <c r="M10" s="13">
        <f>M9-('Konfigurasi Model'!$B$11*X9)</f>
        <v>0.49899801839562252</v>
      </c>
      <c r="N10" s="13">
        <f t="shared" si="0"/>
        <v>5.9886242568613284</v>
      </c>
      <c r="O10" s="13">
        <f t="shared" si="1"/>
        <v>0.99749915906613107</v>
      </c>
      <c r="P10" s="12">
        <f t="shared" si="2"/>
        <v>1</v>
      </c>
      <c r="Q10" s="13">
        <f t="shared" si="3"/>
        <v>0.99749915906613107</v>
      </c>
      <c r="R10" s="13">
        <f t="shared" si="4"/>
        <v>0.99500457233763862</v>
      </c>
      <c r="T10" s="14">
        <f t="shared" si="5"/>
        <v>4.9766963277774329E-3</v>
      </c>
      <c r="U10" s="14">
        <f t="shared" si="6"/>
        <v>2.6874160169998138E-2</v>
      </c>
      <c r="V10" s="14">
        <f t="shared" si="7"/>
        <v>1.9409115678331989E-2</v>
      </c>
      <c r="W10" s="14">
        <f t="shared" si="8"/>
        <v>8.4603837572216362E-3</v>
      </c>
      <c r="X10" s="14">
        <f t="shared" si="9"/>
        <v>1.9906785311109734E-3</v>
      </c>
      <c r="Y10" s="12">
        <f t="shared" si="10"/>
        <v>0</v>
      </c>
    </row>
    <row r="11" spans="1:25" x14ac:dyDescent="0.3">
      <c r="A11" s="23"/>
      <c r="B11" s="12">
        <v>7</v>
      </c>
      <c r="C11" s="12">
        <v>4.5999999999999996</v>
      </c>
      <c r="D11" s="12">
        <v>3.4</v>
      </c>
      <c r="E11" s="12">
        <v>1.4</v>
      </c>
      <c r="F11" s="12">
        <v>0.3</v>
      </c>
      <c r="G11" s="12">
        <v>0</v>
      </c>
      <c r="I11" s="13">
        <f>I10-('Konfigurasi Model'!$B$11*T10)</f>
        <v>0.49449242234533503</v>
      </c>
      <c r="J11" s="13">
        <f>J10-('Konfigurasi Model'!$B$11*U10)</f>
        <v>0.47312440471418954</v>
      </c>
      <c r="K11" s="13">
        <f>K10-('Konfigurasi Model'!$B$11*V10)</f>
        <v>0.48179816262307662</v>
      </c>
      <c r="L11" s="13">
        <f>L10-('Konfigurasi Model'!$B$11*W10)</f>
        <v>0.49213557117251094</v>
      </c>
      <c r="M11" s="13">
        <f>M10-('Konfigurasi Model'!$B$11*X10)</f>
        <v>0.49879895054251144</v>
      </c>
      <c r="N11" s="13">
        <f t="shared" si="0"/>
        <v>5.1476079217533357</v>
      </c>
      <c r="O11" s="13">
        <f t="shared" si="1"/>
        <v>0.99422030510326753</v>
      </c>
      <c r="P11" s="12">
        <f t="shared" si="2"/>
        <v>1</v>
      </c>
      <c r="Q11" s="13">
        <f t="shared" si="3"/>
        <v>0.99422030510326753</v>
      </c>
      <c r="R11" s="13">
        <f t="shared" si="4"/>
        <v>0.98847401507963439</v>
      </c>
      <c r="T11" s="14">
        <f t="shared" si="5"/>
        <v>1.1426156441016832E-2</v>
      </c>
      <c r="U11" s="14">
        <f t="shared" si="6"/>
        <v>5.2560319628677424E-2</v>
      </c>
      <c r="V11" s="14">
        <f t="shared" si="7"/>
        <v>3.8848931899457227E-2</v>
      </c>
      <c r="W11" s="14">
        <f t="shared" si="8"/>
        <v>1.5996619017423563E-2</v>
      </c>
      <c r="X11" s="14">
        <f t="shared" si="9"/>
        <v>3.4278469323050496E-3</v>
      </c>
      <c r="Y11" s="12">
        <f t="shared" si="10"/>
        <v>0</v>
      </c>
    </row>
    <row r="12" spans="1:25" x14ac:dyDescent="0.3">
      <c r="A12" s="23"/>
      <c r="B12" s="12">
        <v>8</v>
      </c>
      <c r="C12" s="12">
        <v>5</v>
      </c>
      <c r="D12" s="12">
        <v>3.4</v>
      </c>
      <c r="E12" s="12">
        <v>1.5</v>
      </c>
      <c r="F12" s="12">
        <v>0.2</v>
      </c>
      <c r="G12" s="12">
        <v>0</v>
      </c>
      <c r="I12" s="13">
        <f>I11-('Konfigurasi Model'!$B$11*T11)</f>
        <v>0.49334980670123335</v>
      </c>
      <c r="J12" s="13">
        <f>J11-('Konfigurasi Model'!$B$11*U11)</f>
        <v>0.46786837275132181</v>
      </c>
      <c r="K12" s="13">
        <f>K11-('Konfigurasi Model'!$B$11*V11)</f>
        <v>0.47791326943313089</v>
      </c>
      <c r="L12" s="13">
        <f>L11-('Konfigurasi Model'!$B$11*W11)</f>
        <v>0.49053590927076857</v>
      </c>
      <c r="M12" s="13">
        <f>M11-('Konfigurasi Model'!$B$11*X11)</f>
        <v>0.49845616584928093</v>
      </c>
      <c r="N12" s="13">
        <f t="shared" si="0"/>
        <v>5.293091883606496</v>
      </c>
      <c r="O12" s="13">
        <f t="shared" si="1"/>
        <v>0.99499894050626514</v>
      </c>
      <c r="P12" s="12">
        <f t="shared" si="2"/>
        <v>1</v>
      </c>
      <c r="Q12" s="13">
        <f t="shared" si="3"/>
        <v>0.99499894050626514</v>
      </c>
      <c r="R12" s="13">
        <f t="shared" si="4"/>
        <v>0.99002289160859014</v>
      </c>
      <c r="T12" s="14">
        <f t="shared" si="5"/>
        <v>9.9023267621879563E-3</v>
      </c>
      <c r="U12" s="14">
        <f t="shared" si="6"/>
        <v>4.951163381093978E-2</v>
      </c>
      <c r="V12" s="14">
        <f t="shared" si="7"/>
        <v>3.3667910991439051E-2</v>
      </c>
      <c r="W12" s="14">
        <f t="shared" si="8"/>
        <v>1.4853490143281935E-2</v>
      </c>
      <c r="X12" s="14">
        <f t="shared" si="9"/>
        <v>1.9804653524375915E-3</v>
      </c>
      <c r="Y12" s="12">
        <f t="shared" si="10"/>
        <v>0</v>
      </c>
    </row>
    <row r="13" spans="1:25" x14ac:dyDescent="0.3">
      <c r="A13" s="23"/>
      <c r="B13" s="12">
        <v>9</v>
      </c>
      <c r="C13" s="12">
        <v>4.4000000000000004</v>
      </c>
      <c r="D13" s="12">
        <v>2.9</v>
      </c>
      <c r="E13" s="12">
        <v>1.4</v>
      </c>
      <c r="F13" s="12">
        <v>0.2</v>
      </c>
      <c r="G13" s="12">
        <v>0</v>
      </c>
      <c r="I13" s="13">
        <f>I12-('Konfigurasi Model'!$B$11*T12)</f>
        <v>0.49235957402501457</v>
      </c>
      <c r="J13" s="13">
        <f>J12-('Konfigurasi Model'!$B$11*U12)</f>
        <v>0.46291720937022784</v>
      </c>
      <c r="K13" s="13">
        <f>K12-('Konfigurasi Model'!$B$11*V12)</f>
        <v>0.474546478333987</v>
      </c>
      <c r="L13" s="13">
        <f>L12-('Konfigurasi Model'!$B$11*W12)</f>
        <v>0.48905056025644039</v>
      </c>
      <c r="M13" s="13">
        <f>M12-('Konfigurasi Model'!$B$11*X12)</f>
        <v>0.49825811931403718</v>
      </c>
      <c r="N13" s="13">
        <f t="shared" si="0"/>
        <v>4.6897024906444029</v>
      </c>
      <c r="O13" s="13">
        <f t="shared" si="1"/>
        <v>0.99089425680783483</v>
      </c>
      <c r="P13" s="12">
        <f t="shared" si="2"/>
        <v>1</v>
      </c>
      <c r="Q13" s="13">
        <f t="shared" si="3"/>
        <v>0.99089425680783483</v>
      </c>
      <c r="R13" s="13">
        <f t="shared" si="4"/>
        <v>0.98187142817475137</v>
      </c>
      <c r="T13" s="14">
        <f t="shared" si="5"/>
        <v>1.7881338145367472E-2</v>
      </c>
      <c r="U13" s="14">
        <f t="shared" si="6"/>
        <v>7.8677887839616878E-2</v>
      </c>
      <c r="V13" s="14">
        <f t="shared" si="7"/>
        <v>5.1855880621565667E-2</v>
      </c>
      <c r="W13" s="14">
        <f t="shared" si="8"/>
        <v>2.503387340351446E-2</v>
      </c>
      <c r="X13" s="14">
        <f t="shared" si="9"/>
        <v>3.5762676290734944E-3</v>
      </c>
      <c r="Y13" s="12">
        <f t="shared" si="10"/>
        <v>0</v>
      </c>
    </row>
    <row r="14" spans="1:25" x14ac:dyDescent="0.3">
      <c r="A14" s="23"/>
      <c r="B14" s="12">
        <v>10</v>
      </c>
      <c r="C14" s="12">
        <v>4.9000000000000004</v>
      </c>
      <c r="D14" s="12">
        <v>3.1</v>
      </c>
      <c r="E14" s="12">
        <v>1.5</v>
      </c>
      <c r="F14" s="12">
        <v>0.1</v>
      </c>
      <c r="G14" s="12">
        <v>0</v>
      </c>
      <c r="I14" s="13">
        <f>I13-('Konfigurasi Model'!$B$11*T13)</f>
        <v>0.49057144021047783</v>
      </c>
      <c r="J14" s="13">
        <f>J13-('Konfigurasi Model'!$B$11*U13)</f>
        <v>0.45504942058626618</v>
      </c>
      <c r="K14" s="13">
        <f>K13-('Konfigurasi Model'!$B$11*V13)</f>
        <v>0.46936089027183042</v>
      </c>
      <c r="L14" s="13">
        <f>L13-('Konfigurasi Model'!$B$11*W13)</f>
        <v>0.48654717291608895</v>
      </c>
      <c r="M14" s="13">
        <f>M13-('Konfigurasi Model'!$B$11*X13)</f>
        <v>0.49790049255112984</v>
      </c>
      <c r="N14" s="13">
        <f t="shared" si="0"/>
        <v>4.9549431695551025</v>
      </c>
      <c r="O14" s="13">
        <f t="shared" si="1"/>
        <v>0.99300085252033121</v>
      </c>
      <c r="P14" s="12">
        <f t="shared" si="2"/>
        <v>1</v>
      </c>
      <c r="Q14" s="13">
        <f t="shared" si="3"/>
        <v>0.99300085252033121</v>
      </c>
      <c r="R14" s="13">
        <f t="shared" si="4"/>
        <v>0.9860506931061046</v>
      </c>
      <c r="T14" s="14">
        <f t="shared" si="5"/>
        <v>1.3803028446958507E-2</v>
      </c>
      <c r="U14" s="14">
        <f t="shared" si="6"/>
        <v>6.7634839390096693E-2</v>
      </c>
      <c r="V14" s="14">
        <f t="shared" si="7"/>
        <v>4.2789388185571375E-2</v>
      </c>
      <c r="W14" s="14">
        <f t="shared" si="8"/>
        <v>2.070454267043776E-2</v>
      </c>
      <c r="X14" s="14">
        <f t="shared" si="9"/>
        <v>1.3803028446958507E-3</v>
      </c>
      <c r="Y14" s="12">
        <f t="shared" si="10"/>
        <v>0</v>
      </c>
    </row>
    <row r="15" spans="1:25" x14ac:dyDescent="0.3">
      <c r="A15" s="23"/>
      <c r="B15" s="12">
        <v>11</v>
      </c>
      <c r="C15" s="12">
        <v>5.4</v>
      </c>
      <c r="D15" s="12">
        <v>3.7</v>
      </c>
      <c r="E15" s="12">
        <v>1.5</v>
      </c>
      <c r="F15" s="12">
        <v>0.2</v>
      </c>
      <c r="G15" s="12">
        <v>0</v>
      </c>
      <c r="I15" s="13">
        <f>I14-('Konfigurasi Model'!$B$11*T14)</f>
        <v>0.48919113736578196</v>
      </c>
      <c r="J15" s="13">
        <f>J14-('Konfigurasi Model'!$B$11*U14)</f>
        <v>0.44828593664725652</v>
      </c>
      <c r="K15" s="13">
        <f>K14-('Konfigurasi Model'!$B$11*V14)</f>
        <v>0.4650819514532733</v>
      </c>
      <c r="L15" s="13">
        <f>L14-('Konfigurasi Model'!$B$11*W14)</f>
        <v>0.48447671864904518</v>
      </c>
      <c r="M15" s="13">
        <f>M14-('Konfigurasi Model'!$B$11*X14)</f>
        <v>0.49776246226666027</v>
      </c>
      <c r="N15" s="13">
        <f t="shared" si="0"/>
        <v>5.4570059860649787</v>
      </c>
      <c r="O15" s="13">
        <f t="shared" si="1"/>
        <v>0.99575181404464608</v>
      </c>
      <c r="P15" s="12">
        <f t="shared" si="2"/>
        <v>1</v>
      </c>
      <c r="Q15" s="13">
        <f t="shared" si="3"/>
        <v>0.99575181404464608</v>
      </c>
      <c r="R15" s="13">
        <f t="shared" si="4"/>
        <v>0.99152167517320344</v>
      </c>
      <c r="T15" s="14">
        <f t="shared" si="5"/>
        <v>8.4243369097995943E-3</v>
      </c>
      <c r="U15" s="14">
        <f t="shared" si="6"/>
        <v>4.5491419312917815E-2</v>
      </c>
      <c r="V15" s="14">
        <f t="shared" si="7"/>
        <v>3.1170046566258502E-2</v>
      </c>
      <c r="W15" s="14">
        <f t="shared" si="8"/>
        <v>1.2636505364699391E-2</v>
      </c>
      <c r="X15" s="14">
        <f t="shared" si="9"/>
        <v>1.684867381959919E-3</v>
      </c>
      <c r="Y15" s="12">
        <f t="shared" si="10"/>
        <v>0</v>
      </c>
    </row>
    <row r="16" spans="1:25" x14ac:dyDescent="0.3">
      <c r="A16" s="23"/>
      <c r="B16" s="12">
        <v>12</v>
      </c>
      <c r="C16" s="12">
        <v>4.8</v>
      </c>
      <c r="D16" s="12">
        <v>3.4</v>
      </c>
      <c r="E16" s="12">
        <v>1.6</v>
      </c>
      <c r="F16" s="12">
        <v>0.2</v>
      </c>
      <c r="G16" s="12">
        <v>0</v>
      </c>
      <c r="I16" s="13">
        <f>I15-('Konfigurasi Model'!$B$11*T15)</f>
        <v>0.48834870367480199</v>
      </c>
      <c r="J16" s="13">
        <f>J15-('Konfigurasi Model'!$B$11*U15)</f>
        <v>0.44373679471596472</v>
      </c>
      <c r="K16" s="13">
        <f>K15-('Konfigurasi Model'!$B$11*V15)</f>
        <v>0.46196494679664746</v>
      </c>
      <c r="L16" s="13">
        <f>L15-('Konfigurasi Model'!$B$11*W15)</f>
        <v>0.48321306811257525</v>
      </c>
      <c r="M16" s="13">
        <f>M15-('Konfigurasi Model'!$B$11*X15)</f>
        <v>0.49759397552846429</v>
      </c>
      <c r="N16" s="13">
        <f t="shared" si="0"/>
        <v>5.0616258415058466</v>
      </c>
      <c r="O16" s="13">
        <f t="shared" si="1"/>
        <v>0.99370463171720924</v>
      </c>
      <c r="P16" s="12">
        <f t="shared" si="2"/>
        <v>1</v>
      </c>
      <c r="Q16" s="13">
        <f t="shared" si="3"/>
        <v>0.99370463171720924</v>
      </c>
      <c r="R16" s="13">
        <f t="shared" si="4"/>
        <v>0.98744889509623446</v>
      </c>
      <c r="T16" s="14">
        <f t="shared" si="5"/>
        <v>1.2432708910131228E-2</v>
      </c>
      <c r="U16" s="14">
        <f t="shared" si="6"/>
        <v>5.9677002768629889E-2</v>
      </c>
      <c r="V16" s="14">
        <f t="shared" si="7"/>
        <v>4.2271210294446172E-2</v>
      </c>
      <c r="W16" s="14">
        <f t="shared" si="8"/>
        <v>1.9892334256209968E-2</v>
      </c>
      <c r="X16" s="14">
        <f t="shared" si="9"/>
        <v>2.4865417820262459E-3</v>
      </c>
      <c r="Y16" s="12">
        <f t="shared" si="10"/>
        <v>0</v>
      </c>
    </row>
    <row r="17" spans="1:25" x14ac:dyDescent="0.3">
      <c r="A17" s="23"/>
      <c r="B17" s="12">
        <v>13</v>
      </c>
      <c r="C17" s="12">
        <v>4.8</v>
      </c>
      <c r="D17" s="12">
        <v>3</v>
      </c>
      <c r="E17" s="12">
        <v>1.4</v>
      </c>
      <c r="F17" s="12">
        <v>0.1</v>
      </c>
      <c r="G17" s="12">
        <v>0</v>
      </c>
      <c r="I17" s="13">
        <f>I16-('Konfigurasi Model'!$B$11*T16)</f>
        <v>0.48710543278378887</v>
      </c>
      <c r="J17" s="13">
        <f>J16-('Konfigurasi Model'!$B$11*U16)</f>
        <v>0.43776909443910172</v>
      </c>
      <c r="K17" s="13">
        <f>K16-('Konfigurasi Model'!$B$11*V16)</f>
        <v>0.45773782576720284</v>
      </c>
      <c r="L17" s="13">
        <f>L16-('Konfigurasi Model'!$B$11*W16)</f>
        <v>0.48122383468695423</v>
      </c>
      <c r="M17" s="13">
        <f>M16-('Konfigurasi Model'!$B$11*X16)</f>
        <v>0.49734532135026166</v>
      </c>
      <c r="N17" s="13">
        <f t="shared" si="0"/>
        <v>4.6850584640898472</v>
      </c>
      <c r="O17" s="13">
        <f t="shared" si="1"/>
        <v>0.99085225888378836</v>
      </c>
      <c r="P17" s="12">
        <f t="shared" si="2"/>
        <v>1</v>
      </c>
      <c r="Q17" s="13">
        <f t="shared" si="3"/>
        <v>0.99085225888378836</v>
      </c>
      <c r="R17" s="13">
        <f t="shared" si="4"/>
        <v>0.98178819893510594</v>
      </c>
      <c r="T17" s="14">
        <f t="shared" si="5"/>
        <v>1.7962288549620082E-2</v>
      </c>
      <c r="U17" s="14">
        <f t="shared" si="6"/>
        <v>8.6218985038176391E-2</v>
      </c>
      <c r="V17" s="14">
        <f t="shared" si="7"/>
        <v>5.3886865648860249E-2</v>
      </c>
      <c r="W17" s="14">
        <f t="shared" si="8"/>
        <v>2.5147203969468113E-2</v>
      </c>
      <c r="X17" s="14">
        <f t="shared" si="9"/>
        <v>1.7962288549620083E-3</v>
      </c>
      <c r="Y17" s="12">
        <f t="shared" si="10"/>
        <v>0</v>
      </c>
    </row>
    <row r="18" spans="1:25" x14ac:dyDescent="0.3">
      <c r="A18" s="23"/>
      <c r="B18" s="12">
        <v>14</v>
      </c>
      <c r="C18" s="12">
        <v>4.3</v>
      </c>
      <c r="D18" s="12">
        <v>3</v>
      </c>
      <c r="E18" s="12">
        <v>1.1000000000000001</v>
      </c>
      <c r="F18" s="12">
        <v>0.1</v>
      </c>
      <c r="G18" s="12">
        <v>0</v>
      </c>
      <c r="I18" s="13">
        <f>I17-('Konfigurasi Model'!$B$11*T17)</f>
        <v>0.48530920392882687</v>
      </c>
      <c r="J18" s="13">
        <f>J17-('Konfigurasi Model'!$B$11*U17)</f>
        <v>0.42914719593528411</v>
      </c>
      <c r="K18" s="13">
        <f>K17-('Konfigurasi Model'!$B$11*V17)</f>
        <v>0.45234913920231684</v>
      </c>
      <c r="L18" s="13">
        <f>L17-('Konfigurasi Model'!$B$11*W17)</f>
        <v>0.4787091142900074</v>
      </c>
      <c r="M18" s="13">
        <f>M17-('Konfigurasi Model'!$B$11*X17)</f>
        <v>0.49716569846476544</v>
      </c>
      <c r="N18" s="13">
        <f t="shared" si="0"/>
        <v>4.2639861596229833</v>
      </c>
      <c r="O18" s="13">
        <f t="shared" si="1"/>
        <v>0.9861289905852415</v>
      </c>
      <c r="P18" s="12">
        <f t="shared" si="2"/>
        <v>1</v>
      </c>
      <c r="Q18" s="13">
        <f t="shared" si="3"/>
        <v>0.9861289905852415</v>
      </c>
      <c r="R18" s="13">
        <f t="shared" si="4"/>
        <v>0.97245038607266732</v>
      </c>
      <c r="T18" s="14">
        <f t="shared" si="5"/>
        <v>2.6977736921199005E-2</v>
      </c>
      <c r="U18" s="14">
        <f t="shared" si="6"/>
        <v>0.11600426876115572</v>
      </c>
      <c r="V18" s="14">
        <f t="shared" si="7"/>
        <v>8.093321076359701E-2</v>
      </c>
      <c r="W18" s="14">
        <f t="shared" si="8"/>
        <v>2.9675510613318908E-2</v>
      </c>
      <c r="X18" s="14">
        <f t="shared" si="9"/>
        <v>2.6977736921199006E-3</v>
      </c>
      <c r="Y18" s="12">
        <f t="shared" si="10"/>
        <v>0</v>
      </c>
    </row>
    <row r="19" spans="1:25" x14ac:dyDescent="0.3">
      <c r="A19" s="23"/>
      <c r="B19" s="12">
        <v>15</v>
      </c>
      <c r="C19" s="12">
        <v>5.8</v>
      </c>
      <c r="D19" s="12">
        <v>4</v>
      </c>
      <c r="E19" s="12">
        <v>1.2</v>
      </c>
      <c r="F19" s="12">
        <v>0.2</v>
      </c>
      <c r="G19" s="12">
        <v>0</v>
      </c>
      <c r="I19" s="13">
        <f>I18-('Konfigurasi Model'!$B$11*T18)</f>
        <v>0.482611430236707</v>
      </c>
      <c r="J19" s="13">
        <f>J18-('Konfigurasi Model'!$B$11*U18)</f>
        <v>0.41754676905916854</v>
      </c>
      <c r="K19" s="13">
        <f>K18-('Konfigurasi Model'!$B$11*V18)</f>
        <v>0.44425581812595716</v>
      </c>
      <c r="L19" s="13">
        <f>L18-('Konfigurasi Model'!$B$11*W18)</f>
        <v>0.4757415632286755</v>
      </c>
      <c r="M19" s="13">
        <f>M18-('Konfigurasi Model'!$B$11*X18)</f>
        <v>0.49689592109555347</v>
      </c>
      <c r="N19" s="13">
        <f t="shared" si="0"/>
        <v>5.3516750233772346</v>
      </c>
      <c r="O19" s="13">
        <f t="shared" si="1"/>
        <v>0.99528215913725904</v>
      </c>
      <c r="P19" s="12">
        <f t="shared" si="2"/>
        <v>1</v>
      </c>
      <c r="Q19" s="13">
        <f t="shared" si="3"/>
        <v>0.99528215913725904</v>
      </c>
      <c r="R19" s="13">
        <f t="shared" si="4"/>
        <v>0.99058657629692426</v>
      </c>
      <c r="T19" s="14">
        <f t="shared" si="5"/>
        <v>9.3468596554725954E-3</v>
      </c>
      <c r="U19" s="14">
        <f t="shared" si="6"/>
        <v>5.421178600174105E-2</v>
      </c>
      <c r="V19" s="14">
        <f t="shared" si="7"/>
        <v>3.7387438621890381E-2</v>
      </c>
      <c r="W19" s="14">
        <f t="shared" si="8"/>
        <v>1.1216231586567114E-2</v>
      </c>
      <c r="X19" s="14">
        <f t="shared" si="9"/>
        <v>1.8693719310945191E-3</v>
      </c>
      <c r="Y19" s="12">
        <f t="shared" si="10"/>
        <v>0</v>
      </c>
    </row>
    <row r="20" spans="1:25" x14ac:dyDescent="0.3">
      <c r="A20" s="23"/>
      <c r="B20" s="12">
        <v>16</v>
      </c>
      <c r="C20" s="12">
        <v>5.7</v>
      </c>
      <c r="D20" s="12">
        <v>4.4000000000000004</v>
      </c>
      <c r="E20" s="12">
        <v>1.5</v>
      </c>
      <c r="F20" s="12">
        <v>0.4</v>
      </c>
      <c r="G20" s="12">
        <v>0</v>
      </c>
      <c r="I20" s="13">
        <f>I19-('Konfigurasi Model'!$B$11*T19)</f>
        <v>0.48167674427115975</v>
      </c>
      <c r="J20" s="13">
        <f>J19-('Konfigurasi Model'!$B$11*U19)</f>
        <v>0.41212559045899444</v>
      </c>
      <c r="K20" s="13">
        <f>K19-('Konfigurasi Model'!$B$11*V19)</f>
        <v>0.44051707426376813</v>
      </c>
      <c r="L20" s="13">
        <f>L19-('Konfigurasi Model'!$B$11*W19)</f>
        <v>0.47461994007001879</v>
      </c>
      <c r="M20" s="13">
        <f>M19-('Konfigurasi Model'!$B$11*X19)</f>
        <v>0.496708983902444</v>
      </c>
      <c r="N20" s="13">
        <f t="shared" si="0"/>
        <v>5.6796812403140136</v>
      </c>
      <c r="O20" s="13">
        <f t="shared" si="1"/>
        <v>0.99659697341192932</v>
      </c>
      <c r="P20" s="12">
        <f t="shared" si="2"/>
        <v>1</v>
      </c>
      <c r="Q20" s="13">
        <f t="shared" si="3"/>
        <v>0.99659697341192932</v>
      </c>
      <c r="R20" s="13">
        <f t="shared" si="4"/>
        <v>0.99320552741381773</v>
      </c>
      <c r="T20" s="14">
        <f t="shared" si="5"/>
        <v>6.7598096344159671E-3</v>
      </c>
      <c r="U20" s="14">
        <f t="shared" si="6"/>
        <v>3.8530914916171013E-2</v>
      </c>
      <c r="V20" s="14">
        <f t="shared" si="7"/>
        <v>2.9743162391430256E-2</v>
      </c>
      <c r="W20" s="14">
        <f t="shared" si="8"/>
        <v>1.0139714451623951E-2</v>
      </c>
      <c r="X20" s="14">
        <f t="shared" si="9"/>
        <v>2.703923853766387E-3</v>
      </c>
      <c r="Y20" s="12">
        <f t="shared" si="10"/>
        <v>0</v>
      </c>
    </row>
    <row r="21" spans="1:25" x14ac:dyDescent="0.3">
      <c r="A21" s="23"/>
      <c r="B21" s="12">
        <v>17</v>
      </c>
      <c r="C21" s="12">
        <v>5.4</v>
      </c>
      <c r="D21" s="12">
        <v>3.9</v>
      </c>
      <c r="E21" s="12">
        <v>1.3</v>
      </c>
      <c r="F21" s="12">
        <v>0.4</v>
      </c>
      <c r="G21" s="12">
        <v>0</v>
      </c>
      <c r="I21" s="13">
        <f>I20-('Konfigurasi Model'!$B$11*T20)</f>
        <v>0.48100076330771818</v>
      </c>
      <c r="J21" s="13">
        <f>J20-('Konfigurasi Model'!$B$11*U20)</f>
        <v>0.40827249896737733</v>
      </c>
      <c r="K21" s="13">
        <f>K20-('Konfigurasi Model'!$B$11*V20)</f>
        <v>0.43754275802462511</v>
      </c>
      <c r="L21" s="13">
        <f>L20-('Konfigurasi Model'!$B$11*W20)</f>
        <v>0.47360596862485638</v>
      </c>
      <c r="M21" s="13">
        <f>M20-('Konfigurasi Model'!$B$11*X20)</f>
        <v>0.49643859151706737</v>
      </c>
      <c r="N21" s="13">
        <f t="shared" si="0"/>
        <v>5.2063522098467345</v>
      </c>
      <c r="O21" s="13">
        <f t="shared" si="1"/>
        <v>0.99454825137685732</v>
      </c>
      <c r="P21" s="12">
        <f t="shared" si="2"/>
        <v>1</v>
      </c>
      <c r="Q21" s="13">
        <f t="shared" si="3"/>
        <v>0.99454825137685732</v>
      </c>
      <c r="R21" s="13">
        <f t="shared" si="4"/>
        <v>0.98912622431676456</v>
      </c>
      <c r="T21" s="14">
        <f t="shared" si="5"/>
        <v>1.0784935063066483E-2</v>
      </c>
      <c r="U21" s="14">
        <f t="shared" si="6"/>
        <v>5.8238649340559015E-2</v>
      </c>
      <c r="V21" s="14">
        <f t="shared" si="7"/>
        <v>4.2061246745959284E-2</v>
      </c>
      <c r="W21" s="14">
        <f t="shared" si="8"/>
        <v>1.4020415581986429E-2</v>
      </c>
      <c r="X21" s="14">
        <f t="shared" si="9"/>
        <v>4.3139740252265933E-3</v>
      </c>
      <c r="Y21" s="12">
        <f t="shared" si="10"/>
        <v>0</v>
      </c>
    </row>
    <row r="22" spans="1:25" x14ac:dyDescent="0.3">
      <c r="A22" s="23"/>
      <c r="B22" s="12">
        <v>18</v>
      </c>
      <c r="C22" s="12">
        <v>5.0999999999999996</v>
      </c>
      <c r="D22" s="12">
        <v>3.5</v>
      </c>
      <c r="E22" s="12">
        <v>1.4</v>
      </c>
      <c r="F22" s="12">
        <v>0.3</v>
      </c>
      <c r="G22" s="12">
        <v>0</v>
      </c>
      <c r="I22" s="13">
        <f>I21-('Konfigurasi Model'!$B$11*T21)</f>
        <v>0.47992226980141156</v>
      </c>
      <c r="J22" s="13">
        <f>J21-('Konfigurasi Model'!$B$11*U21)</f>
        <v>0.40244863403332143</v>
      </c>
      <c r="K22" s="13">
        <f>K21-('Konfigurasi Model'!$B$11*V21)</f>
        <v>0.4333366333500292</v>
      </c>
      <c r="L22" s="13">
        <f>L21-('Konfigurasi Model'!$B$11*W21)</f>
        <v>0.47220392706665776</v>
      </c>
      <c r="M22" s="13">
        <f>M21-('Konfigurasi Model'!$B$11*X21)</f>
        <v>0.49600719411454469</v>
      </c>
      <c r="N22" s="13">
        <f t="shared" si="0"/>
        <v>4.8589761762241377</v>
      </c>
      <c r="O22" s="13">
        <f t="shared" si="1"/>
        <v>0.99230130663602134</v>
      </c>
      <c r="P22" s="12">
        <f t="shared" si="2"/>
        <v>1</v>
      </c>
      <c r="Q22" s="13">
        <f t="shared" si="3"/>
        <v>0.99230130663602134</v>
      </c>
      <c r="R22" s="13">
        <f t="shared" si="4"/>
        <v>0.98466188315155523</v>
      </c>
      <c r="T22" s="14">
        <f t="shared" si="5"/>
        <v>1.5161219811163217E-2</v>
      </c>
      <c r="U22" s="14">
        <f t="shared" si="6"/>
        <v>7.7322221036932398E-2</v>
      </c>
      <c r="V22" s="14">
        <f t="shared" si="7"/>
        <v>5.3064269339071254E-2</v>
      </c>
      <c r="W22" s="14">
        <f t="shared" si="8"/>
        <v>2.1225707735628502E-2</v>
      </c>
      <c r="X22" s="14">
        <f t="shared" si="9"/>
        <v>4.5483659433489644E-3</v>
      </c>
      <c r="Y22" s="12">
        <f t="shared" si="10"/>
        <v>0</v>
      </c>
    </row>
    <row r="23" spans="1:25" x14ac:dyDescent="0.3">
      <c r="A23" s="23"/>
      <c r="B23" s="12">
        <v>19</v>
      </c>
      <c r="C23" s="12">
        <v>5.7</v>
      </c>
      <c r="D23" s="12">
        <v>3.8</v>
      </c>
      <c r="E23" s="12">
        <v>1.7</v>
      </c>
      <c r="F23" s="12">
        <v>0.3</v>
      </c>
      <c r="G23" s="12">
        <v>0</v>
      </c>
      <c r="I23" s="13">
        <f>I22-('Konfigurasi Model'!$B$11*T22)</f>
        <v>0.47840614782029522</v>
      </c>
      <c r="J23" s="13">
        <f>J22-('Konfigurasi Model'!$B$11*U22)</f>
        <v>0.3947164119296282</v>
      </c>
      <c r="K23" s="13">
        <f>K22-('Konfigurasi Model'!$B$11*V22)</f>
        <v>0.42803020641612205</v>
      </c>
      <c r="L23" s="13">
        <f>L22-('Konfigurasi Model'!$B$11*W22)</f>
        <v>0.47008135629309489</v>
      </c>
      <c r="M23" s="13">
        <f>M22-('Konfigurasi Model'!$B$11*X22)</f>
        <v>0.49555235752020982</v>
      </c>
      <c r="N23" s="13">
        <f t="shared" si="0"/>
        <v>5.3026084931547635</v>
      </c>
      <c r="O23" s="13">
        <f t="shared" si="1"/>
        <v>0.99504607323629968</v>
      </c>
      <c r="P23" s="12">
        <f t="shared" si="2"/>
        <v>1</v>
      </c>
      <c r="Q23" s="13">
        <f t="shared" si="3"/>
        <v>0.99504607323629968</v>
      </c>
      <c r="R23" s="13">
        <f t="shared" si="4"/>
        <v>0.99011668786297946</v>
      </c>
      <c r="T23" s="14">
        <f t="shared" si="5"/>
        <v>9.8099311183814653E-3</v>
      </c>
      <c r="U23" s="14">
        <f t="shared" si="6"/>
        <v>5.5916607374774351E-2</v>
      </c>
      <c r="V23" s="14">
        <f t="shared" si="7"/>
        <v>3.7277738249849569E-2</v>
      </c>
      <c r="W23" s="14">
        <f t="shared" si="8"/>
        <v>1.667688290124849E-2</v>
      </c>
      <c r="X23" s="14">
        <f t="shared" si="9"/>
        <v>2.9429793355144397E-3</v>
      </c>
      <c r="Y23" s="12">
        <f t="shared" si="10"/>
        <v>0</v>
      </c>
    </row>
    <row r="24" spans="1:25" x14ac:dyDescent="0.3">
      <c r="A24" s="23"/>
      <c r="B24" s="12">
        <v>20</v>
      </c>
      <c r="C24" s="12">
        <v>5.0999999999999996</v>
      </c>
      <c r="D24" s="12">
        <v>3.8</v>
      </c>
      <c r="E24" s="12">
        <v>1.5</v>
      </c>
      <c r="F24" s="12">
        <v>0.3</v>
      </c>
      <c r="G24" s="12">
        <v>0</v>
      </c>
      <c r="I24" s="13">
        <f>I23-('Konfigurasi Model'!$B$11*T23)</f>
        <v>0.47742515470845709</v>
      </c>
      <c r="J24" s="13">
        <f>J23-('Konfigurasi Model'!$B$11*U23)</f>
        <v>0.38912475119215079</v>
      </c>
      <c r="K24" s="13">
        <f>K23-('Konfigurasi Model'!$B$11*V23)</f>
        <v>0.42430243259113709</v>
      </c>
      <c r="L24" s="13">
        <f>L23-('Konfigurasi Model'!$B$11*W23)</f>
        <v>0.46841366800297002</v>
      </c>
      <c r="M24" s="13">
        <f>M23-('Konfigurasi Model'!$B$11*X23)</f>
        <v>0.49525805958665836</v>
      </c>
      <c r="N24" s="13">
        <f t="shared" si="0"/>
        <v>4.9255085495151993</v>
      </c>
      <c r="O24" s="13">
        <f t="shared" si="1"/>
        <v>0.99279328006048084</v>
      </c>
      <c r="P24" s="12">
        <f t="shared" si="2"/>
        <v>1</v>
      </c>
      <c r="Q24" s="13">
        <f t="shared" si="3"/>
        <v>0.99279328006048084</v>
      </c>
      <c r="R24" s="13">
        <f t="shared" si="4"/>
        <v>0.98563849693324834</v>
      </c>
      <c r="T24" s="14">
        <f t="shared" si="5"/>
        <v>1.4206441218013064E-2</v>
      </c>
      <c r="U24" s="14">
        <f t="shared" si="6"/>
        <v>7.2452850211866621E-2</v>
      </c>
      <c r="V24" s="14">
        <f t="shared" si="7"/>
        <v>5.3984476628449643E-2</v>
      </c>
      <c r="W24" s="14">
        <f t="shared" si="8"/>
        <v>2.1309661827019596E-2</v>
      </c>
      <c r="X24" s="14">
        <f t="shared" si="9"/>
        <v>4.2619323654039193E-3</v>
      </c>
      <c r="Y24" s="12">
        <f t="shared" si="10"/>
        <v>0</v>
      </c>
    </row>
    <row r="25" spans="1:25" x14ac:dyDescent="0.3">
      <c r="A25" s="23"/>
      <c r="B25" s="12">
        <v>21</v>
      </c>
      <c r="C25" s="12">
        <v>7</v>
      </c>
      <c r="D25" s="12">
        <v>3.2</v>
      </c>
      <c r="E25" s="12">
        <v>4.7</v>
      </c>
      <c r="F25" s="12">
        <v>1.4</v>
      </c>
      <c r="G25" s="12">
        <v>1</v>
      </c>
      <c r="I25" s="13">
        <f>I24-('Konfigurasi Model'!$B$11*T24)</f>
        <v>0.47600451058665577</v>
      </c>
      <c r="J25" s="13">
        <f>J24-('Konfigurasi Model'!$B$11*U24)</f>
        <v>0.38187946617096413</v>
      </c>
      <c r="K25" s="13">
        <f>K24-('Konfigurasi Model'!$B$11*V24)</f>
        <v>0.41890398492829212</v>
      </c>
      <c r="L25" s="13">
        <f>L24-('Konfigurasi Model'!$B$11*W24)</f>
        <v>0.46628270182026804</v>
      </c>
      <c r="M25" s="13">
        <f>M24-('Konfigurasi Model'!$B$11*X24)</f>
        <v>0.49483186635011794</v>
      </c>
      <c r="N25" s="13">
        <f t="shared" si="0"/>
        <v>7.3739468369993642</v>
      </c>
      <c r="O25" s="13">
        <f t="shared" si="1"/>
        <v>0.99937300627626013</v>
      </c>
      <c r="P25" s="12">
        <f t="shared" si="2"/>
        <v>1</v>
      </c>
      <c r="Q25" s="13">
        <f t="shared" si="3"/>
        <v>-6.2699372373986595E-4</v>
      </c>
      <c r="R25" s="13">
        <f t="shared" si="4"/>
        <v>3.9312112960918332E-7</v>
      </c>
      <c r="T25" s="14">
        <f t="shared" si="5"/>
        <v>-7.8574929025649769E-7</v>
      </c>
      <c r="U25" s="14">
        <f t="shared" si="6"/>
        <v>-5.5002450317954841E-6</v>
      </c>
      <c r="V25" s="14">
        <f t="shared" si="7"/>
        <v>-2.514397728820793E-6</v>
      </c>
      <c r="W25" s="14">
        <f t="shared" si="8"/>
        <v>-3.6930216642055392E-6</v>
      </c>
      <c r="X25" s="14">
        <f t="shared" si="9"/>
        <v>-1.1000490063590966E-6</v>
      </c>
      <c r="Y25" s="12">
        <f t="shared" si="10"/>
        <v>1</v>
      </c>
    </row>
    <row r="26" spans="1:25" x14ac:dyDescent="0.3">
      <c r="A26" s="23"/>
      <c r="B26" s="12">
        <v>22</v>
      </c>
      <c r="C26" s="12">
        <v>6.4</v>
      </c>
      <c r="D26" s="12">
        <v>3.2</v>
      </c>
      <c r="E26" s="12">
        <v>4.5</v>
      </c>
      <c r="F26" s="12">
        <v>1.5</v>
      </c>
      <c r="G26" s="12">
        <v>1</v>
      </c>
      <c r="I26" s="13">
        <f>I25-('Konfigurasi Model'!$B$11*T25)</f>
        <v>0.47600458916158478</v>
      </c>
      <c r="J26" s="13">
        <f>J25-('Konfigurasi Model'!$B$11*U25)</f>
        <v>0.3818800161954673</v>
      </c>
      <c r="K26" s="13">
        <f>K25-('Konfigurasi Model'!$B$11*V25)</f>
        <v>0.41890423636806501</v>
      </c>
      <c r="L26" s="13">
        <f>L25-('Konfigurasi Model'!$B$11*W25)</f>
        <v>0.46628307112243444</v>
      </c>
      <c r="M26" s="13">
        <f>M25-('Konfigurasi Model'!$B$11*X25)</f>
        <v>0.49483197635501858</v>
      </c>
      <c r="N26" s="13">
        <f t="shared" si="0"/>
        <v>7.1010520337738665</v>
      </c>
      <c r="O26" s="13">
        <f t="shared" si="1"/>
        <v>0.99917644146623397</v>
      </c>
      <c r="P26" s="12">
        <f t="shared" si="2"/>
        <v>1</v>
      </c>
      <c r="Q26" s="13">
        <f t="shared" si="3"/>
        <v>-8.2355853376603338E-4</v>
      </c>
      <c r="R26" s="13">
        <f t="shared" si="4"/>
        <v>6.7824865853885878E-7</v>
      </c>
      <c r="T26" s="14">
        <f t="shared" si="5"/>
        <v>-1.3553801621362076E-6</v>
      </c>
      <c r="U26" s="14">
        <f t="shared" si="6"/>
        <v>-8.6744330376717291E-6</v>
      </c>
      <c r="V26" s="14">
        <f t="shared" si="7"/>
        <v>-4.3372165188358646E-6</v>
      </c>
      <c r="W26" s="14">
        <f t="shared" si="8"/>
        <v>-6.0992107296129336E-6</v>
      </c>
      <c r="X26" s="14">
        <f t="shared" si="9"/>
        <v>-2.0330702432043113E-6</v>
      </c>
      <c r="Y26" s="12">
        <f t="shared" si="10"/>
        <v>1</v>
      </c>
    </row>
    <row r="27" spans="1:25" x14ac:dyDescent="0.3">
      <c r="A27" s="23"/>
      <c r="B27" s="12">
        <v>23</v>
      </c>
      <c r="C27" s="12">
        <v>6.9</v>
      </c>
      <c r="D27" s="12">
        <v>3.1</v>
      </c>
      <c r="E27" s="12">
        <v>4.9000000000000004</v>
      </c>
      <c r="F27" s="12">
        <v>1.5</v>
      </c>
      <c r="G27" s="12">
        <v>1</v>
      </c>
      <c r="I27" s="13">
        <f>I26-('Konfigurasi Model'!$B$11*T26)</f>
        <v>0.47600472469960098</v>
      </c>
      <c r="J27" s="13">
        <f>J26-('Konfigurasi Model'!$B$11*U26)</f>
        <v>0.38188088363877104</v>
      </c>
      <c r="K27" s="13">
        <f>K26-('Konfigurasi Model'!$B$11*V26)</f>
        <v>0.41890467008971688</v>
      </c>
      <c r="L27" s="13">
        <f>L26-('Konfigurasi Model'!$B$11*W26)</f>
        <v>0.46628368104350743</v>
      </c>
      <c r="M27" s="13">
        <f>M26-('Konfigurasi Model'!$B$11*X26)</f>
        <v>0.4948321796620429</v>
      </c>
      <c r="N27" s="13">
        <f t="shared" si="0"/>
        <v>7.4366256056914946</v>
      </c>
      <c r="O27" s="13">
        <f t="shared" si="1"/>
        <v>0.99941107675825136</v>
      </c>
      <c r="P27" s="12">
        <f t="shared" si="2"/>
        <v>1</v>
      </c>
      <c r="Q27" s="13">
        <f t="shared" si="3"/>
        <v>-5.8892324174864008E-4</v>
      </c>
      <c r="R27" s="13">
        <f t="shared" si="4"/>
        <v>3.4683058467172719E-7</v>
      </c>
      <c r="T27" s="14">
        <f t="shared" si="5"/>
        <v>-6.9325265615892952E-7</v>
      </c>
      <c r="U27" s="14">
        <f t="shared" si="6"/>
        <v>-4.7834433274966137E-6</v>
      </c>
      <c r="V27" s="14">
        <f t="shared" si="7"/>
        <v>-2.1490832340926818E-6</v>
      </c>
      <c r="W27" s="14">
        <f t="shared" si="8"/>
        <v>-3.3969380151787548E-6</v>
      </c>
      <c r="X27" s="14">
        <f t="shared" si="9"/>
        <v>-1.0398789842383942E-6</v>
      </c>
      <c r="Y27" s="12">
        <f t="shared" si="10"/>
        <v>1</v>
      </c>
    </row>
    <row r="28" spans="1:25" x14ac:dyDescent="0.3">
      <c r="A28" s="23"/>
      <c r="B28" s="12">
        <v>24</v>
      </c>
      <c r="C28" s="12">
        <v>5.5</v>
      </c>
      <c r="D28" s="12">
        <v>2.2999999999999998</v>
      </c>
      <c r="E28" s="12">
        <v>4</v>
      </c>
      <c r="F28" s="12">
        <v>1.3</v>
      </c>
      <c r="G28" s="12">
        <v>1</v>
      </c>
      <c r="I28" s="13">
        <f>I27-('Konfigurasi Model'!$B$11*T27)</f>
        <v>0.47600479402486662</v>
      </c>
      <c r="J28" s="13">
        <f>J27-('Konfigurasi Model'!$B$11*U27)</f>
        <v>0.3818813619831038</v>
      </c>
      <c r="K28" s="13">
        <f>K27-('Konfigurasi Model'!$B$11*V27)</f>
        <v>0.41890488499804029</v>
      </c>
      <c r="L28" s="13">
        <f>L27-('Konfigurasi Model'!$B$11*W27)</f>
        <v>0.46628402073730896</v>
      </c>
      <c r="M28" s="13">
        <f>M27-('Konfigurasi Model'!$B$11*X27)</f>
        <v>0.49483228364994131</v>
      </c>
      <c r="N28" s="13">
        <f t="shared" si="0"/>
        <v>6.0482515721215897</v>
      </c>
      <c r="O28" s="13">
        <f t="shared" si="1"/>
        <v>0.99764357767738665</v>
      </c>
      <c r="P28" s="12">
        <f t="shared" si="2"/>
        <v>1</v>
      </c>
      <c r="Q28" s="13">
        <f t="shared" si="3"/>
        <v>-2.3564223226133496E-3</v>
      </c>
      <c r="R28" s="13">
        <f t="shared" si="4"/>
        <v>5.5527261625104932E-6</v>
      </c>
      <c r="T28" s="14">
        <f t="shared" si="5"/>
        <v>-1.1079283189259589E-5</v>
      </c>
      <c r="U28" s="14">
        <f t="shared" si="6"/>
        <v>-6.0936057540927739E-5</v>
      </c>
      <c r="V28" s="14">
        <f t="shared" si="7"/>
        <v>-2.5482351335297055E-5</v>
      </c>
      <c r="W28" s="14">
        <f t="shared" si="8"/>
        <v>-4.4317132757038357E-5</v>
      </c>
      <c r="X28" s="14">
        <f t="shared" si="9"/>
        <v>-1.4403068146037466E-5</v>
      </c>
      <c r="Y28" s="12">
        <f t="shared" si="10"/>
        <v>1</v>
      </c>
    </row>
    <row r="29" spans="1:25" x14ac:dyDescent="0.3">
      <c r="A29" s="23"/>
      <c r="B29" s="12">
        <v>25</v>
      </c>
      <c r="C29" s="12">
        <v>6.5</v>
      </c>
      <c r="D29" s="12">
        <v>2.8</v>
      </c>
      <c r="E29" s="12">
        <v>4.5999999999999996</v>
      </c>
      <c r="F29" s="12">
        <v>1.5</v>
      </c>
      <c r="G29" s="12">
        <v>1</v>
      </c>
      <c r="I29" s="13">
        <f>I28-('Konfigurasi Model'!$B$11*T28)</f>
        <v>0.47600590195318554</v>
      </c>
      <c r="J29" s="13">
        <f>J28-('Konfigurasi Model'!$B$11*U28)</f>
        <v>0.38188745558885789</v>
      </c>
      <c r="K29" s="13">
        <f>K28-('Konfigurasi Model'!$B$11*V28)</f>
        <v>0.41890743323317381</v>
      </c>
      <c r="L29" s="13">
        <f>L28-('Konfigurasi Model'!$B$11*W28)</f>
        <v>0.46628845245058465</v>
      </c>
      <c r="M29" s="13">
        <f>M28-('Konfigurasi Model'!$B$11*X28)</f>
        <v>0.4948337239567559</v>
      </c>
      <c r="N29" s="13">
        <f t="shared" si="0"/>
        <v>7.0183926435414721</v>
      </c>
      <c r="O29" s="13">
        <f t="shared" si="1"/>
        <v>0.99910553743525898</v>
      </c>
      <c r="P29" s="12">
        <f t="shared" si="2"/>
        <v>1</v>
      </c>
      <c r="Q29" s="13">
        <f t="shared" si="3"/>
        <v>-8.9446256474101649E-4</v>
      </c>
      <c r="R29" s="13">
        <f t="shared" si="4"/>
        <v>8.0006327972307715E-7</v>
      </c>
      <c r="T29" s="14">
        <f t="shared" si="5"/>
        <v>-1.5986953061398819E-6</v>
      </c>
      <c r="U29" s="14">
        <f t="shared" si="6"/>
        <v>-1.0391519489909233E-5</v>
      </c>
      <c r="V29" s="14">
        <f t="shared" si="7"/>
        <v>-4.476346857191669E-6</v>
      </c>
      <c r="W29" s="14">
        <f t="shared" si="8"/>
        <v>-7.3539984082434563E-6</v>
      </c>
      <c r="X29" s="14">
        <f t="shared" si="9"/>
        <v>-2.398042959209823E-6</v>
      </c>
      <c r="Y29" s="12">
        <f t="shared" si="10"/>
        <v>1</v>
      </c>
    </row>
    <row r="30" spans="1:25" x14ac:dyDescent="0.3">
      <c r="A30" s="23"/>
      <c r="B30" s="12">
        <v>26</v>
      </c>
      <c r="C30" s="12">
        <v>5.7</v>
      </c>
      <c r="D30" s="12">
        <v>2.8</v>
      </c>
      <c r="E30" s="12">
        <v>4.5</v>
      </c>
      <c r="F30" s="12">
        <v>1.3</v>
      </c>
      <c r="G30" s="12">
        <v>1</v>
      </c>
      <c r="I30" s="13">
        <f>I29-('Konfigurasi Model'!$B$11*T29)</f>
        <v>0.47600606182271615</v>
      </c>
      <c r="J30" s="13">
        <f>J29-('Konfigurasi Model'!$B$11*U29)</f>
        <v>0.38188849474080688</v>
      </c>
      <c r="K30" s="13">
        <f>K29-('Konfigurasi Model'!$B$11*V29)</f>
        <v>0.41890788086785952</v>
      </c>
      <c r="L30" s="13">
        <f>L29-('Konfigurasi Model'!$B$11*W29)</f>
        <v>0.46628918785042545</v>
      </c>
      <c r="M30" s="13">
        <f>M29-('Konfigurasi Model'!$B$11*X29)</f>
        <v>0.49483396376105182</v>
      </c>
      <c r="N30" s="13">
        <f t="shared" si="0"/>
        <v>6.5672980464916035</v>
      </c>
      <c r="O30" s="13">
        <f t="shared" si="1"/>
        <v>0.99859638278536411</v>
      </c>
      <c r="P30" s="12">
        <f t="shared" si="2"/>
        <v>1</v>
      </c>
      <c r="Q30" s="13">
        <f t="shared" si="3"/>
        <v>-1.4036172146358883E-3</v>
      </c>
      <c r="R30" s="13">
        <f t="shared" si="4"/>
        <v>1.9701412852222095E-6</v>
      </c>
      <c r="T30" s="14">
        <f t="shared" si="5"/>
        <v>-3.9347519219980136E-6</v>
      </c>
      <c r="U30" s="14">
        <f t="shared" si="6"/>
        <v>-2.2428085955388677E-5</v>
      </c>
      <c r="V30" s="14">
        <f t="shared" si="7"/>
        <v>-1.1017305381594437E-5</v>
      </c>
      <c r="W30" s="14">
        <f t="shared" si="8"/>
        <v>-1.7706383648991061E-5</v>
      </c>
      <c r="X30" s="14">
        <f t="shared" si="9"/>
        <v>-5.1151774985974175E-6</v>
      </c>
      <c r="Y30" s="12">
        <f t="shared" si="10"/>
        <v>1</v>
      </c>
    </row>
    <row r="31" spans="1:25" x14ac:dyDescent="0.3">
      <c r="A31" s="23"/>
      <c r="B31" s="12">
        <v>27</v>
      </c>
      <c r="C31" s="12">
        <v>6.3</v>
      </c>
      <c r="D31" s="12">
        <v>3.3</v>
      </c>
      <c r="E31" s="12">
        <v>4.7</v>
      </c>
      <c r="F31" s="12">
        <v>1.6</v>
      </c>
      <c r="G31" s="12">
        <v>1</v>
      </c>
      <c r="I31" s="13">
        <f>I30-('Konfigurasi Model'!$B$11*T30)</f>
        <v>0.47600645529790836</v>
      </c>
      <c r="J31" s="13">
        <f>J30-('Konfigurasi Model'!$B$11*U30)</f>
        <v>0.38189073754940245</v>
      </c>
      <c r="K31" s="13">
        <f>K30-('Konfigurasi Model'!$B$11*V30)</f>
        <v>0.41890898259839765</v>
      </c>
      <c r="L31" s="13">
        <f>L30-('Konfigurasi Model'!$B$11*W30)</f>
        <v>0.46629095848879032</v>
      </c>
      <c r="M31" s="13">
        <f>M30-('Konfigurasi Model'!$B$11*X30)</f>
        <v>0.4948344752788017</v>
      </c>
      <c r="N31" s="13">
        <f t="shared" si="0"/>
        <v>7.2476204097772534</v>
      </c>
      <c r="O31" s="13">
        <f t="shared" si="1"/>
        <v>0.99928864006804685</v>
      </c>
      <c r="P31" s="12">
        <f t="shared" si="2"/>
        <v>1</v>
      </c>
      <c r="Q31" s="13">
        <f t="shared" si="3"/>
        <v>-7.1135993195314828E-4</v>
      </c>
      <c r="R31" s="13">
        <f t="shared" si="4"/>
        <v>5.0603295278838777E-7</v>
      </c>
      <c r="T31" s="14">
        <f t="shared" si="5"/>
        <v>-1.0113459624430523E-6</v>
      </c>
      <c r="U31" s="14">
        <f t="shared" si="6"/>
        <v>-6.3714795633912288E-6</v>
      </c>
      <c r="V31" s="14">
        <f t="shared" si="7"/>
        <v>-3.3374416760620723E-6</v>
      </c>
      <c r="W31" s="14">
        <f t="shared" si="8"/>
        <v>-4.7533260234823454E-6</v>
      </c>
      <c r="X31" s="14">
        <f t="shared" si="9"/>
        <v>-1.6181535399088837E-6</v>
      </c>
      <c r="Y31" s="12">
        <f t="shared" si="10"/>
        <v>1</v>
      </c>
    </row>
    <row r="32" spans="1:25" x14ac:dyDescent="0.3">
      <c r="A32" s="23"/>
      <c r="B32" s="12">
        <v>28</v>
      </c>
      <c r="C32" s="12">
        <v>4.9000000000000004</v>
      </c>
      <c r="D32" s="12">
        <v>2.4</v>
      </c>
      <c r="E32" s="12">
        <v>3.3</v>
      </c>
      <c r="F32" s="12">
        <v>1</v>
      </c>
      <c r="G32" s="12">
        <v>1</v>
      </c>
      <c r="I32" s="13">
        <f>I31-('Konfigurasi Model'!$B$11*T31)</f>
        <v>0.47600655643250461</v>
      </c>
      <c r="J32" s="13">
        <f>J31-('Konfigurasi Model'!$B$11*U31)</f>
        <v>0.38189137469735879</v>
      </c>
      <c r="K32" s="13">
        <f>K31-('Konfigurasi Model'!$B$11*V31)</f>
        <v>0.41890931634256523</v>
      </c>
      <c r="L32" s="13">
        <f>L31-('Konfigurasi Model'!$B$11*W31)</f>
        <v>0.46629143382139265</v>
      </c>
      <c r="M32" s="13">
        <f>M31-('Konfigurasi Model'!$B$11*X31)</f>
        <v>0.4948346370941557</v>
      </c>
      <c r="N32" s="13">
        <f t="shared" si="0"/>
        <v>5.3862530203764711</v>
      </c>
      <c r="O32" s="13">
        <f t="shared" si="1"/>
        <v>0.99544177354865537</v>
      </c>
      <c r="P32" s="12">
        <f t="shared" si="2"/>
        <v>1</v>
      </c>
      <c r="Q32" s="13">
        <f t="shared" si="3"/>
        <v>-4.5582264513446269E-3</v>
      </c>
      <c r="R32" s="13">
        <f t="shared" si="4"/>
        <v>2.0777428381737829E-5</v>
      </c>
      <c r="T32" s="14">
        <f t="shared" si="5"/>
        <v>-4.1365440316194545E-5</v>
      </c>
      <c r="U32" s="14">
        <f t="shared" si="6"/>
        <v>-2.0269065754935329E-4</v>
      </c>
      <c r="V32" s="14">
        <f t="shared" si="7"/>
        <v>-9.9277056758866899E-5</v>
      </c>
      <c r="W32" s="14">
        <f t="shared" si="8"/>
        <v>-1.36505953043442E-4</v>
      </c>
      <c r="X32" s="14">
        <f t="shared" si="9"/>
        <v>-4.1365440316194545E-5</v>
      </c>
      <c r="Y32" s="12">
        <f t="shared" si="10"/>
        <v>1</v>
      </c>
    </row>
    <row r="33" spans="1:25" x14ac:dyDescent="0.3">
      <c r="A33" s="23"/>
      <c r="B33" s="12">
        <v>29</v>
      </c>
      <c r="C33" s="12">
        <v>6.6</v>
      </c>
      <c r="D33" s="12">
        <v>2.9</v>
      </c>
      <c r="E33" s="12">
        <v>4.5999999999999996</v>
      </c>
      <c r="F33" s="12">
        <v>1.3</v>
      </c>
      <c r="G33" s="12">
        <v>1</v>
      </c>
      <c r="I33" s="13">
        <f>I32-('Konfigurasi Model'!$B$11*T32)</f>
        <v>0.47601069297653625</v>
      </c>
      <c r="J33" s="13">
        <f>J32-('Konfigurasi Model'!$B$11*U32)</f>
        <v>0.38191164376311371</v>
      </c>
      <c r="K33" s="13">
        <f>K32-('Konfigurasi Model'!$B$11*V32)</f>
        <v>0.4189192440482411</v>
      </c>
      <c r="L33" s="13">
        <f>L32-('Konfigurasi Model'!$B$11*W32)</f>
        <v>0.46630508441669699</v>
      </c>
      <c r="M33" s="13">
        <f>M32-('Konfigurasi Model'!$B$11*X32)</f>
        <v>0.49483877363818735</v>
      </c>
      <c r="N33" s="13">
        <f t="shared" si="0"/>
        <v>6.9997871435994359</v>
      </c>
      <c r="O33" s="13">
        <f t="shared" si="1"/>
        <v>0.99908875503861139</v>
      </c>
      <c r="P33" s="12">
        <f t="shared" si="2"/>
        <v>1</v>
      </c>
      <c r="Q33" s="13">
        <f t="shared" si="3"/>
        <v>-9.1124496138861311E-4</v>
      </c>
      <c r="R33" s="13">
        <f t="shared" si="4"/>
        <v>8.3036737965613497E-7</v>
      </c>
      <c r="T33" s="14">
        <f t="shared" si="5"/>
        <v>-1.6592214231306436E-6</v>
      </c>
      <c r="U33" s="14">
        <f t="shared" si="6"/>
        <v>-1.0950861392662247E-5</v>
      </c>
      <c r="V33" s="14">
        <f t="shared" si="7"/>
        <v>-4.8117421270788664E-6</v>
      </c>
      <c r="W33" s="14">
        <f t="shared" si="8"/>
        <v>-7.6324185464009601E-6</v>
      </c>
      <c r="X33" s="14">
        <f t="shared" si="9"/>
        <v>-2.1569878500698366E-6</v>
      </c>
      <c r="Y33" s="12">
        <f t="shared" si="10"/>
        <v>1</v>
      </c>
    </row>
    <row r="34" spans="1:25" x14ac:dyDescent="0.3">
      <c r="A34" s="23"/>
      <c r="B34" s="12">
        <v>30</v>
      </c>
      <c r="C34" s="12">
        <v>5.2</v>
      </c>
      <c r="D34" s="12">
        <v>2.7</v>
      </c>
      <c r="E34" s="12">
        <v>3.9</v>
      </c>
      <c r="F34" s="12">
        <v>1.4</v>
      </c>
      <c r="G34" s="12">
        <v>1</v>
      </c>
      <c r="I34" s="13">
        <f>I33-('Konfigurasi Model'!$B$11*T33)</f>
        <v>0.47601085889867856</v>
      </c>
      <c r="J34" s="13">
        <f>J33-('Konfigurasi Model'!$B$11*U33)</f>
        <v>0.38191273884925298</v>
      </c>
      <c r="K34" s="13">
        <f>K33-('Konfigurasi Model'!$B$11*V33)</f>
        <v>0.4189197252224538</v>
      </c>
      <c r="L34" s="13">
        <f>L33-('Konfigurasi Model'!$B$11*W33)</f>
        <v>0.46630584765855165</v>
      </c>
      <c r="M34" s="13">
        <f>M33-('Konfigurasi Model'!$B$11*X33)</f>
        <v>0.49483898933697235</v>
      </c>
      <c r="N34" s="13">
        <f t="shared" si="0"/>
        <v>6.1044077499555325</v>
      </c>
      <c r="O34" s="13">
        <f t="shared" si="1"/>
        <v>0.99777197171996435</v>
      </c>
      <c r="P34" s="12">
        <f t="shared" si="2"/>
        <v>1</v>
      </c>
      <c r="Q34" s="13">
        <f t="shared" si="3"/>
        <v>-2.2280282800356543E-3</v>
      </c>
      <c r="R34" s="13">
        <f t="shared" si="4"/>
        <v>4.9641100166386361E-6</v>
      </c>
      <c r="T34" s="14">
        <f t="shared" si="5"/>
        <v>-9.9060996782727139E-6</v>
      </c>
      <c r="U34" s="14">
        <f t="shared" si="6"/>
        <v>-5.1511718327018116E-5</v>
      </c>
      <c r="V34" s="14">
        <f t="shared" si="7"/>
        <v>-2.6746469131336328E-5</v>
      </c>
      <c r="W34" s="14">
        <f t="shared" si="8"/>
        <v>-3.8633788745263582E-5</v>
      </c>
      <c r="X34" s="14">
        <f t="shared" si="9"/>
        <v>-1.3868539549581798E-5</v>
      </c>
      <c r="Y34" s="12">
        <f t="shared" si="10"/>
        <v>1</v>
      </c>
    </row>
    <row r="35" spans="1:25" x14ac:dyDescent="0.3">
      <c r="A35" s="23"/>
      <c r="B35" s="12">
        <v>31</v>
      </c>
      <c r="C35" s="12">
        <v>5</v>
      </c>
      <c r="D35" s="12">
        <v>2</v>
      </c>
      <c r="E35" s="12">
        <v>3.5</v>
      </c>
      <c r="F35" s="12">
        <v>1</v>
      </c>
      <c r="G35" s="12">
        <v>1</v>
      </c>
      <c r="I35" s="13">
        <f>I34-('Konfigurasi Model'!$B$11*T34)</f>
        <v>0.47601184950864639</v>
      </c>
      <c r="J35" s="13">
        <f>J34-('Konfigurasi Model'!$B$11*U34)</f>
        <v>0.38191789002108567</v>
      </c>
      <c r="K35" s="13">
        <f>K34-('Konfigurasi Model'!$B$11*V34)</f>
        <v>0.41892239986936691</v>
      </c>
      <c r="L35" s="13">
        <f>L34-('Konfigurasi Model'!$B$11*W34)</f>
        <v>0.46630971103742619</v>
      </c>
      <c r="M35" s="13">
        <f>M34-('Konfigurasi Model'!$B$11*X34)</f>
        <v>0.4948403761909273</v>
      </c>
      <c r="N35" s="13">
        <f t="shared" si="0"/>
        <v>5.3503704641747278</v>
      </c>
      <c r="O35" s="13">
        <f t="shared" si="1"/>
        <v>0.99527602951181904</v>
      </c>
      <c r="P35" s="12">
        <f t="shared" si="2"/>
        <v>1</v>
      </c>
      <c r="Q35" s="13">
        <f t="shared" si="3"/>
        <v>-4.7239704881809619E-3</v>
      </c>
      <c r="R35" s="13">
        <f t="shared" si="4"/>
        <v>2.2315897173204674E-5</v>
      </c>
      <c r="T35" s="14">
        <f t="shared" si="5"/>
        <v>-4.442095506708235E-5</v>
      </c>
      <c r="U35" s="14">
        <f t="shared" si="6"/>
        <v>-2.2210477533541175E-4</v>
      </c>
      <c r="V35" s="14">
        <f t="shared" si="7"/>
        <v>-8.8841910134164701E-5</v>
      </c>
      <c r="W35" s="14">
        <f t="shared" si="8"/>
        <v>-1.5547334273478822E-4</v>
      </c>
      <c r="X35" s="14">
        <f t="shared" si="9"/>
        <v>-4.442095506708235E-5</v>
      </c>
      <c r="Y35" s="12">
        <f t="shared" si="10"/>
        <v>1</v>
      </c>
    </row>
    <row r="36" spans="1:25" x14ac:dyDescent="0.3">
      <c r="A36" s="23"/>
      <c r="B36" s="12">
        <v>32</v>
      </c>
      <c r="C36" s="12">
        <v>5.9</v>
      </c>
      <c r="D36" s="12">
        <v>3</v>
      </c>
      <c r="E36" s="12">
        <v>4.2</v>
      </c>
      <c r="F36" s="12">
        <v>1.5</v>
      </c>
      <c r="G36" s="12">
        <v>1</v>
      </c>
      <c r="I36" s="13">
        <f>I35-('Konfigurasi Model'!$B$11*T35)</f>
        <v>0.4760162916041531</v>
      </c>
      <c r="J36" s="13">
        <f>J35-('Konfigurasi Model'!$B$11*U35)</f>
        <v>0.38194010049861921</v>
      </c>
      <c r="K36" s="13">
        <f>K35-('Konfigurasi Model'!$B$11*V35)</f>
        <v>0.41893128406038033</v>
      </c>
      <c r="L36" s="13">
        <f>L35-('Konfigurasi Model'!$B$11*W35)</f>
        <v>0.46632525837169969</v>
      </c>
      <c r="M36" s="13">
        <f>M35-('Konfigurasi Model'!$B$11*X35)</f>
        <v>0.49484481828643401</v>
      </c>
      <c r="N36" s="13">
        <f t="shared" si="0"/>
        <v>6.6870900493179377</v>
      </c>
      <c r="O36" s="13">
        <f t="shared" si="1"/>
        <v>0.99875464690459692</v>
      </c>
      <c r="P36" s="12">
        <f t="shared" si="2"/>
        <v>1</v>
      </c>
      <c r="Q36" s="13">
        <f t="shared" si="3"/>
        <v>-1.2453530954030789E-3</v>
      </c>
      <c r="R36" s="13">
        <f t="shared" si="4"/>
        <v>1.5509043322300301E-6</v>
      </c>
      <c r="T36" s="14">
        <f t="shared" si="5"/>
        <v>-3.0979458174384269E-6</v>
      </c>
      <c r="U36" s="14">
        <f t="shared" si="6"/>
        <v>-1.8277880322886718E-5</v>
      </c>
      <c r="V36" s="14">
        <f t="shared" si="7"/>
        <v>-9.2938374523152807E-6</v>
      </c>
      <c r="W36" s="14">
        <f t="shared" si="8"/>
        <v>-1.3011372433241393E-5</v>
      </c>
      <c r="X36" s="14">
        <f t="shared" si="9"/>
        <v>-4.6469187261576403E-6</v>
      </c>
      <c r="Y36" s="12">
        <f t="shared" si="10"/>
        <v>1</v>
      </c>
    </row>
    <row r="37" spans="1:25" x14ac:dyDescent="0.3">
      <c r="A37" s="23"/>
      <c r="B37" s="12">
        <v>33</v>
      </c>
      <c r="C37" s="12">
        <v>6</v>
      </c>
      <c r="D37" s="12">
        <v>2.2000000000000002</v>
      </c>
      <c r="E37" s="12">
        <v>4</v>
      </c>
      <c r="F37" s="12">
        <v>1</v>
      </c>
      <c r="G37" s="12">
        <v>1</v>
      </c>
      <c r="I37" s="13">
        <f>I36-('Konfigurasi Model'!$B$11*T36)</f>
        <v>0.47601660139873486</v>
      </c>
      <c r="J37" s="13">
        <f>J36-('Konfigurasi Model'!$B$11*U36)</f>
        <v>0.38194192828665152</v>
      </c>
      <c r="K37" s="13">
        <f>K36-('Konfigurasi Model'!$B$11*V36)</f>
        <v>0.41893221344412557</v>
      </c>
      <c r="L37" s="13">
        <f>L36-('Konfigurasi Model'!$B$11*W36)</f>
        <v>0.46632655950894303</v>
      </c>
      <c r="M37" s="13">
        <f>M36-('Konfigurasi Model'!$B$11*X36)</f>
        <v>0.4948452829783066</v>
      </c>
      <c r="N37" s="13">
        <f t="shared" ref="N37:N68" si="11">I37+J37*C37+K37*D37+L37*E37+M37*F37</f>
        <v>6.049470561709799</v>
      </c>
      <c r="O37" s="13">
        <f t="shared" ref="O37:O68" si="12">1/(1+EXP(-N37))</f>
        <v>0.99764644162525873</v>
      </c>
      <c r="P37" s="12">
        <f t="shared" ref="P37:P68" si="13">IF(O37&gt;0.5,1,0)</f>
        <v>1</v>
      </c>
      <c r="Q37" s="13">
        <f t="shared" ref="Q37:Q68" si="14">O37-G37</f>
        <v>-2.3535583747412714E-3</v>
      </c>
      <c r="R37" s="13">
        <f t="shared" ref="R37:R68" si="15">Q37^2</f>
        <v>5.5392370233147748E-6</v>
      </c>
      <c r="T37" s="14">
        <f t="shared" ref="T37:T68" si="16">2*(O37-G37)*(1-O37)*O37</f>
        <v>-1.1052400211257752E-5</v>
      </c>
      <c r="U37" s="14">
        <f t="shared" ref="U37:U68" si="17">2*(O37-G37)*(1-O37)*O37*C37</f>
        <v>-6.6314401267546509E-5</v>
      </c>
      <c r="V37" s="14">
        <f t="shared" ref="V37:V68" si="18">2*(O37-G37)*(1-O37)*O37*D37</f>
        <v>-2.4315280464767055E-5</v>
      </c>
      <c r="W37" s="14">
        <f t="shared" ref="W37:W68" si="19">2*(O37-G37)*(1-O37)*O37*E37</f>
        <v>-4.4209600845031006E-5</v>
      </c>
      <c r="X37" s="14">
        <f t="shared" ref="X37:X68" si="20">2*(O37-G37)*(1-O37)*O37*F37</f>
        <v>-1.1052400211257752E-5</v>
      </c>
      <c r="Y37" s="12">
        <f t="shared" ref="Y37:Y68" si="21">IF(P37=G37,1,0)</f>
        <v>1</v>
      </c>
    </row>
    <row r="38" spans="1:25" x14ac:dyDescent="0.3">
      <c r="A38" s="23"/>
      <c r="B38" s="12">
        <v>34</v>
      </c>
      <c r="C38" s="12">
        <v>6.1</v>
      </c>
      <c r="D38" s="12">
        <v>2.9</v>
      </c>
      <c r="E38" s="12">
        <v>4.7</v>
      </c>
      <c r="F38" s="12">
        <v>1.4</v>
      </c>
      <c r="G38" s="12">
        <v>1</v>
      </c>
      <c r="I38" s="13">
        <f>I37-('Konfigurasi Model'!$B$11*T37)</f>
        <v>0.47601770663875598</v>
      </c>
      <c r="J38" s="13">
        <f>J37-('Konfigurasi Model'!$B$11*U37)</f>
        <v>0.38194855972677827</v>
      </c>
      <c r="K38" s="13">
        <f>K37-('Konfigurasi Model'!$B$11*V37)</f>
        <v>0.41893464497217203</v>
      </c>
      <c r="L38" s="13">
        <f>L37-('Konfigurasi Model'!$B$11*W37)</f>
        <v>0.46633098046902755</v>
      </c>
      <c r="M38" s="13">
        <f>M37-('Konfigurasi Model'!$B$11*X37)</f>
        <v>0.49484638821832772</v>
      </c>
      <c r="N38" s="13">
        <f t="shared" si="11"/>
        <v>6.9053549431014911</v>
      </c>
      <c r="O38" s="13">
        <f t="shared" si="12"/>
        <v>0.99899860058700185</v>
      </c>
      <c r="P38" s="12">
        <f t="shared" si="13"/>
        <v>1</v>
      </c>
      <c r="Q38" s="13">
        <f t="shared" si="14"/>
        <v>-1.0013994129981496E-3</v>
      </c>
      <c r="R38" s="13">
        <f t="shared" si="15"/>
        <v>1.0028007843530385E-6</v>
      </c>
      <c r="T38" s="14">
        <f t="shared" si="16"/>
        <v>-2.0035931604724664E-6</v>
      </c>
      <c r="U38" s="14">
        <f t="shared" si="17"/>
        <v>-1.2221918278882045E-5</v>
      </c>
      <c r="V38" s="14">
        <f t="shared" si="18"/>
        <v>-5.8104201653701522E-6</v>
      </c>
      <c r="W38" s="14">
        <f t="shared" si="19"/>
        <v>-9.4168878542205934E-6</v>
      </c>
      <c r="X38" s="14">
        <f t="shared" si="20"/>
        <v>-2.8050304246614528E-6</v>
      </c>
      <c r="Y38" s="12">
        <f t="shared" si="21"/>
        <v>1</v>
      </c>
    </row>
    <row r="39" spans="1:25" x14ac:dyDescent="0.3">
      <c r="A39" s="23"/>
      <c r="B39" s="12">
        <v>35</v>
      </c>
      <c r="C39" s="12">
        <v>5.6</v>
      </c>
      <c r="D39" s="12">
        <v>2.9</v>
      </c>
      <c r="E39" s="12">
        <v>3.6</v>
      </c>
      <c r="F39" s="12">
        <v>1.3</v>
      </c>
      <c r="G39" s="12">
        <v>1</v>
      </c>
      <c r="I39" s="13">
        <f>I38-('Konfigurasi Model'!$B$11*T38)</f>
        <v>0.476017906998072</v>
      </c>
      <c r="J39" s="13">
        <f>J38-('Konfigurasi Model'!$B$11*U38)</f>
        <v>0.38194978191860618</v>
      </c>
      <c r="K39" s="13">
        <f>K38-('Konfigurasi Model'!$B$11*V38)</f>
        <v>0.41893522601418859</v>
      </c>
      <c r="L39" s="13">
        <f>L38-('Konfigurasi Model'!$B$11*W38)</f>
        <v>0.46633192215781299</v>
      </c>
      <c r="M39" s="13">
        <f>M38-('Konfigurasi Model'!$B$11*X38)</f>
        <v>0.49484666872137018</v>
      </c>
      <c r="N39" s="13">
        <f t="shared" si="11"/>
        <v>6.1519444302893209</v>
      </c>
      <c r="O39" s="13">
        <f t="shared" si="12"/>
        <v>0.99787518704967715</v>
      </c>
      <c r="P39" s="12">
        <f t="shared" si="13"/>
        <v>1</v>
      </c>
      <c r="Q39" s="13">
        <f t="shared" si="14"/>
        <v>-2.1248129503228519E-3</v>
      </c>
      <c r="R39" s="13">
        <f t="shared" si="15"/>
        <v>4.5148300738597025E-6</v>
      </c>
      <c r="T39" s="14">
        <f t="shared" si="16"/>
        <v>-9.0104738089005174E-6</v>
      </c>
      <c r="U39" s="14">
        <f t="shared" si="17"/>
        <v>-5.0458653329842893E-5</v>
      </c>
      <c r="V39" s="14">
        <f t="shared" si="18"/>
        <v>-2.6130374045811501E-5</v>
      </c>
      <c r="W39" s="14">
        <f t="shared" si="19"/>
        <v>-3.2437705712041865E-5</v>
      </c>
      <c r="X39" s="14">
        <f t="shared" si="20"/>
        <v>-1.1713615951570672E-5</v>
      </c>
      <c r="Y39" s="12">
        <f t="shared" si="21"/>
        <v>1</v>
      </c>
    </row>
    <row r="40" spans="1:25" x14ac:dyDescent="0.3">
      <c r="A40" s="23"/>
      <c r="B40" s="12">
        <v>36</v>
      </c>
      <c r="C40" s="12">
        <v>6.7</v>
      </c>
      <c r="D40" s="12">
        <v>3.1</v>
      </c>
      <c r="E40" s="12">
        <v>4.4000000000000004</v>
      </c>
      <c r="F40" s="12">
        <v>1.4</v>
      </c>
      <c r="G40" s="12">
        <v>1</v>
      </c>
      <c r="I40" s="13">
        <f>I39-('Konfigurasi Model'!$B$11*T39)</f>
        <v>0.47601880804545288</v>
      </c>
      <c r="J40" s="13">
        <f>J39-('Konfigurasi Model'!$B$11*U39)</f>
        <v>0.38195482778393919</v>
      </c>
      <c r="K40" s="13">
        <f>K39-('Konfigurasi Model'!$B$11*V39)</f>
        <v>0.41893783905159315</v>
      </c>
      <c r="L40" s="13">
        <f>L39-('Konfigurasi Model'!$B$11*W39)</f>
        <v>0.4663351659283842</v>
      </c>
      <c r="M40" s="13">
        <f>M39-('Konfigurasi Model'!$B$11*X39)</f>
        <v>0.49484784008296534</v>
      </c>
      <c r="N40" s="13">
        <f t="shared" si="11"/>
        <v>7.0784851614588256</v>
      </c>
      <c r="O40" s="13">
        <f t="shared" si="12"/>
        <v>0.99915766086828806</v>
      </c>
      <c r="P40" s="12">
        <f t="shared" si="13"/>
        <v>1</v>
      </c>
      <c r="Q40" s="13">
        <f t="shared" si="14"/>
        <v>-8.4233913171194441E-4</v>
      </c>
      <c r="R40" s="13">
        <f t="shared" si="15"/>
        <v>7.095352128132324E-7</v>
      </c>
      <c r="T40" s="14">
        <f t="shared" si="16"/>
        <v>-1.4178750870763045E-6</v>
      </c>
      <c r="U40" s="14">
        <f t="shared" si="17"/>
        <v>-9.4997630834112397E-6</v>
      </c>
      <c r="V40" s="14">
        <f t="shared" si="18"/>
        <v>-4.3954127699365444E-6</v>
      </c>
      <c r="W40" s="14">
        <f t="shared" si="19"/>
        <v>-6.2386503831357406E-6</v>
      </c>
      <c r="X40" s="14">
        <f t="shared" si="20"/>
        <v>-1.9850251219068263E-6</v>
      </c>
      <c r="Y40" s="12">
        <f t="shared" si="21"/>
        <v>1</v>
      </c>
    </row>
    <row r="41" spans="1:25" x14ac:dyDescent="0.3">
      <c r="A41" s="23"/>
      <c r="B41" s="12">
        <v>37</v>
      </c>
      <c r="C41" s="12">
        <v>5.6</v>
      </c>
      <c r="D41" s="12">
        <v>3</v>
      </c>
      <c r="E41" s="12">
        <v>4.5</v>
      </c>
      <c r="F41" s="12">
        <v>1.5</v>
      </c>
      <c r="G41" s="12">
        <v>1</v>
      </c>
      <c r="I41" s="13">
        <f>I40-('Konfigurasi Model'!$B$11*T40)</f>
        <v>0.47601894983296161</v>
      </c>
      <c r="J41" s="13">
        <f>J40-('Konfigurasi Model'!$B$11*U40)</f>
        <v>0.38195577776024753</v>
      </c>
      <c r="K41" s="13">
        <f>K40-('Konfigurasi Model'!$B$11*V40)</f>
        <v>0.41893827859287014</v>
      </c>
      <c r="L41" s="13">
        <f>L40-('Konfigurasi Model'!$B$11*W40)</f>
        <v>0.46633578979342249</v>
      </c>
      <c r="M41" s="13">
        <f>M40-('Konfigurasi Model'!$B$11*X40)</f>
        <v>0.49484803858547755</v>
      </c>
      <c r="N41" s="13">
        <f t="shared" si="11"/>
        <v>6.7125692530175751</v>
      </c>
      <c r="O41" s="13">
        <f t="shared" si="12"/>
        <v>0.99878593864967935</v>
      </c>
      <c r="P41" s="12">
        <f t="shared" si="13"/>
        <v>1</v>
      </c>
      <c r="Q41" s="13">
        <f t="shared" si="14"/>
        <v>-1.2140613503206499E-3</v>
      </c>
      <c r="R41" s="13">
        <f t="shared" si="15"/>
        <v>1.4739449623423998E-6</v>
      </c>
      <c r="T41" s="14">
        <f t="shared" si="16"/>
        <v>-2.9443110054622402E-6</v>
      </c>
      <c r="U41" s="14">
        <f t="shared" si="17"/>
        <v>-1.6488141630588542E-5</v>
      </c>
      <c r="V41" s="14">
        <f t="shared" si="18"/>
        <v>-8.8329330163867214E-6</v>
      </c>
      <c r="W41" s="14">
        <f t="shared" si="19"/>
        <v>-1.324939952458008E-5</v>
      </c>
      <c r="X41" s="14">
        <f t="shared" si="20"/>
        <v>-4.4164665081933607E-6</v>
      </c>
      <c r="Y41" s="12">
        <f t="shared" si="21"/>
        <v>1</v>
      </c>
    </row>
    <row r="42" spans="1:25" x14ac:dyDescent="0.3">
      <c r="A42" s="23"/>
      <c r="B42" s="12">
        <v>38</v>
      </c>
      <c r="C42" s="12">
        <v>5.8</v>
      </c>
      <c r="D42" s="12">
        <v>2.7</v>
      </c>
      <c r="E42" s="12">
        <v>4.0999999999999996</v>
      </c>
      <c r="F42" s="12">
        <v>1</v>
      </c>
      <c r="G42" s="12">
        <v>1</v>
      </c>
      <c r="I42" s="13">
        <f>I41-('Konfigurasi Model'!$B$11*T41)</f>
        <v>0.47601924426406217</v>
      </c>
      <c r="J42" s="13">
        <f>J41-('Konfigurasi Model'!$B$11*U41)</f>
        <v>0.38195742657441056</v>
      </c>
      <c r="K42" s="13">
        <f>K41-('Konfigurasi Model'!$B$11*V41)</f>
        <v>0.41893916188617175</v>
      </c>
      <c r="L42" s="13">
        <f>L41-('Konfigurasi Model'!$B$11*W41)</f>
        <v>0.46633711473337497</v>
      </c>
      <c r="M42" s="13">
        <f>M41-('Konfigurasi Model'!$B$11*X41)</f>
        <v>0.49484848023212835</v>
      </c>
      <c r="N42" s="13">
        <f t="shared" si="11"/>
        <v>6.2293387061272725</v>
      </c>
      <c r="O42" s="13">
        <f t="shared" si="12"/>
        <v>0.99803312152119705</v>
      </c>
      <c r="P42" s="12">
        <f t="shared" si="13"/>
        <v>1</v>
      </c>
      <c r="Q42" s="13">
        <f t="shared" si="14"/>
        <v>-1.966878478802947E-3</v>
      </c>
      <c r="R42" s="13">
        <f t="shared" si="15"/>
        <v>3.8686109503781949E-6</v>
      </c>
      <c r="T42" s="14">
        <f t="shared" si="16"/>
        <v>-7.72200372551407E-6</v>
      </c>
      <c r="U42" s="14">
        <f t="shared" si="17"/>
        <v>-4.4787621607981603E-5</v>
      </c>
      <c r="V42" s="14">
        <f t="shared" si="18"/>
        <v>-2.0849410058887992E-5</v>
      </c>
      <c r="W42" s="14">
        <f t="shared" si="19"/>
        <v>-3.1660215274607682E-5</v>
      </c>
      <c r="X42" s="14">
        <f t="shared" si="20"/>
        <v>-7.72200372551407E-6</v>
      </c>
      <c r="Y42" s="12">
        <f t="shared" si="21"/>
        <v>1</v>
      </c>
    </row>
    <row r="43" spans="1:25" x14ac:dyDescent="0.3">
      <c r="A43" s="23"/>
      <c r="B43" s="12">
        <v>39</v>
      </c>
      <c r="C43" s="12">
        <v>6.2</v>
      </c>
      <c r="D43" s="12">
        <v>2.2000000000000002</v>
      </c>
      <c r="E43" s="12">
        <v>4.5</v>
      </c>
      <c r="F43" s="12">
        <v>1.5</v>
      </c>
      <c r="G43" s="12">
        <v>1</v>
      </c>
      <c r="I43" s="13">
        <f>I42-('Konfigurasi Model'!$B$11*T42)</f>
        <v>0.4760200164644347</v>
      </c>
      <c r="J43" s="13">
        <f>J42-('Konfigurasi Model'!$B$11*U42)</f>
        <v>0.38196190533657137</v>
      </c>
      <c r="K43" s="13">
        <f>K42-('Konfigurasi Model'!$B$11*V42)</f>
        <v>0.41894124682717765</v>
      </c>
      <c r="L43" s="13">
        <f>L42-('Konfigurasi Model'!$B$11*W42)</f>
        <v>0.46634028075490241</v>
      </c>
      <c r="M43" s="13">
        <f>M42-('Konfigurasi Model'!$B$11*X42)</f>
        <v>0.49484925243250089</v>
      </c>
      <c r="N43" s="13">
        <f t="shared" si="11"/>
        <v>6.6066597146167805</v>
      </c>
      <c r="O43" s="13">
        <f t="shared" si="12"/>
        <v>0.99865048517613297</v>
      </c>
      <c r="P43" s="12">
        <f t="shared" si="13"/>
        <v>1</v>
      </c>
      <c r="Q43" s="13">
        <f t="shared" si="14"/>
        <v>-1.3495148238670263E-3</v>
      </c>
      <c r="R43" s="13">
        <f t="shared" si="15"/>
        <v>1.8211902598368509E-6</v>
      </c>
      <c r="T43" s="14">
        <f t="shared" si="16"/>
        <v>-3.6374650731682378E-6</v>
      </c>
      <c r="U43" s="14">
        <f t="shared" si="17"/>
        <v>-2.2552283453643075E-5</v>
      </c>
      <c r="V43" s="14">
        <f t="shared" si="18"/>
        <v>-8.0024231609701237E-6</v>
      </c>
      <c r="W43" s="14">
        <f t="shared" si="19"/>
        <v>-1.6368592829257069E-5</v>
      </c>
      <c r="X43" s="14">
        <f t="shared" si="20"/>
        <v>-5.4561976097523563E-6</v>
      </c>
      <c r="Y43" s="12">
        <f t="shared" si="21"/>
        <v>1</v>
      </c>
    </row>
    <row r="44" spans="1:25" x14ac:dyDescent="0.3">
      <c r="A44" s="23"/>
      <c r="B44" s="12">
        <v>40</v>
      </c>
      <c r="C44" s="12">
        <v>5.6</v>
      </c>
      <c r="D44" s="12">
        <v>2.5</v>
      </c>
      <c r="E44" s="12">
        <v>3.9</v>
      </c>
      <c r="F44" s="12">
        <v>1.1000000000000001</v>
      </c>
      <c r="G44" s="12">
        <v>1</v>
      </c>
      <c r="I44" s="13">
        <f>I43-('Konfigurasi Model'!$B$11*T43)</f>
        <v>0.47602038021094201</v>
      </c>
      <c r="J44" s="13">
        <f>J43-('Konfigurasi Model'!$B$11*U43)</f>
        <v>0.38196416056491672</v>
      </c>
      <c r="K44" s="13">
        <f>K43-('Konfigurasi Model'!$B$11*V43)</f>
        <v>0.41894204706949373</v>
      </c>
      <c r="L44" s="13">
        <f>L43-('Konfigurasi Model'!$B$11*W43)</f>
        <v>0.46634191761418536</v>
      </c>
      <c r="M44" s="13">
        <f>M43-('Konfigurasi Model'!$B$11*X43)</f>
        <v>0.49484979805226187</v>
      </c>
      <c r="N44" s="13">
        <f t="shared" si="11"/>
        <v>6.0254430536010206</v>
      </c>
      <c r="O44" s="13">
        <f t="shared" si="12"/>
        <v>0.99758934460256121</v>
      </c>
      <c r="P44" s="12">
        <f t="shared" si="13"/>
        <v>1</v>
      </c>
      <c r="Q44" s="13">
        <f t="shared" si="14"/>
        <v>-2.4106553974387879E-3</v>
      </c>
      <c r="R44" s="13">
        <f t="shared" si="15"/>
        <v>5.8112594452007603E-6</v>
      </c>
      <c r="T44" s="14">
        <f t="shared" si="16"/>
        <v>-1.159450100250654E-5</v>
      </c>
      <c r="U44" s="14">
        <f t="shared" si="17"/>
        <v>-6.4929205614036622E-5</v>
      </c>
      <c r="V44" s="14">
        <f t="shared" si="18"/>
        <v>-2.898625250626635E-5</v>
      </c>
      <c r="W44" s="14">
        <f t="shared" si="19"/>
        <v>-4.5218553909775502E-5</v>
      </c>
      <c r="X44" s="14">
        <f t="shared" si="20"/>
        <v>-1.2753951102757195E-5</v>
      </c>
      <c r="Y44" s="12">
        <f t="shared" si="21"/>
        <v>1</v>
      </c>
    </row>
    <row r="45" spans="1:25" x14ac:dyDescent="0.3">
      <c r="A45" s="23"/>
      <c r="B45" s="12">
        <v>41</v>
      </c>
      <c r="C45" s="12">
        <v>5.4</v>
      </c>
      <c r="D45" s="12">
        <v>3.4</v>
      </c>
      <c r="E45" s="12">
        <v>1.7</v>
      </c>
      <c r="F45" s="12">
        <v>0.2</v>
      </c>
      <c r="G45" s="12">
        <v>0</v>
      </c>
      <c r="I45" s="13">
        <f>I44-('Konfigurasi Model'!$B$11*T44)</f>
        <v>0.47602153966104227</v>
      </c>
      <c r="J45" s="13">
        <f>J44-('Konfigurasi Model'!$B$11*U44)</f>
        <v>0.38197065348547815</v>
      </c>
      <c r="K45" s="13">
        <f>K44-('Konfigurasi Model'!$B$11*V44)</f>
        <v>0.41894494569474433</v>
      </c>
      <c r="L45" s="13">
        <f>L44-('Konfigurasi Model'!$B$11*W44)</f>
        <v>0.46634643946957632</v>
      </c>
      <c r="M45" s="13">
        <f>M44-('Konfigurasi Model'!$B$11*X44)</f>
        <v>0.49485107344737217</v>
      </c>
      <c r="N45" s="13">
        <f t="shared" si="11"/>
        <v>4.8548350456325098</v>
      </c>
      <c r="O45" s="13">
        <f t="shared" si="12"/>
        <v>0.99226960620386595</v>
      </c>
      <c r="P45" s="12">
        <f t="shared" si="13"/>
        <v>1</v>
      </c>
      <c r="Q45" s="13">
        <f t="shared" si="14"/>
        <v>0.99226960620386595</v>
      </c>
      <c r="R45" s="13">
        <f t="shared" si="15"/>
        <v>0.98459897139597519</v>
      </c>
      <c r="T45" s="14">
        <f t="shared" si="16"/>
        <v>1.5222675560318828E-2</v>
      </c>
      <c r="U45" s="14">
        <f t="shared" si="17"/>
        <v>8.2202448025721672E-2</v>
      </c>
      <c r="V45" s="14">
        <f t="shared" si="18"/>
        <v>5.175709690508401E-2</v>
      </c>
      <c r="W45" s="14">
        <f t="shared" si="19"/>
        <v>2.5878548452542005E-2</v>
      </c>
      <c r="X45" s="14">
        <f t="shared" si="20"/>
        <v>3.0445351120637655E-3</v>
      </c>
      <c r="Y45" s="12">
        <f t="shared" si="21"/>
        <v>0</v>
      </c>
    </row>
    <row r="46" spans="1:25" x14ac:dyDescent="0.3">
      <c r="A46" s="23"/>
      <c r="B46" s="12">
        <v>42</v>
      </c>
      <c r="C46" s="12">
        <v>5.0999999999999996</v>
      </c>
      <c r="D46" s="12">
        <v>3.7</v>
      </c>
      <c r="E46" s="12">
        <v>1.5</v>
      </c>
      <c r="F46" s="12">
        <v>0.4</v>
      </c>
      <c r="G46" s="12">
        <v>0</v>
      </c>
      <c r="I46" s="13">
        <f>I45-('Konfigurasi Model'!$B$11*T45)</f>
        <v>0.47449927210501036</v>
      </c>
      <c r="J46" s="13">
        <f>J45-('Konfigurasi Model'!$B$11*U45)</f>
        <v>0.37375040868290599</v>
      </c>
      <c r="K46" s="13">
        <f>K45-('Konfigurasi Model'!$B$11*V45)</f>
        <v>0.41376923600423593</v>
      </c>
      <c r="L46" s="13">
        <f>L45-('Konfigurasi Model'!$B$11*W45)</f>
        <v>0.46375858462432212</v>
      </c>
      <c r="M46" s="13">
        <f>M45-('Konfigurasi Model'!$B$11*X45)</f>
        <v>0.49454661993616578</v>
      </c>
      <c r="N46" s="13">
        <f t="shared" si="11"/>
        <v>4.8050290545144527</v>
      </c>
      <c r="O46" s="13">
        <f t="shared" si="12"/>
        <v>0.99187804324408979</v>
      </c>
      <c r="P46" s="12">
        <f t="shared" si="13"/>
        <v>1</v>
      </c>
      <c r="Q46" s="13">
        <f t="shared" si="14"/>
        <v>0.99187804324408979</v>
      </c>
      <c r="R46" s="13">
        <f t="shared" si="15"/>
        <v>0.98382205266972445</v>
      </c>
      <c r="T46" s="14">
        <f t="shared" si="16"/>
        <v>1.5981120334588636E-2</v>
      </c>
      <c r="U46" s="14">
        <f t="shared" si="17"/>
        <v>8.1503713706402039E-2</v>
      </c>
      <c r="V46" s="14">
        <f t="shared" si="18"/>
        <v>5.9130145237977959E-2</v>
      </c>
      <c r="W46" s="14">
        <f t="shared" si="19"/>
        <v>2.3971680501882954E-2</v>
      </c>
      <c r="X46" s="14">
        <f t="shared" si="20"/>
        <v>6.3924481338354551E-3</v>
      </c>
      <c r="Y46" s="12">
        <f t="shared" si="21"/>
        <v>0</v>
      </c>
    </row>
    <row r="47" spans="1:25" x14ac:dyDescent="0.3">
      <c r="A47" s="23"/>
      <c r="B47" s="12">
        <v>43</v>
      </c>
      <c r="C47" s="12">
        <v>4.5999999999999996</v>
      </c>
      <c r="D47" s="12">
        <v>3.6</v>
      </c>
      <c r="E47" s="12">
        <v>1</v>
      </c>
      <c r="F47" s="12">
        <v>0.2</v>
      </c>
      <c r="G47" s="12">
        <v>0</v>
      </c>
      <c r="I47" s="13">
        <f>I46-('Konfigurasi Model'!$B$11*T46)</f>
        <v>0.47290116007155147</v>
      </c>
      <c r="J47" s="13">
        <f>J46-('Konfigurasi Model'!$B$11*U46)</f>
        <v>0.36560003731226576</v>
      </c>
      <c r="K47" s="13">
        <f>K46-('Konfigurasi Model'!$B$11*V46)</f>
        <v>0.40785622148043815</v>
      </c>
      <c r="L47" s="13">
        <f>L46-('Konfigurasi Model'!$B$11*W46)</f>
        <v>0.46136141657413382</v>
      </c>
      <c r="M47" s="13">
        <f>M46-('Konfigurasi Model'!$B$11*X46)</f>
        <v>0.49390737512278221</v>
      </c>
      <c r="N47" s="13">
        <f t="shared" si="11"/>
        <v>4.1830866206362414</v>
      </c>
      <c r="O47" s="13">
        <f t="shared" si="12"/>
        <v>0.98497775005822652</v>
      </c>
      <c r="P47" s="12">
        <f t="shared" si="13"/>
        <v>1</v>
      </c>
      <c r="Q47" s="13">
        <f t="shared" si="14"/>
        <v>0.98497775005822652</v>
      </c>
      <c r="R47" s="13">
        <f t="shared" si="15"/>
        <v>0.97018116810976618</v>
      </c>
      <c r="T47" s="14">
        <f t="shared" si="16"/>
        <v>2.9148607992293324E-2</v>
      </c>
      <c r="U47" s="14">
        <f t="shared" si="17"/>
        <v>0.13408359676454928</v>
      </c>
      <c r="V47" s="14">
        <f t="shared" si="18"/>
        <v>0.10493498877225597</v>
      </c>
      <c r="W47" s="14">
        <f t="shared" si="19"/>
        <v>2.9148607992293324E-2</v>
      </c>
      <c r="X47" s="14">
        <f t="shared" si="20"/>
        <v>5.829721598458665E-3</v>
      </c>
      <c r="Y47" s="12">
        <f t="shared" si="21"/>
        <v>0</v>
      </c>
    </row>
    <row r="48" spans="1:25" x14ac:dyDescent="0.3">
      <c r="A48" s="23"/>
      <c r="B48" s="12">
        <v>44</v>
      </c>
      <c r="C48" s="12">
        <v>5.0999999999999996</v>
      </c>
      <c r="D48" s="12">
        <v>3.3</v>
      </c>
      <c r="E48" s="12">
        <v>1.7</v>
      </c>
      <c r="F48" s="12">
        <v>0.5</v>
      </c>
      <c r="G48" s="12">
        <v>0</v>
      </c>
      <c r="I48" s="13">
        <f>I47-('Konfigurasi Model'!$B$11*T47)</f>
        <v>0.46998629927232216</v>
      </c>
      <c r="J48" s="13">
        <f>J47-('Konfigurasi Model'!$B$11*U47)</f>
        <v>0.35219167763581083</v>
      </c>
      <c r="K48" s="13">
        <f>K47-('Konfigurasi Model'!$B$11*V47)</f>
        <v>0.39736272260321254</v>
      </c>
      <c r="L48" s="13">
        <f>L47-('Konfigurasi Model'!$B$11*W47)</f>
        <v>0.45844655577490451</v>
      </c>
      <c r="M48" s="13">
        <f>M47-('Konfigurasi Model'!$B$11*X47)</f>
        <v>0.49332440296293634</v>
      </c>
      <c r="N48" s="13">
        <f t="shared" si="11"/>
        <v>4.6034821861043653</v>
      </c>
      <c r="O48" s="13">
        <f t="shared" si="12"/>
        <v>0.99008244880797025</v>
      </c>
      <c r="P48" s="12">
        <f t="shared" si="13"/>
        <v>1</v>
      </c>
      <c r="Q48" s="13">
        <f t="shared" si="14"/>
        <v>0.99008244880797025</v>
      </c>
      <c r="R48" s="13">
        <f t="shared" si="15"/>
        <v>0.98026325543758708</v>
      </c>
      <c r="T48" s="14">
        <f t="shared" si="16"/>
        <v>1.944362203493601E-2</v>
      </c>
      <c r="U48" s="14">
        <f t="shared" si="17"/>
        <v>9.9162472378173647E-2</v>
      </c>
      <c r="V48" s="14">
        <f t="shared" si="18"/>
        <v>6.4163952715288824E-2</v>
      </c>
      <c r="W48" s="14">
        <f t="shared" si="19"/>
        <v>3.3054157459391213E-2</v>
      </c>
      <c r="X48" s="14">
        <f t="shared" si="20"/>
        <v>9.7218110174680048E-3</v>
      </c>
      <c r="Y48" s="12">
        <f t="shared" si="21"/>
        <v>0</v>
      </c>
    </row>
    <row r="49" spans="1:25" x14ac:dyDescent="0.3">
      <c r="A49" s="23"/>
      <c r="B49" s="12">
        <v>45</v>
      </c>
      <c r="C49" s="12">
        <v>4.8</v>
      </c>
      <c r="D49" s="12">
        <v>3.4</v>
      </c>
      <c r="E49" s="12">
        <v>1.9</v>
      </c>
      <c r="F49" s="12">
        <v>0.2</v>
      </c>
      <c r="G49" s="12">
        <v>0</v>
      </c>
      <c r="I49" s="13">
        <f>I48-('Konfigurasi Model'!$B$11*T48)</f>
        <v>0.46804193706882857</v>
      </c>
      <c r="J49" s="13">
        <f>J48-('Konfigurasi Model'!$B$11*U48)</f>
        <v>0.34227543039799346</v>
      </c>
      <c r="K49" s="13">
        <f>K48-('Konfigurasi Model'!$B$11*V48)</f>
        <v>0.39094632733168366</v>
      </c>
      <c r="L49" s="13">
        <f>L48-('Konfigurasi Model'!$B$11*W48)</f>
        <v>0.45514114002896539</v>
      </c>
      <c r="M49" s="13">
        <f>M48-('Konfigurasi Model'!$B$11*X48)</f>
        <v>0.49235222186118954</v>
      </c>
      <c r="N49" s="13">
        <f t="shared" si="11"/>
        <v>4.4034201263341934</v>
      </c>
      <c r="O49" s="13">
        <f t="shared" si="12"/>
        <v>0.98791247439811403</v>
      </c>
      <c r="P49" s="12">
        <f t="shared" si="13"/>
        <v>1</v>
      </c>
      <c r="Q49" s="13">
        <f t="shared" si="14"/>
        <v>0.98791247439811403</v>
      </c>
      <c r="R49" s="13">
        <f t="shared" si="15"/>
        <v>0.9759710570714043</v>
      </c>
      <c r="T49" s="14">
        <f t="shared" si="16"/>
        <v>2.3594150278100631E-2</v>
      </c>
      <c r="U49" s="14">
        <f t="shared" si="17"/>
        <v>0.11325192133488302</v>
      </c>
      <c r="V49" s="14">
        <f t="shared" si="18"/>
        <v>8.0220110945542142E-2</v>
      </c>
      <c r="W49" s="14">
        <f t="shared" si="19"/>
        <v>4.4828885528391198E-2</v>
      </c>
      <c r="X49" s="14">
        <f t="shared" si="20"/>
        <v>4.7188300556201268E-3</v>
      </c>
      <c r="Y49" s="12">
        <f t="shared" si="21"/>
        <v>0</v>
      </c>
    </row>
    <row r="50" spans="1:25" x14ac:dyDescent="0.3">
      <c r="A50" s="23"/>
      <c r="B50" s="12">
        <v>46</v>
      </c>
      <c r="C50" s="12">
        <v>5</v>
      </c>
      <c r="D50" s="12">
        <v>3</v>
      </c>
      <c r="E50" s="12">
        <v>1.6</v>
      </c>
      <c r="F50" s="12">
        <v>0.2</v>
      </c>
      <c r="G50" s="12">
        <v>0</v>
      </c>
      <c r="I50" s="13">
        <f>I49-('Konfigurasi Model'!$B$11*T49)</f>
        <v>0.46568252204101851</v>
      </c>
      <c r="J50" s="13">
        <f>J49-('Konfigurasi Model'!$B$11*U49)</f>
        <v>0.33095023826450515</v>
      </c>
      <c r="K50" s="13">
        <f>K49-('Konfigurasi Model'!$B$11*V49)</f>
        <v>0.38292431623712947</v>
      </c>
      <c r="L50" s="13">
        <f>L49-('Konfigurasi Model'!$B$11*W49)</f>
        <v>0.45065825147612626</v>
      </c>
      <c r="M50" s="13">
        <f>M49-('Konfigurasi Model'!$B$11*X49)</f>
        <v>0.49188033885562754</v>
      </c>
      <c r="N50" s="13">
        <f t="shared" si="11"/>
        <v>4.0886359322078594</v>
      </c>
      <c r="O50" s="13">
        <f t="shared" si="12"/>
        <v>0.98351425286676286</v>
      </c>
      <c r="P50" s="12">
        <f t="shared" si="13"/>
        <v>1</v>
      </c>
      <c r="Q50" s="13">
        <f t="shared" si="14"/>
        <v>0.98351425286676286</v>
      </c>
      <c r="R50" s="13">
        <f t="shared" si="15"/>
        <v>0.96730028559206671</v>
      </c>
      <c r="T50" s="14">
        <f t="shared" si="16"/>
        <v>3.1893335820357763E-2</v>
      </c>
      <c r="U50" s="14">
        <f t="shared" si="17"/>
        <v>0.1594666791017888</v>
      </c>
      <c r="V50" s="14">
        <f t="shared" si="18"/>
        <v>9.5680007461073288E-2</v>
      </c>
      <c r="W50" s="14">
        <f t="shared" si="19"/>
        <v>5.102933731257242E-2</v>
      </c>
      <c r="X50" s="14">
        <f t="shared" si="20"/>
        <v>6.3786671640715525E-3</v>
      </c>
      <c r="Y50" s="12">
        <f t="shared" si="21"/>
        <v>0</v>
      </c>
    </row>
    <row r="51" spans="1:25" x14ac:dyDescent="0.3">
      <c r="A51" s="23"/>
      <c r="B51" s="12">
        <v>47</v>
      </c>
      <c r="C51" s="12">
        <v>5</v>
      </c>
      <c r="D51" s="12">
        <v>3.4</v>
      </c>
      <c r="E51" s="12">
        <v>1.6</v>
      </c>
      <c r="F51" s="12">
        <v>0.4</v>
      </c>
      <c r="G51" s="12">
        <v>0</v>
      </c>
      <c r="I51" s="13">
        <f>I50-('Konfigurasi Model'!$B$11*T50)</f>
        <v>0.46249318845898274</v>
      </c>
      <c r="J51" s="13">
        <f>J50-('Konfigurasi Model'!$B$11*U50)</f>
        <v>0.31500357035432625</v>
      </c>
      <c r="K51" s="13">
        <f>K50-('Konfigurasi Model'!$B$11*V50)</f>
        <v>0.37335631549102216</v>
      </c>
      <c r="L51" s="13">
        <f>L50-('Konfigurasi Model'!$B$11*W50)</f>
        <v>0.44555531774486901</v>
      </c>
      <c r="M51" s="13">
        <f>M50-('Konfigurasi Model'!$B$11*X50)</f>
        <v>0.4912424721392204</v>
      </c>
      <c r="N51" s="13">
        <f t="shared" si="11"/>
        <v>4.2163080101475678</v>
      </c>
      <c r="O51" s="13">
        <f t="shared" si="12"/>
        <v>0.98546147498307113</v>
      </c>
      <c r="P51" s="12">
        <f t="shared" si="13"/>
        <v>1</v>
      </c>
      <c r="Q51" s="13">
        <f t="shared" si="14"/>
        <v>0.98546147498307113</v>
      </c>
      <c r="R51" s="13">
        <f t="shared" si="15"/>
        <v>0.97113431867581013</v>
      </c>
      <c r="T51" s="14">
        <f t="shared" si="16"/>
        <v>2.8237721173732883E-2</v>
      </c>
      <c r="U51" s="14">
        <f t="shared" si="17"/>
        <v>0.14118860586866441</v>
      </c>
      <c r="V51" s="14">
        <f t="shared" si="18"/>
        <v>9.6008251990691795E-2</v>
      </c>
      <c r="W51" s="14">
        <f t="shared" si="19"/>
        <v>4.5180353877972618E-2</v>
      </c>
      <c r="X51" s="14">
        <f t="shared" si="20"/>
        <v>1.1295088469493154E-2</v>
      </c>
      <c r="Y51" s="12">
        <f t="shared" si="21"/>
        <v>0</v>
      </c>
    </row>
    <row r="52" spans="1:25" x14ac:dyDescent="0.3">
      <c r="A52" s="23"/>
      <c r="B52" s="12">
        <v>48</v>
      </c>
      <c r="C52" s="12">
        <v>5.2</v>
      </c>
      <c r="D52" s="12">
        <v>3.5</v>
      </c>
      <c r="E52" s="12">
        <v>1.5</v>
      </c>
      <c r="F52" s="12">
        <v>0.2</v>
      </c>
      <c r="G52" s="12">
        <v>0</v>
      </c>
      <c r="I52" s="13">
        <f>I51-('Konfigurasi Model'!$B$11*T51)</f>
        <v>0.45966941634160946</v>
      </c>
      <c r="J52" s="13">
        <f>J51-('Konfigurasi Model'!$B$11*U51)</f>
        <v>0.30088470976745979</v>
      </c>
      <c r="K52" s="13">
        <f>K51-('Konfigurasi Model'!$B$11*V51)</f>
        <v>0.36375549029195298</v>
      </c>
      <c r="L52" s="13">
        <f>L51-('Konfigurasi Model'!$B$11*W51)</f>
        <v>0.44103728235707174</v>
      </c>
      <c r="M52" s="13">
        <f>M51-('Konfigurasi Model'!$B$11*X51)</f>
        <v>0.49011296329227111</v>
      </c>
      <c r="N52" s="13">
        <f t="shared" si="11"/>
        <v>4.0569926393482971</v>
      </c>
      <c r="O52" s="13">
        <f t="shared" si="12"/>
        <v>0.9829932618699696</v>
      </c>
      <c r="P52" s="12">
        <f t="shared" si="13"/>
        <v>1</v>
      </c>
      <c r="Q52" s="13">
        <f t="shared" si="14"/>
        <v>0.9829932618699696</v>
      </c>
      <c r="R52" s="13">
        <f t="shared" si="15"/>
        <v>0.9662757528817626</v>
      </c>
      <c r="T52" s="14">
        <f t="shared" si="16"/>
        <v>3.2866397381316199E-2</v>
      </c>
      <c r="U52" s="14">
        <f t="shared" si="17"/>
        <v>0.17090526638284426</v>
      </c>
      <c r="V52" s="14">
        <f t="shared" si="18"/>
        <v>0.1150323908346067</v>
      </c>
      <c r="W52" s="14">
        <f t="shared" si="19"/>
        <v>4.9299596071974303E-2</v>
      </c>
      <c r="X52" s="14">
        <f t="shared" si="20"/>
        <v>6.5732794762632402E-3</v>
      </c>
      <c r="Y52" s="12">
        <f t="shared" si="21"/>
        <v>0</v>
      </c>
    </row>
    <row r="53" spans="1:25" x14ac:dyDescent="0.3">
      <c r="A53" s="23"/>
      <c r="B53" s="12">
        <v>49</v>
      </c>
      <c r="C53" s="12">
        <v>5.2</v>
      </c>
      <c r="D53" s="12">
        <v>3.4</v>
      </c>
      <c r="E53" s="12">
        <v>1.4</v>
      </c>
      <c r="F53" s="12">
        <v>0.2</v>
      </c>
      <c r="G53" s="12">
        <v>0</v>
      </c>
      <c r="I53" s="13">
        <f>I52-('Konfigurasi Model'!$B$11*T52)</f>
        <v>0.45638277660347781</v>
      </c>
      <c r="J53" s="13">
        <f>J52-('Konfigurasi Model'!$B$11*U52)</f>
        <v>0.28379418312917537</v>
      </c>
      <c r="K53" s="13">
        <f>K52-('Konfigurasi Model'!$B$11*V52)</f>
        <v>0.3522522512084923</v>
      </c>
      <c r="L53" s="13">
        <f>L52-('Konfigurasi Model'!$B$11*W52)</f>
        <v>0.43610732274987429</v>
      </c>
      <c r="M53" s="13">
        <f>M52-('Konfigurasi Model'!$B$11*X52)</f>
        <v>0.48945563534464476</v>
      </c>
      <c r="N53" s="13">
        <f t="shared" si="11"/>
        <v>3.8382115619028161</v>
      </c>
      <c r="O53" s="13">
        <f t="shared" si="12"/>
        <v>0.97892178206957137</v>
      </c>
      <c r="P53" s="12">
        <f t="shared" si="13"/>
        <v>1</v>
      </c>
      <c r="Q53" s="13">
        <f t="shared" si="14"/>
        <v>0.97892178206957137</v>
      </c>
      <c r="R53" s="13">
        <f t="shared" si="15"/>
        <v>0.9582878554102654</v>
      </c>
      <c r="T53" s="14">
        <f t="shared" si="16"/>
        <v>4.0398000512841314E-2</v>
      </c>
      <c r="U53" s="14">
        <f t="shared" si="17"/>
        <v>0.21006960266677485</v>
      </c>
      <c r="V53" s="14">
        <f t="shared" si="18"/>
        <v>0.13735320174366047</v>
      </c>
      <c r="W53" s="14">
        <f t="shared" si="19"/>
        <v>5.6557200717977839E-2</v>
      </c>
      <c r="X53" s="14">
        <f t="shared" si="20"/>
        <v>8.0796001025682639E-3</v>
      </c>
      <c r="Y53" s="12">
        <f t="shared" si="21"/>
        <v>0</v>
      </c>
    </row>
    <row r="54" spans="1:25" x14ac:dyDescent="0.3">
      <c r="A54" s="23"/>
      <c r="B54" s="12">
        <v>50</v>
      </c>
      <c r="C54" s="12">
        <v>4.7</v>
      </c>
      <c r="D54" s="12">
        <v>3.2</v>
      </c>
      <c r="E54" s="12">
        <v>1.6</v>
      </c>
      <c r="F54" s="12">
        <v>0.2</v>
      </c>
      <c r="G54" s="12">
        <v>0</v>
      </c>
      <c r="I54" s="13">
        <f>I53-('Konfigurasi Model'!$B$11*T53)</f>
        <v>0.45234297655219369</v>
      </c>
      <c r="J54" s="13">
        <f>J53-('Konfigurasi Model'!$B$11*U53)</f>
        <v>0.26278722286249789</v>
      </c>
      <c r="K54" s="13">
        <f>K53-('Konfigurasi Model'!$B$11*V53)</f>
        <v>0.33851693103412622</v>
      </c>
      <c r="L54" s="13">
        <f>L53-('Konfigurasi Model'!$B$11*W53)</f>
        <v>0.43045160267807653</v>
      </c>
      <c r="M54" s="13">
        <f>M53-('Konfigurasi Model'!$B$11*X53)</f>
        <v>0.48864767533438791</v>
      </c>
      <c r="N54" s="13">
        <f t="shared" si="11"/>
        <v>3.5571492026669382</v>
      </c>
      <c r="O54" s="13">
        <f t="shared" si="12"/>
        <v>0.97227082280234844</v>
      </c>
      <c r="P54" s="12">
        <f t="shared" si="13"/>
        <v>1</v>
      </c>
      <c r="Q54" s="13">
        <f t="shared" si="14"/>
        <v>0.97227082280234844</v>
      </c>
      <c r="R54" s="13">
        <f t="shared" si="15"/>
        <v>0.94531055287275567</v>
      </c>
      <c r="T54" s="14">
        <f t="shared" si="16"/>
        <v>5.2425367654837206E-2</v>
      </c>
      <c r="U54" s="14">
        <f t="shared" si="17"/>
        <v>0.24639922797773486</v>
      </c>
      <c r="V54" s="14">
        <f t="shared" si="18"/>
        <v>0.16776117649547906</v>
      </c>
      <c r="W54" s="14">
        <f t="shared" si="19"/>
        <v>8.3880588247739529E-2</v>
      </c>
      <c r="X54" s="14">
        <f t="shared" si="20"/>
        <v>1.0485073530967441E-2</v>
      </c>
      <c r="Y54" s="12">
        <f t="shared" si="21"/>
        <v>0</v>
      </c>
    </row>
    <row r="55" spans="1:25" x14ac:dyDescent="0.3">
      <c r="A55" s="23"/>
      <c r="B55" s="12">
        <v>51</v>
      </c>
      <c r="C55" s="12">
        <v>4.8</v>
      </c>
      <c r="D55" s="12">
        <v>3.1</v>
      </c>
      <c r="E55" s="12">
        <v>1.6</v>
      </c>
      <c r="F55" s="12">
        <v>0.2</v>
      </c>
      <c r="G55" s="12">
        <v>0</v>
      </c>
      <c r="I55" s="13">
        <f>I54-('Konfigurasi Model'!$B$11*T54)</f>
        <v>0.44710043978670999</v>
      </c>
      <c r="J55" s="13">
        <f>J54-('Konfigurasi Model'!$B$11*U54)</f>
        <v>0.2381473000647244</v>
      </c>
      <c r="K55" s="13">
        <f>K54-('Konfigurasi Model'!$B$11*V54)</f>
        <v>0.32174081338457833</v>
      </c>
      <c r="L55" s="13">
        <f>L54-('Konfigurasi Model'!$B$11*W54)</f>
        <v>0.42206354385330258</v>
      </c>
      <c r="M55" s="13">
        <f>M54-('Konfigurasi Model'!$B$11*X54)</f>
        <v>0.48759916798129116</v>
      </c>
      <c r="N55" s="13">
        <f t="shared" si="11"/>
        <v>3.3604255053511225</v>
      </c>
      <c r="O55" s="13">
        <f t="shared" si="12"/>
        <v>0.96644457836435649</v>
      </c>
      <c r="P55" s="12">
        <f t="shared" si="13"/>
        <v>1</v>
      </c>
      <c r="Q55" s="13">
        <f t="shared" si="14"/>
        <v>0.96644457836435649</v>
      </c>
      <c r="R55" s="13">
        <f t="shared" si="15"/>
        <v>0.93401512304985879</v>
      </c>
      <c r="T55" s="14">
        <f t="shared" si="16"/>
        <v>6.2682542536010938E-2</v>
      </c>
      <c r="U55" s="14">
        <f t="shared" si="17"/>
        <v>0.30087620417285249</v>
      </c>
      <c r="V55" s="14">
        <f t="shared" si="18"/>
        <v>0.19431588186163393</v>
      </c>
      <c r="W55" s="14">
        <f t="shared" si="19"/>
        <v>0.10029206805761751</v>
      </c>
      <c r="X55" s="14">
        <f t="shared" si="20"/>
        <v>1.2536508507202188E-2</v>
      </c>
      <c r="Y55" s="12">
        <f t="shared" si="21"/>
        <v>0</v>
      </c>
    </row>
    <row r="56" spans="1:25" x14ac:dyDescent="0.3">
      <c r="A56" s="23"/>
      <c r="B56" s="12">
        <v>52</v>
      </c>
      <c r="C56" s="12">
        <v>5.4</v>
      </c>
      <c r="D56" s="12">
        <v>3.4</v>
      </c>
      <c r="E56" s="12">
        <v>1.5</v>
      </c>
      <c r="F56" s="12">
        <v>0.4</v>
      </c>
      <c r="G56" s="12">
        <v>0</v>
      </c>
      <c r="I56" s="13">
        <f>I55-('Konfigurasi Model'!$B$11*T55)</f>
        <v>0.44083218553310888</v>
      </c>
      <c r="J56" s="13">
        <f>J55-('Konfigurasi Model'!$B$11*U55)</f>
        <v>0.20805967964743916</v>
      </c>
      <c r="K56" s="13">
        <f>K55-('Konfigurasi Model'!$B$11*V55)</f>
        <v>0.30230922519841491</v>
      </c>
      <c r="L56" s="13">
        <f>L55-('Konfigurasi Model'!$B$11*W55)</f>
        <v>0.41203433704754083</v>
      </c>
      <c r="M56" s="13">
        <f>M55-('Konfigurasi Model'!$B$11*X55)</f>
        <v>0.48634551713057095</v>
      </c>
      <c r="N56" s="13">
        <f t="shared" si="11"/>
        <v>3.4047955337274307</v>
      </c>
      <c r="O56" s="13">
        <f t="shared" si="12"/>
        <v>0.9678540718831613</v>
      </c>
      <c r="P56" s="12">
        <f t="shared" si="13"/>
        <v>1</v>
      </c>
      <c r="Q56" s="13">
        <f t="shared" si="14"/>
        <v>0.9678540718831613</v>
      </c>
      <c r="R56" s="13">
        <f t="shared" si="15"/>
        <v>0.93674150446081561</v>
      </c>
      <c r="T56" s="14">
        <f t="shared" si="16"/>
        <v>6.0224850132913427E-2</v>
      </c>
      <c r="U56" s="14">
        <f t="shared" si="17"/>
        <v>0.3252141907177325</v>
      </c>
      <c r="V56" s="14">
        <f t="shared" si="18"/>
        <v>0.20476449045190565</v>
      </c>
      <c r="W56" s="14">
        <f t="shared" si="19"/>
        <v>9.033727519937014E-2</v>
      </c>
      <c r="X56" s="14">
        <f t="shared" si="20"/>
        <v>2.4089940053165372E-2</v>
      </c>
      <c r="Y56" s="12">
        <f t="shared" si="21"/>
        <v>0</v>
      </c>
    </row>
    <row r="57" spans="1:25" x14ac:dyDescent="0.3">
      <c r="A57" s="23"/>
      <c r="B57" s="12">
        <v>53</v>
      </c>
      <c r="C57" s="12">
        <v>5.2</v>
      </c>
      <c r="D57" s="12">
        <v>4.0999999999999996</v>
      </c>
      <c r="E57" s="12">
        <v>1.5</v>
      </c>
      <c r="F57" s="12">
        <v>0.1</v>
      </c>
      <c r="G57" s="12">
        <v>0</v>
      </c>
      <c r="I57" s="13">
        <f>I56-('Konfigurasi Model'!$B$11*T56)</f>
        <v>0.43480970051981754</v>
      </c>
      <c r="J57" s="13">
        <f>J56-('Konfigurasi Model'!$B$11*U56)</f>
        <v>0.17553826057566591</v>
      </c>
      <c r="K57" s="13">
        <f>K56-('Konfigurasi Model'!$B$11*V56)</f>
        <v>0.28183277615322433</v>
      </c>
      <c r="L57" s="13">
        <f>L56-('Konfigurasi Model'!$B$11*W56)</f>
        <v>0.4030006095276038</v>
      </c>
      <c r="M57" s="13">
        <f>M56-('Konfigurasi Model'!$B$11*X56)</f>
        <v>0.48393652312525443</v>
      </c>
      <c r="N57" s="13">
        <f t="shared" si="11"/>
        <v>3.1560176043454313</v>
      </c>
      <c r="O57" s="13">
        <f t="shared" si="12"/>
        <v>0.95914517847410852</v>
      </c>
      <c r="P57" s="12">
        <f t="shared" si="13"/>
        <v>1</v>
      </c>
      <c r="Q57" s="13">
        <f t="shared" si="14"/>
        <v>0.95914517847410852</v>
      </c>
      <c r="R57" s="13">
        <f t="shared" si="15"/>
        <v>0.91995947339012951</v>
      </c>
      <c r="T57" s="14">
        <f t="shared" si="16"/>
        <v>7.5169560192813706E-2</v>
      </c>
      <c r="U57" s="14">
        <f t="shared" si="17"/>
        <v>0.3908817130026313</v>
      </c>
      <c r="V57" s="14">
        <f t="shared" si="18"/>
        <v>0.30819519679053614</v>
      </c>
      <c r="W57" s="14">
        <f t="shared" si="19"/>
        <v>0.11275434028922056</v>
      </c>
      <c r="X57" s="14">
        <f t="shared" si="20"/>
        <v>7.5169560192813708E-3</v>
      </c>
      <c r="Y57" s="12">
        <f t="shared" si="21"/>
        <v>0</v>
      </c>
    </row>
    <row r="58" spans="1:25" x14ac:dyDescent="0.3">
      <c r="A58" s="23"/>
      <c r="B58" s="12">
        <v>54</v>
      </c>
      <c r="C58" s="12">
        <v>5.5</v>
      </c>
      <c r="D58" s="12">
        <v>4.2</v>
      </c>
      <c r="E58" s="12">
        <v>1.4</v>
      </c>
      <c r="F58" s="12">
        <v>0.2</v>
      </c>
      <c r="G58" s="12">
        <v>0</v>
      </c>
      <c r="I58" s="13">
        <f>I57-('Konfigurasi Model'!$B$11*T57)</f>
        <v>0.42729274450053617</v>
      </c>
      <c r="J58" s="13">
        <f>J57-('Konfigurasi Model'!$B$11*U57)</f>
        <v>0.13645008927540278</v>
      </c>
      <c r="K58" s="13">
        <f>K57-('Konfigurasi Model'!$B$11*V57)</f>
        <v>0.25101325647417072</v>
      </c>
      <c r="L58" s="13">
        <f>L57-('Konfigurasi Model'!$B$11*W57)</f>
        <v>0.39172517549868174</v>
      </c>
      <c r="M58" s="13">
        <f>M57-('Konfigurasi Model'!$B$11*X57)</f>
        <v>0.48318482752332631</v>
      </c>
      <c r="N58" s="13">
        <f t="shared" si="11"/>
        <v>2.8770761239095886</v>
      </c>
      <c r="O58" s="13">
        <f t="shared" si="12"/>
        <v>0.94670152394278273</v>
      </c>
      <c r="P58" s="12">
        <f t="shared" si="13"/>
        <v>1</v>
      </c>
      <c r="Q58" s="13">
        <f t="shared" si="14"/>
        <v>0.94670152394278273</v>
      </c>
      <c r="R58" s="13">
        <f t="shared" si="15"/>
        <v>0.8962437754355872</v>
      </c>
      <c r="T58" s="14">
        <f t="shared" si="16"/>
        <v>9.5536854812967309E-2</v>
      </c>
      <c r="U58" s="14">
        <f t="shared" si="17"/>
        <v>0.52545270147132017</v>
      </c>
      <c r="V58" s="14">
        <f t="shared" si="18"/>
        <v>0.4012547902144627</v>
      </c>
      <c r="W58" s="14">
        <f t="shared" si="19"/>
        <v>0.13375159673815423</v>
      </c>
      <c r="X58" s="14">
        <f t="shared" si="20"/>
        <v>1.9107370962593462E-2</v>
      </c>
      <c r="Y58" s="12">
        <f t="shared" si="21"/>
        <v>0</v>
      </c>
    </row>
    <row r="59" spans="1:25" x14ac:dyDescent="0.3">
      <c r="A59" s="23"/>
      <c r="B59" s="12">
        <v>55</v>
      </c>
      <c r="C59" s="12">
        <v>4.9000000000000004</v>
      </c>
      <c r="D59" s="12">
        <v>3.1</v>
      </c>
      <c r="E59" s="12">
        <v>1.5</v>
      </c>
      <c r="F59" s="12">
        <v>0.1</v>
      </c>
      <c r="G59" s="12">
        <v>0</v>
      </c>
      <c r="I59" s="13">
        <f>I58-('Konfigurasi Model'!$B$11*T58)</f>
        <v>0.41773905901923947</v>
      </c>
      <c r="J59" s="13">
        <f>J58-('Konfigurasi Model'!$B$11*U58)</f>
        <v>8.3904819128270761E-2</v>
      </c>
      <c r="K59" s="13">
        <f>K58-('Konfigurasi Model'!$B$11*V58)</f>
        <v>0.21088777745272444</v>
      </c>
      <c r="L59" s="13">
        <f>L58-('Konfigurasi Model'!$B$11*W58)</f>
        <v>0.37835001582486633</v>
      </c>
      <c r="M59" s="13">
        <f>M58-('Konfigurasi Model'!$B$11*X58)</f>
        <v>0.48127409042706698</v>
      </c>
      <c r="N59" s="13">
        <f t="shared" si="11"/>
        <v>2.0982772156312186</v>
      </c>
      <c r="O59" s="13">
        <f t="shared" si="12"/>
        <v>0.89073562048688149</v>
      </c>
      <c r="P59" s="12">
        <f t="shared" si="13"/>
        <v>1</v>
      </c>
      <c r="Q59" s="13">
        <f t="shared" si="14"/>
        <v>0.89073562048688149</v>
      </c>
      <c r="R59" s="13">
        <f t="shared" si="15"/>
        <v>0.79340994560414979</v>
      </c>
      <c r="T59" s="14">
        <f t="shared" si="16"/>
        <v>0.17338289081194908</v>
      </c>
      <c r="U59" s="14">
        <f t="shared" si="17"/>
        <v>0.84957616497855049</v>
      </c>
      <c r="V59" s="14">
        <f t="shared" si="18"/>
        <v>0.53748696151704212</v>
      </c>
      <c r="W59" s="14">
        <f t="shared" si="19"/>
        <v>0.26007433621792364</v>
      </c>
      <c r="X59" s="14">
        <f t="shared" si="20"/>
        <v>1.7338289081194908E-2</v>
      </c>
      <c r="Y59" s="12">
        <f t="shared" si="21"/>
        <v>0</v>
      </c>
    </row>
    <row r="60" spans="1:25" x14ac:dyDescent="0.3">
      <c r="A60" s="23"/>
      <c r="B60" s="12">
        <v>56</v>
      </c>
      <c r="C60" s="12">
        <v>5</v>
      </c>
      <c r="D60" s="12">
        <v>3.2</v>
      </c>
      <c r="E60" s="12">
        <v>1.2</v>
      </c>
      <c r="F60" s="12">
        <v>0.2</v>
      </c>
      <c r="G60" s="12">
        <v>0</v>
      </c>
      <c r="I60" s="13">
        <f>I59-('Konfigurasi Model'!$B$11*T59)</f>
        <v>0.40040076993804458</v>
      </c>
      <c r="J60" s="13">
        <f>J59-('Konfigurasi Model'!$B$11*U59)</f>
        <v>-1.0527973695842879E-3</v>
      </c>
      <c r="K60" s="13">
        <f>K59-('Konfigurasi Model'!$B$11*V59)</f>
        <v>0.15713908130102022</v>
      </c>
      <c r="L60" s="13">
        <f>L59-('Konfigurasi Model'!$B$11*W59)</f>
        <v>0.35234258220307396</v>
      </c>
      <c r="M60" s="13">
        <f>M59-('Konfigurasi Model'!$B$11*X59)</f>
        <v>0.47954026151894746</v>
      </c>
      <c r="N60" s="13">
        <f t="shared" si="11"/>
        <v>1.4167009942008659</v>
      </c>
      <c r="O60" s="13">
        <f t="shared" si="12"/>
        <v>0.80482071536034505</v>
      </c>
      <c r="P60" s="12">
        <f t="shared" si="13"/>
        <v>1</v>
      </c>
      <c r="Q60" s="13">
        <f t="shared" si="14"/>
        <v>0.80482071536034505</v>
      </c>
      <c r="R60" s="13">
        <f t="shared" si="15"/>
        <v>0.64773638387313759</v>
      </c>
      <c r="T60" s="14">
        <f t="shared" si="16"/>
        <v>0.25284944807887183</v>
      </c>
      <c r="U60" s="14">
        <f t="shared" si="17"/>
        <v>1.2642472403943592</v>
      </c>
      <c r="V60" s="14">
        <f t="shared" si="18"/>
        <v>0.8091182338523899</v>
      </c>
      <c r="W60" s="14">
        <f t="shared" si="19"/>
        <v>0.30341933769464619</v>
      </c>
      <c r="X60" s="14">
        <f t="shared" si="20"/>
        <v>5.0569889615774369E-2</v>
      </c>
      <c r="Y60" s="12">
        <f t="shared" si="21"/>
        <v>0</v>
      </c>
    </row>
    <row r="61" spans="1:25" x14ac:dyDescent="0.3">
      <c r="A61" s="23"/>
      <c r="B61" s="12">
        <v>57</v>
      </c>
      <c r="C61" s="12">
        <v>5.5</v>
      </c>
      <c r="D61" s="12">
        <v>3.5</v>
      </c>
      <c r="E61" s="12">
        <v>1.3</v>
      </c>
      <c r="F61" s="12">
        <v>0.2</v>
      </c>
      <c r="G61" s="12">
        <v>0</v>
      </c>
      <c r="I61" s="13">
        <f>I60-('Konfigurasi Model'!$B$11*T60)</f>
        <v>0.3751158251301574</v>
      </c>
      <c r="J61" s="13">
        <f>J60-('Konfigurasi Model'!$B$11*U60)</f>
        <v>-0.12747752140902019</v>
      </c>
      <c r="K61" s="13">
        <f>K60-('Konfigurasi Model'!$B$11*V60)</f>
        <v>7.6227257915781221E-2</v>
      </c>
      <c r="L61" s="13">
        <f>L60-('Konfigurasi Model'!$B$11*W60)</f>
        <v>0.32200064843360932</v>
      </c>
      <c r="M61" s="13">
        <f>M60-('Konfigurasi Model'!$B$11*X60)</f>
        <v>0.47448327255737005</v>
      </c>
      <c r="N61" s="13">
        <f t="shared" si="11"/>
        <v>0.45428235756094676</v>
      </c>
      <c r="O61" s="13">
        <f t="shared" si="12"/>
        <v>0.61165691909771236</v>
      </c>
      <c r="P61" s="12">
        <f t="shared" si="13"/>
        <v>1</v>
      </c>
      <c r="Q61" s="13">
        <f t="shared" si="14"/>
        <v>0.61165691909771236</v>
      </c>
      <c r="R61" s="13">
        <f t="shared" si="15"/>
        <v>0.37412418668010544</v>
      </c>
      <c r="T61" s="14">
        <f t="shared" si="16"/>
        <v>0.29057707859082949</v>
      </c>
      <c r="U61" s="14">
        <f t="shared" si="17"/>
        <v>1.5981739322495621</v>
      </c>
      <c r="V61" s="14">
        <f t="shared" si="18"/>
        <v>1.0170197750679031</v>
      </c>
      <c r="W61" s="14">
        <f t="shared" si="19"/>
        <v>0.37775020216807836</v>
      </c>
      <c r="X61" s="14">
        <f t="shared" si="20"/>
        <v>5.8115415718165898E-2</v>
      </c>
      <c r="Y61" s="12">
        <f t="shared" si="21"/>
        <v>0</v>
      </c>
    </row>
    <row r="62" spans="1:25" x14ac:dyDescent="0.3">
      <c r="A62" s="23"/>
      <c r="B62" s="12">
        <v>58</v>
      </c>
      <c r="C62" s="12">
        <v>4.9000000000000004</v>
      </c>
      <c r="D62" s="12">
        <v>3.1</v>
      </c>
      <c r="E62" s="12">
        <v>1.5</v>
      </c>
      <c r="F62" s="12">
        <v>0.1</v>
      </c>
      <c r="G62" s="12">
        <v>0</v>
      </c>
      <c r="I62" s="13">
        <f>I61-('Konfigurasi Model'!$B$11*T61)</f>
        <v>0.34605811727107444</v>
      </c>
      <c r="J62" s="13">
        <f>J61-('Konfigurasi Model'!$B$11*U61)</f>
        <v>-0.28729491463397638</v>
      </c>
      <c r="K62" s="13">
        <f>K61-('Konfigurasi Model'!$B$11*V61)</f>
        <v>-2.5474719591009096E-2</v>
      </c>
      <c r="L62" s="13">
        <f>L61-('Konfigurasi Model'!$B$11*W61)</f>
        <v>0.28422562821680147</v>
      </c>
      <c r="M62" s="13">
        <f>M61-('Konfigurasi Model'!$B$11*X61)</f>
        <v>0.46867173098555348</v>
      </c>
      <c r="N62" s="13">
        <f t="shared" si="11"/>
        <v>-0.66745297974378071</v>
      </c>
      <c r="O62" s="13">
        <f t="shared" si="12"/>
        <v>0.3390673956332842</v>
      </c>
      <c r="P62" s="12">
        <f t="shared" si="13"/>
        <v>0</v>
      </c>
      <c r="Q62" s="13">
        <f t="shared" si="14"/>
        <v>0.3390673956332842</v>
      </c>
      <c r="R62" s="13">
        <f t="shared" si="15"/>
        <v>0.11496669878153808</v>
      </c>
      <c r="T62" s="14">
        <f t="shared" si="16"/>
        <v>0.15197047928225138</v>
      </c>
      <c r="U62" s="14">
        <f t="shared" si="17"/>
        <v>0.74465534848303183</v>
      </c>
      <c r="V62" s="14">
        <f t="shared" si="18"/>
        <v>0.47110848577497927</v>
      </c>
      <c r="W62" s="14">
        <f t="shared" si="19"/>
        <v>0.22795571892337707</v>
      </c>
      <c r="X62" s="14">
        <f t="shared" si="20"/>
        <v>1.5197047928225139E-2</v>
      </c>
      <c r="Y62" s="12">
        <f t="shared" si="21"/>
        <v>1</v>
      </c>
    </row>
    <row r="63" spans="1:25" x14ac:dyDescent="0.3">
      <c r="A63" s="23"/>
      <c r="B63" s="12">
        <v>59</v>
      </c>
      <c r="C63" s="12">
        <v>4.4000000000000004</v>
      </c>
      <c r="D63" s="12">
        <v>3</v>
      </c>
      <c r="E63" s="12">
        <v>1.3</v>
      </c>
      <c r="F63" s="12">
        <v>0.2</v>
      </c>
      <c r="G63" s="12">
        <v>0</v>
      </c>
      <c r="I63" s="13">
        <f>I62-('Konfigurasi Model'!$B$11*T62)</f>
        <v>0.33086106934284931</v>
      </c>
      <c r="J63" s="13">
        <f>J62-('Konfigurasi Model'!$B$11*U62)</f>
        <v>-0.36176044948227959</v>
      </c>
      <c r="K63" s="13">
        <f>K62-('Konfigurasi Model'!$B$11*V62)</f>
        <v>-7.2585568168507031E-2</v>
      </c>
      <c r="L63" s="13">
        <f>L62-('Konfigurasi Model'!$B$11*W62)</f>
        <v>0.26143005632446376</v>
      </c>
      <c r="M63" s="13">
        <f>M62-('Konfigurasi Model'!$B$11*X62)</f>
        <v>0.46715202619273094</v>
      </c>
      <c r="N63" s="13">
        <f t="shared" si="11"/>
        <v>-1.045352134424353</v>
      </c>
      <c r="O63" s="13">
        <f t="shared" si="12"/>
        <v>0.26011861689844806</v>
      </c>
      <c r="P63" s="12">
        <f t="shared" si="13"/>
        <v>0</v>
      </c>
      <c r="Q63" s="13">
        <f t="shared" si="14"/>
        <v>0.26011861689844806</v>
      </c>
      <c r="R63" s="13">
        <f t="shared" si="15"/>
        <v>6.7661694857161586E-2</v>
      </c>
      <c r="T63" s="14">
        <f t="shared" si="16"/>
        <v>0.10012325674782377</v>
      </c>
      <c r="U63" s="14">
        <f t="shared" si="17"/>
        <v>0.44054232969042462</v>
      </c>
      <c r="V63" s="14">
        <f t="shared" si="18"/>
        <v>0.30036977024347133</v>
      </c>
      <c r="W63" s="14">
        <f t="shared" si="19"/>
        <v>0.1301602337721709</v>
      </c>
      <c r="X63" s="14">
        <f t="shared" si="20"/>
        <v>2.0024651349564757E-2</v>
      </c>
      <c r="Y63" s="12">
        <f t="shared" si="21"/>
        <v>1</v>
      </c>
    </row>
    <row r="64" spans="1:25" x14ac:dyDescent="0.3">
      <c r="A64" s="23"/>
      <c r="B64" s="12">
        <v>60</v>
      </c>
      <c r="C64" s="12">
        <v>5.0999999999999996</v>
      </c>
      <c r="D64" s="12">
        <v>3.4</v>
      </c>
      <c r="E64" s="12">
        <v>1.5</v>
      </c>
      <c r="F64" s="12">
        <v>0.2</v>
      </c>
      <c r="G64" s="12">
        <v>0</v>
      </c>
      <c r="I64" s="13">
        <f>I63-('Konfigurasi Model'!$B$11*T63)</f>
        <v>0.32084874366806693</v>
      </c>
      <c r="J64" s="13">
        <f>J63-('Konfigurasi Model'!$B$11*U63)</f>
        <v>-0.40581468245132207</v>
      </c>
      <c r="K64" s="13">
        <f>K63-('Konfigurasi Model'!$B$11*V63)</f>
        <v>-0.10262254519285416</v>
      </c>
      <c r="L64" s="13">
        <f>L63-('Konfigurasi Model'!$B$11*W63)</f>
        <v>0.24841403294724668</v>
      </c>
      <c r="M64" s="13">
        <f>M63-('Konfigurasi Model'!$B$11*X63)</f>
        <v>0.46514956105777444</v>
      </c>
      <c r="N64" s="13">
        <f t="shared" si="11"/>
        <v>-1.6320718288569547</v>
      </c>
      <c r="O64" s="13">
        <f t="shared" si="12"/>
        <v>0.16354673908247724</v>
      </c>
      <c r="P64" s="12">
        <f t="shared" si="13"/>
        <v>0</v>
      </c>
      <c r="Q64" s="13">
        <f t="shared" si="14"/>
        <v>0.16354673908247724</v>
      </c>
      <c r="R64" s="13">
        <f t="shared" si="15"/>
        <v>2.6747535864511889E-2</v>
      </c>
      <c r="T64" s="14">
        <f t="shared" si="16"/>
        <v>4.4746127190758732E-2</v>
      </c>
      <c r="U64" s="14">
        <f t="shared" si="17"/>
        <v>0.22820524867286951</v>
      </c>
      <c r="V64" s="14">
        <f t="shared" si="18"/>
        <v>0.15213683244857967</v>
      </c>
      <c r="W64" s="14">
        <f t="shared" si="19"/>
        <v>6.7119190786138094E-2</v>
      </c>
      <c r="X64" s="14">
        <f t="shared" si="20"/>
        <v>8.9492254381517474E-3</v>
      </c>
      <c r="Y64" s="12">
        <f t="shared" si="21"/>
        <v>1</v>
      </c>
    </row>
    <row r="65" spans="1:25" x14ac:dyDescent="0.3">
      <c r="A65" s="23"/>
      <c r="B65" s="12">
        <v>61</v>
      </c>
      <c r="C65" s="12">
        <v>5.9</v>
      </c>
      <c r="D65" s="12">
        <v>3.2</v>
      </c>
      <c r="E65" s="12">
        <v>4.8</v>
      </c>
      <c r="F65" s="12">
        <v>1.8</v>
      </c>
      <c r="G65" s="12">
        <v>1</v>
      </c>
      <c r="I65" s="13">
        <f>I64-('Konfigurasi Model'!$B$11*T64)</f>
        <v>0.31637413094899103</v>
      </c>
      <c r="J65" s="13">
        <f>J64-('Konfigurasi Model'!$B$11*U64)</f>
        <v>-0.42863520731860905</v>
      </c>
      <c r="K65" s="13">
        <f>K64-('Konfigurasi Model'!$B$11*V64)</f>
        <v>-0.11783622843771213</v>
      </c>
      <c r="L65" s="13">
        <f>L64-('Konfigurasi Model'!$B$11*W64)</f>
        <v>0.24170211386863286</v>
      </c>
      <c r="M65" s="13">
        <f>M64-('Konfigurasi Model'!$B$11*X64)</f>
        <v>0.46425463851395926</v>
      </c>
      <c r="N65" s="13">
        <f t="shared" si="11"/>
        <v>-0.593821027336917</v>
      </c>
      <c r="O65" s="13">
        <f t="shared" si="12"/>
        <v>0.35575861427737843</v>
      </c>
      <c r="P65" s="12">
        <f t="shared" si="13"/>
        <v>0</v>
      </c>
      <c r="Q65" s="13">
        <f t="shared" si="14"/>
        <v>-0.64424138572262157</v>
      </c>
      <c r="R65" s="13">
        <f t="shared" si="15"/>
        <v>0.4150469630778037</v>
      </c>
      <c r="T65" s="14">
        <f t="shared" si="16"/>
        <v>-0.2953130648891874</v>
      </c>
      <c r="U65" s="14">
        <f t="shared" si="17"/>
        <v>-1.7423470828462058</v>
      </c>
      <c r="V65" s="14">
        <f t="shared" si="18"/>
        <v>-0.94500180764539976</v>
      </c>
      <c r="W65" s="14">
        <f t="shared" si="19"/>
        <v>-1.4175027114680996</v>
      </c>
      <c r="X65" s="14">
        <f t="shared" si="20"/>
        <v>-0.53156351680053737</v>
      </c>
      <c r="Y65" s="12">
        <f t="shared" si="21"/>
        <v>0</v>
      </c>
    </row>
    <row r="66" spans="1:25" x14ac:dyDescent="0.3">
      <c r="A66" s="23"/>
      <c r="B66" s="12">
        <v>62</v>
      </c>
      <c r="C66" s="12">
        <v>6.1</v>
      </c>
      <c r="D66" s="12">
        <v>2.8</v>
      </c>
      <c r="E66" s="12">
        <v>4</v>
      </c>
      <c r="F66" s="12">
        <v>1.3</v>
      </c>
      <c r="G66" s="12">
        <v>1</v>
      </c>
      <c r="I66" s="13">
        <f>I65-('Konfigurasi Model'!$B$11*T65)</f>
        <v>0.34590543743790975</v>
      </c>
      <c r="J66" s="13">
        <f>J65-('Konfigurasi Model'!$B$11*U65)</f>
        <v>-0.25440049903398843</v>
      </c>
      <c r="K66" s="13">
        <f>K65-('Konfigurasi Model'!$B$11*V65)</f>
        <v>-2.3336047673172156E-2</v>
      </c>
      <c r="L66" s="13">
        <f>L65-('Konfigurasi Model'!$B$11*W65)</f>
        <v>0.38345238501544282</v>
      </c>
      <c r="M66" s="13">
        <f>M65-('Konfigurasi Model'!$B$11*X65)</f>
        <v>0.51741099019401304</v>
      </c>
      <c r="N66" s="13">
        <f t="shared" si="11"/>
        <v>0.93516528715968683</v>
      </c>
      <c r="O66" s="13">
        <f t="shared" si="12"/>
        <v>0.71812203427562527</v>
      </c>
      <c r="P66" s="12">
        <f t="shared" si="13"/>
        <v>1</v>
      </c>
      <c r="Q66" s="13">
        <f t="shared" si="14"/>
        <v>-0.28187796572437473</v>
      </c>
      <c r="R66" s="13">
        <f t="shared" si="15"/>
        <v>7.9455187560911772E-2</v>
      </c>
      <c r="T66" s="14">
        <f t="shared" si="16"/>
        <v>-0.11411704184998664</v>
      </c>
      <c r="U66" s="14">
        <f t="shared" si="17"/>
        <v>-0.69611395528491848</v>
      </c>
      <c r="V66" s="14">
        <f t="shared" si="18"/>
        <v>-0.31952771717996259</v>
      </c>
      <c r="W66" s="14">
        <f t="shared" si="19"/>
        <v>-0.45646816739994656</v>
      </c>
      <c r="X66" s="14">
        <f t="shared" si="20"/>
        <v>-0.14835215440498264</v>
      </c>
      <c r="Y66" s="12">
        <f t="shared" si="21"/>
        <v>1</v>
      </c>
    </row>
    <row r="67" spans="1:25" x14ac:dyDescent="0.3">
      <c r="A67" s="23"/>
      <c r="B67" s="12">
        <v>63</v>
      </c>
      <c r="C67" s="12">
        <v>6.3</v>
      </c>
      <c r="D67" s="12">
        <v>2.5</v>
      </c>
      <c r="E67" s="12">
        <v>4.9000000000000004</v>
      </c>
      <c r="F67" s="12">
        <v>1.5</v>
      </c>
      <c r="G67" s="12">
        <v>1</v>
      </c>
      <c r="I67" s="13">
        <f>I66-('Konfigurasi Model'!$B$11*T66)</f>
        <v>0.3573171416229084</v>
      </c>
      <c r="J67" s="13">
        <f>J66-('Konfigurasi Model'!$B$11*U66)</f>
        <v>-0.18478910350549657</v>
      </c>
      <c r="K67" s="13">
        <f>K66-('Konfigurasi Model'!$B$11*V66)</f>
        <v>8.616724044824102E-3</v>
      </c>
      <c r="L67" s="13">
        <f>L66-('Konfigurasi Model'!$B$11*W66)</f>
        <v>0.42909920175543748</v>
      </c>
      <c r="M67" s="13">
        <f>M66-('Konfigurasi Model'!$B$11*X66)</f>
        <v>0.5322462056345113</v>
      </c>
      <c r="N67" s="13">
        <f t="shared" si="11"/>
        <v>2.1156429967037509</v>
      </c>
      <c r="O67" s="13">
        <f t="shared" si="12"/>
        <v>0.89241432393908315</v>
      </c>
      <c r="P67" s="12">
        <f t="shared" si="13"/>
        <v>1</v>
      </c>
      <c r="Q67" s="13">
        <f t="shared" si="14"/>
        <v>-0.10758567606091685</v>
      </c>
      <c r="R67" s="13">
        <f t="shared" si="15"/>
        <v>1.1574677693484536E-2</v>
      </c>
      <c r="T67" s="14">
        <f t="shared" si="16"/>
        <v>-2.0658816337287576E-2</v>
      </c>
      <c r="U67" s="14">
        <f t="shared" si="17"/>
        <v>-0.13015054292491174</v>
      </c>
      <c r="V67" s="14">
        <f t="shared" si="18"/>
        <v>-5.1647040843218944E-2</v>
      </c>
      <c r="W67" s="14">
        <f t="shared" si="19"/>
        <v>-0.10122820005270913</v>
      </c>
      <c r="X67" s="14">
        <f t="shared" si="20"/>
        <v>-3.0988224505931364E-2</v>
      </c>
      <c r="Y67" s="12">
        <f t="shared" si="21"/>
        <v>1</v>
      </c>
    </row>
    <row r="68" spans="1:25" x14ac:dyDescent="0.3">
      <c r="A68" s="23"/>
      <c r="B68" s="12">
        <v>64</v>
      </c>
      <c r="C68" s="12">
        <v>6.1</v>
      </c>
      <c r="D68" s="12">
        <v>2.8</v>
      </c>
      <c r="E68" s="12">
        <v>4.7</v>
      </c>
      <c r="F68" s="12">
        <v>1.2</v>
      </c>
      <c r="G68" s="12">
        <v>1</v>
      </c>
      <c r="I68" s="13">
        <f>I67-('Konfigurasi Model'!$B$11*T67)</f>
        <v>0.35938302325663718</v>
      </c>
      <c r="J68" s="13">
        <f>J67-('Konfigurasi Model'!$B$11*U67)</f>
        <v>-0.1717740492130054</v>
      </c>
      <c r="K68" s="13">
        <f>K67-('Konfigurasi Model'!$B$11*V67)</f>
        <v>1.3781428129145998E-2</v>
      </c>
      <c r="L68" s="13">
        <f>L67-('Konfigurasi Model'!$B$11*W67)</f>
        <v>0.4392220217607084</v>
      </c>
      <c r="M68" s="13">
        <f>M67-('Konfigurasi Model'!$B$11*X67)</f>
        <v>0.53534502808510442</v>
      </c>
      <c r="N68" s="13">
        <f t="shared" si="11"/>
        <v>2.0569068577963678</v>
      </c>
      <c r="O68" s="13">
        <f t="shared" si="12"/>
        <v>0.88664366007378981</v>
      </c>
      <c r="P68" s="12">
        <f t="shared" si="13"/>
        <v>1</v>
      </c>
      <c r="Q68" s="13">
        <f t="shared" si="14"/>
        <v>-0.11335633992621019</v>
      </c>
      <c r="R68" s="13">
        <f t="shared" si="15"/>
        <v>1.2849659801466516E-2</v>
      </c>
      <c r="T68" s="14">
        <f t="shared" si="16"/>
        <v>-2.2786138794150639E-2</v>
      </c>
      <c r="U68" s="14">
        <f t="shared" si="17"/>
        <v>-0.1389954466443189</v>
      </c>
      <c r="V68" s="14">
        <f t="shared" si="18"/>
        <v>-6.3801188623621788E-2</v>
      </c>
      <c r="W68" s="14">
        <f t="shared" si="19"/>
        <v>-0.10709485233250801</v>
      </c>
      <c r="X68" s="14">
        <f t="shared" si="20"/>
        <v>-2.7343366552980766E-2</v>
      </c>
      <c r="Y68" s="12">
        <f t="shared" si="21"/>
        <v>1</v>
      </c>
    </row>
    <row r="69" spans="1:25" x14ac:dyDescent="0.3">
      <c r="A69" s="23"/>
      <c r="B69" s="12">
        <v>65</v>
      </c>
      <c r="C69" s="12">
        <v>6.4</v>
      </c>
      <c r="D69" s="12">
        <v>2.9</v>
      </c>
      <c r="E69" s="12">
        <v>4.3</v>
      </c>
      <c r="F69" s="12">
        <v>1.3</v>
      </c>
      <c r="G69" s="12">
        <v>1</v>
      </c>
      <c r="I69" s="13">
        <f>I68-('Konfigurasi Model'!$B$11*T68)</f>
        <v>0.36166163713605226</v>
      </c>
      <c r="J69" s="13">
        <f>J68-('Konfigurasi Model'!$B$11*U68)</f>
        <v>-0.15787450454857352</v>
      </c>
      <c r="K69" s="13">
        <f>K68-('Konfigurasi Model'!$B$11*V68)</f>
        <v>2.0161546991508177E-2</v>
      </c>
      <c r="L69" s="13">
        <f>L68-('Konfigurasi Model'!$B$11*W68)</f>
        <v>0.44993150699395923</v>
      </c>
      <c r="M69" s="13">
        <f>M68-('Konfigurasi Model'!$B$11*X68)</f>
        <v>0.53807936474040252</v>
      </c>
      <c r="N69" s="13">
        <f t="shared" ref="N69:N84" si="22">I69+J69*C69+K69*D69+L69*E69+M69*F69</f>
        <v>2.0439419485371033</v>
      </c>
      <c r="O69" s="13">
        <f t="shared" ref="O69:O84" si="23">1/(1+EXP(-N69))</f>
        <v>0.88533405363504547</v>
      </c>
      <c r="P69" s="12">
        <f t="shared" ref="P69:P84" si="24">IF(O69&gt;0.5,1,0)</f>
        <v>1</v>
      </c>
      <c r="Q69" s="13">
        <f t="shared" ref="Q69:Q84" si="25">O69-G69</f>
        <v>-0.11466594636495453</v>
      </c>
      <c r="R69" s="13">
        <f t="shared" ref="R69:R84" si="26">Q69^2</f>
        <v>1.3148279255770629E-2</v>
      </c>
      <c r="T69" s="14">
        <f t="shared" ref="T69:T84" si="27">2*(O69-G69)*(1-O69)*O69</f>
        <v>-2.3281238743673979E-2</v>
      </c>
      <c r="U69" s="14">
        <f t="shared" ref="U69:U84" si="28">2*(O69-G69)*(1-O69)*O69*C69</f>
        <v>-0.14899992795951347</v>
      </c>
      <c r="V69" s="14">
        <f t="shared" ref="V69:V84" si="29">2*(O69-G69)*(1-O69)*O69*D69</f>
        <v>-6.7515592356654539E-2</v>
      </c>
      <c r="W69" s="14">
        <f t="shared" ref="W69:W84" si="30">2*(O69-G69)*(1-O69)*O69*E69</f>
        <v>-0.1001093265977981</v>
      </c>
      <c r="X69" s="14">
        <f t="shared" ref="X69:X84" si="31">2*(O69-G69)*(1-O69)*O69*F69</f>
        <v>-3.0265610366776174E-2</v>
      </c>
      <c r="Y69" s="12">
        <f t="shared" ref="Y69:Y84" si="32">IF(P69=G69,1,0)</f>
        <v>1</v>
      </c>
    </row>
    <row r="70" spans="1:25" x14ac:dyDescent="0.3">
      <c r="A70" s="23"/>
      <c r="B70" s="12">
        <v>66</v>
      </c>
      <c r="C70" s="12">
        <v>6.6</v>
      </c>
      <c r="D70" s="12">
        <v>3</v>
      </c>
      <c r="E70" s="12">
        <v>4.4000000000000004</v>
      </c>
      <c r="F70" s="12">
        <v>1.4</v>
      </c>
      <c r="G70" s="12">
        <v>1</v>
      </c>
      <c r="I70" s="13">
        <f>I69-('Konfigurasi Model'!$B$11*T69)</f>
        <v>0.36398976101041963</v>
      </c>
      <c r="J70" s="13">
        <f>J69-('Konfigurasi Model'!$B$11*U69)</f>
        <v>-0.14297451175262216</v>
      </c>
      <c r="K70" s="13">
        <f>K69-('Konfigurasi Model'!$B$11*V69)</f>
        <v>2.691310622717363E-2</v>
      </c>
      <c r="L70" s="13">
        <f>L69-('Konfigurasi Model'!$B$11*W69)</f>
        <v>0.45994243965373904</v>
      </c>
      <c r="M70" s="13">
        <f>M69-('Konfigurasi Model'!$B$11*X69)</f>
        <v>0.54110592577708017</v>
      </c>
      <c r="N70" s="13">
        <f t="shared" si="22"/>
        <v>2.2823923326889988</v>
      </c>
      <c r="O70" s="13">
        <f t="shared" si="23"/>
        <v>0.90740824314409452</v>
      </c>
      <c r="P70" s="12">
        <f t="shared" si="24"/>
        <v>1</v>
      </c>
      <c r="Q70" s="13">
        <f t="shared" si="25"/>
        <v>-9.2591756855905483E-2</v>
      </c>
      <c r="R70" s="13">
        <f t="shared" si="26"/>
        <v>8.5732334376631206E-3</v>
      </c>
      <c r="T70" s="14">
        <f t="shared" si="27"/>
        <v>-1.5558845383468196E-2</v>
      </c>
      <c r="U70" s="14">
        <f t="shared" si="28"/>
        <v>-0.10268837953089009</v>
      </c>
      <c r="V70" s="14">
        <f t="shared" si="29"/>
        <v>-4.6676536150404589E-2</v>
      </c>
      <c r="W70" s="14">
        <f t="shared" si="30"/>
        <v>-6.8458919687260075E-2</v>
      </c>
      <c r="X70" s="14">
        <f t="shared" si="31"/>
        <v>-2.1782383536855472E-2</v>
      </c>
      <c r="Y70" s="12">
        <f t="shared" si="32"/>
        <v>1</v>
      </c>
    </row>
    <row r="71" spans="1:25" x14ac:dyDescent="0.3">
      <c r="A71" s="23"/>
      <c r="B71" s="12">
        <v>67</v>
      </c>
      <c r="C71" s="12">
        <v>6.8</v>
      </c>
      <c r="D71" s="12">
        <v>2.8</v>
      </c>
      <c r="E71" s="12">
        <v>4.8</v>
      </c>
      <c r="F71" s="12">
        <v>1.4</v>
      </c>
      <c r="G71" s="12">
        <v>1</v>
      </c>
      <c r="I71" s="13">
        <f>I70-('Konfigurasi Model'!$B$11*T70)</f>
        <v>0.36554564554876645</v>
      </c>
      <c r="J71" s="13">
        <f>J70-('Konfigurasi Model'!$B$11*U70)</f>
        <v>-0.13270567379953316</v>
      </c>
      <c r="K71" s="13">
        <f>K70-('Konfigurasi Model'!$B$11*V70)</f>
        <v>3.158075984221409E-2</v>
      </c>
      <c r="L71" s="13">
        <f>L70-('Konfigurasi Model'!$B$11*W70)</f>
        <v>0.46678833162246502</v>
      </c>
      <c r="M71" s="13">
        <f>M70-('Konfigurasi Model'!$B$11*X70)</f>
        <v>0.54328416413076575</v>
      </c>
      <c r="N71" s="13">
        <f t="shared" si="22"/>
        <v>2.5527550128410441</v>
      </c>
      <c r="O71" s="13">
        <f t="shared" si="23"/>
        <v>0.92775838096793084</v>
      </c>
      <c r="P71" s="12">
        <f t="shared" si="24"/>
        <v>1</v>
      </c>
      <c r="Q71" s="13">
        <f t="shared" si="25"/>
        <v>-7.224161903206916E-2</v>
      </c>
      <c r="R71" s="13">
        <f t="shared" si="26"/>
        <v>5.2188515203746167E-3</v>
      </c>
      <c r="T71" s="14">
        <f t="shared" si="27"/>
        <v>-9.6836664741095577E-3</v>
      </c>
      <c r="U71" s="14">
        <f t="shared" si="28"/>
        <v>-6.5848932023944984E-2</v>
      </c>
      <c r="V71" s="14">
        <f t="shared" si="29"/>
        <v>-2.711426612750676E-2</v>
      </c>
      <c r="W71" s="14">
        <f t="shared" si="30"/>
        <v>-4.6481599075725875E-2</v>
      </c>
      <c r="X71" s="14">
        <f t="shared" si="31"/>
        <v>-1.355713306375338E-2</v>
      </c>
      <c r="Y71" s="12">
        <f t="shared" si="32"/>
        <v>1</v>
      </c>
    </row>
    <row r="72" spans="1:25" x14ac:dyDescent="0.3">
      <c r="A72" s="23"/>
      <c r="B72" s="12">
        <v>68</v>
      </c>
      <c r="C72" s="12">
        <v>6.7</v>
      </c>
      <c r="D72" s="12">
        <v>3</v>
      </c>
      <c r="E72" s="12">
        <v>5</v>
      </c>
      <c r="F72" s="12">
        <v>1.7</v>
      </c>
      <c r="G72" s="12">
        <v>1</v>
      </c>
      <c r="I72" s="13">
        <f>I71-('Konfigurasi Model'!$B$11*T71)</f>
        <v>0.36651401219617741</v>
      </c>
      <c r="J72" s="13">
        <f>J71-('Konfigurasi Model'!$B$11*U71)</f>
        <v>-0.12612078059713866</v>
      </c>
      <c r="K72" s="13">
        <f>K71-('Konfigurasi Model'!$B$11*V71)</f>
        <v>3.4292186454964763E-2</v>
      </c>
      <c r="L72" s="13">
        <f>L71-('Konfigurasi Model'!$B$11*W71)</f>
        <v>0.47143649153003764</v>
      </c>
      <c r="M72" s="13">
        <f>M71-('Konfigurasi Model'!$B$11*X71)</f>
        <v>0.54463987743714104</v>
      </c>
      <c r="N72" s="13">
        <f t="shared" si="22"/>
        <v>2.9074515908535705</v>
      </c>
      <c r="O72" s="13">
        <f t="shared" si="23"/>
        <v>0.9482135687721297</v>
      </c>
      <c r="P72" s="12">
        <f t="shared" si="24"/>
        <v>1</v>
      </c>
      <c r="Q72" s="13">
        <f t="shared" si="25"/>
        <v>-5.17864312278703E-2</v>
      </c>
      <c r="R72" s="13">
        <f t="shared" si="26"/>
        <v>2.6818344593189402E-3</v>
      </c>
      <c r="T72" s="14">
        <f t="shared" si="27"/>
        <v>-5.0859036470537744E-3</v>
      </c>
      <c r="U72" s="14">
        <f t="shared" si="28"/>
        <v>-3.4075554435260287E-2</v>
      </c>
      <c r="V72" s="14">
        <f t="shared" si="29"/>
        <v>-1.5257710941161323E-2</v>
      </c>
      <c r="W72" s="14">
        <f t="shared" si="30"/>
        <v>-2.5429518235268872E-2</v>
      </c>
      <c r="X72" s="14">
        <f t="shared" si="31"/>
        <v>-8.6460361999914168E-3</v>
      </c>
      <c r="Y72" s="12">
        <f t="shared" si="32"/>
        <v>1</v>
      </c>
    </row>
    <row r="73" spans="1:25" x14ac:dyDescent="0.3">
      <c r="A73" s="23"/>
      <c r="B73" s="12">
        <v>69</v>
      </c>
      <c r="C73" s="12">
        <v>6</v>
      </c>
      <c r="D73" s="12">
        <v>2.9</v>
      </c>
      <c r="E73" s="12">
        <v>4.5</v>
      </c>
      <c r="F73" s="12">
        <v>1.5</v>
      </c>
      <c r="G73" s="12">
        <v>1</v>
      </c>
      <c r="I73" s="13">
        <f>I72-('Konfigurasi Model'!$B$11*T72)</f>
        <v>0.36702260256088276</v>
      </c>
      <c r="J73" s="13">
        <f>J72-('Konfigurasi Model'!$B$11*U72)</f>
        <v>-0.12271322515361263</v>
      </c>
      <c r="K73" s="13">
        <f>K72-('Konfigurasi Model'!$B$11*V72)</f>
        <v>3.5817957549080896E-2</v>
      </c>
      <c r="L73" s="13">
        <f>L72-('Konfigurasi Model'!$B$11*W72)</f>
        <v>0.47397944335356451</v>
      </c>
      <c r="M73" s="13">
        <f>M72-('Konfigurasi Model'!$B$11*X72)</f>
        <v>0.54550448105714022</v>
      </c>
      <c r="N73" s="13">
        <f t="shared" si="22"/>
        <v>2.6857795452082924</v>
      </c>
      <c r="O73" s="13">
        <f t="shared" si="23"/>
        <v>0.93618229426920296</v>
      </c>
      <c r="P73" s="12">
        <f t="shared" si="24"/>
        <v>1</v>
      </c>
      <c r="Q73" s="13">
        <f t="shared" si="25"/>
        <v>-6.3817705730797036E-2</v>
      </c>
      <c r="R73" s="13">
        <f t="shared" si="26"/>
        <v>4.072699564742605E-3</v>
      </c>
      <c r="T73" s="14">
        <f t="shared" si="27"/>
        <v>-7.6255784447798328E-3</v>
      </c>
      <c r="U73" s="14">
        <f t="shared" si="28"/>
        <v>-4.5753470668678999E-2</v>
      </c>
      <c r="V73" s="14">
        <f t="shared" si="29"/>
        <v>-2.2114177489861515E-2</v>
      </c>
      <c r="W73" s="14">
        <f t="shared" si="30"/>
        <v>-3.4315103001509251E-2</v>
      </c>
      <c r="X73" s="14">
        <f t="shared" si="31"/>
        <v>-1.143836766716975E-2</v>
      </c>
      <c r="Y73" s="12">
        <f t="shared" si="32"/>
        <v>1</v>
      </c>
    </row>
    <row r="74" spans="1:25" x14ac:dyDescent="0.3">
      <c r="A74" s="23"/>
      <c r="B74" s="12">
        <v>70</v>
      </c>
      <c r="C74" s="12">
        <v>5.7</v>
      </c>
      <c r="D74" s="12">
        <v>2.6</v>
      </c>
      <c r="E74" s="12">
        <v>3.5</v>
      </c>
      <c r="F74" s="12">
        <v>1</v>
      </c>
      <c r="G74" s="12">
        <v>1</v>
      </c>
      <c r="I74" s="13">
        <f>I73-('Konfigurasi Model'!$B$11*T73)</f>
        <v>0.36778516040536074</v>
      </c>
      <c r="J74" s="13">
        <f>J73-('Konfigurasi Model'!$B$11*U73)</f>
        <v>-0.11813787808674474</v>
      </c>
      <c r="K74" s="13">
        <f>K73-('Konfigurasi Model'!$B$11*V73)</f>
        <v>3.8029375298067047E-2</v>
      </c>
      <c r="L74" s="13">
        <f>L73-('Konfigurasi Model'!$B$11*W73)</f>
        <v>0.47741095365371544</v>
      </c>
      <c r="M74" s="13">
        <f>M73-('Konfigurasi Model'!$B$11*X73)</f>
        <v>0.54664831782385714</v>
      </c>
      <c r="N74" s="13">
        <f t="shared" si="22"/>
        <v>2.0108622866977512</v>
      </c>
      <c r="O74" s="13">
        <f t="shared" si="23"/>
        <v>0.88193283935618316</v>
      </c>
      <c r="P74" s="12">
        <f t="shared" si="24"/>
        <v>1</v>
      </c>
      <c r="Q74" s="13">
        <f t="shared" si="25"/>
        <v>-0.11806716064381684</v>
      </c>
      <c r="R74" s="13">
        <f t="shared" si="26"/>
        <v>1.3939854422492851E-2</v>
      </c>
      <c r="T74" s="14">
        <f t="shared" si="27"/>
        <v>-2.4588030782081934E-2</v>
      </c>
      <c r="U74" s="14">
        <f t="shared" si="28"/>
        <v>-0.14015177545786703</v>
      </c>
      <c r="V74" s="14">
        <f t="shared" si="29"/>
        <v>-6.392888003341303E-2</v>
      </c>
      <c r="W74" s="14">
        <f t="shared" si="30"/>
        <v>-8.6058107737286768E-2</v>
      </c>
      <c r="X74" s="14">
        <f t="shared" si="31"/>
        <v>-2.4588030782081934E-2</v>
      </c>
      <c r="Y74" s="12">
        <f t="shared" si="32"/>
        <v>1</v>
      </c>
    </row>
    <row r="75" spans="1:25" x14ac:dyDescent="0.3">
      <c r="A75" s="23"/>
      <c r="B75" s="12">
        <v>71</v>
      </c>
      <c r="C75" s="12">
        <v>5.5</v>
      </c>
      <c r="D75" s="12">
        <v>2.4</v>
      </c>
      <c r="E75" s="12">
        <v>3.8</v>
      </c>
      <c r="F75" s="12">
        <v>1.1000000000000001</v>
      </c>
      <c r="G75" s="12">
        <v>1</v>
      </c>
      <c r="I75" s="13">
        <f>I74-('Konfigurasi Model'!$B$11*T74)</f>
        <v>0.37024396348356892</v>
      </c>
      <c r="J75" s="13">
        <f>J74-('Konfigurasi Model'!$B$11*U74)</f>
        <v>-0.10412270054095804</v>
      </c>
      <c r="K75" s="13">
        <f>K74-('Konfigurasi Model'!$B$11*V74)</f>
        <v>4.4422263301408353E-2</v>
      </c>
      <c r="L75" s="13">
        <f>L74-('Konfigurasi Model'!$B$11*W74)</f>
        <v>0.48601676442744413</v>
      </c>
      <c r="M75" s="13">
        <f>M74-('Konfigurasi Model'!$B$11*X74)</f>
        <v>0.54910712090206537</v>
      </c>
      <c r="N75" s="13">
        <f t="shared" si="22"/>
        <v>2.3550640802482392</v>
      </c>
      <c r="O75" s="13">
        <f t="shared" si="23"/>
        <v>0.91333590679480459</v>
      </c>
      <c r="P75" s="12">
        <f t="shared" si="24"/>
        <v>1</v>
      </c>
      <c r="Q75" s="13">
        <f t="shared" si="25"/>
        <v>-8.6664093205195414E-2</v>
      </c>
      <c r="R75" s="13">
        <f t="shared" si="26"/>
        <v>7.510665051078798E-3</v>
      </c>
      <c r="T75" s="14">
        <f t="shared" si="27"/>
        <v>-1.3719520150118203E-2</v>
      </c>
      <c r="U75" s="14">
        <f t="shared" si="28"/>
        <v>-7.5457360825650119E-2</v>
      </c>
      <c r="V75" s="14">
        <f t="shared" si="29"/>
        <v>-3.2926848360283686E-2</v>
      </c>
      <c r="W75" s="14">
        <f t="shared" si="30"/>
        <v>-5.2134176570449171E-2</v>
      </c>
      <c r="X75" s="14">
        <f t="shared" si="31"/>
        <v>-1.5091472165130024E-2</v>
      </c>
      <c r="Y75" s="12">
        <f t="shared" si="32"/>
        <v>1</v>
      </c>
    </row>
    <row r="76" spans="1:25" x14ac:dyDescent="0.3">
      <c r="A76" s="23"/>
      <c r="B76" s="12">
        <v>72</v>
      </c>
      <c r="C76" s="12">
        <v>5.5</v>
      </c>
      <c r="D76" s="12">
        <v>2.4</v>
      </c>
      <c r="E76" s="12">
        <v>3.7</v>
      </c>
      <c r="F76" s="12">
        <v>1</v>
      </c>
      <c r="G76" s="12">
        <v>1</v>
      </c>
      <c r="I76" s="13">
        <f>I75-('Konfigurasi Model'!$B$11*T75)</f>
        <v>0.37161591549858075</v>
      </c>
      <c r="J76" s="13">
        <f>J75-('Konfigurasi Model'!$B$11*U75)</f>
        <v>-9.6576964458393033E-2</v>
      </c>
      <c r="K76" s="13">
        <f>K75-('Konfigurasi Model'!$B$11*V75)</f>
        <v>4.7714948137436722E-2</v>
      </c>
      <c r="L76" s="13">
        <f>L75-('Konfigurasi Model'!$B$11*W75)</f>
        <v>0.49123018208448904</v>
      </c>
      <c r="M76" s="13">
        <f>M75-('Konfigurasi Model'!$B$11*X75)</f>
        <v>0.55061626811857833</v>
      </c>
      <c r="N76" s="13">
        <f t="shared" si="22"/>
        <v>2.3231264283384552</v>
      </c>
      <c r="O76" s="13">
        <f t="shared" si="23"/>
        <v>0.91077433463323754</v>
      </c>
      <c r="P76" s="12">
        <f t="shared" si="24"/>
        <v>1</v>
      </c>
      <c r="Q76" s="13">
        <f t="shared" si="25"/>
        <v>-8.9225665366762463E-2</v>
      </c>
      <c r="R76" s="13">
        <f t="shared" si="26"/>
        <v>7.9612193601414742E-3</v>
      </c>
      <c r="T76" s="14">
        <f t="shared" si="27"/>
        <v>-1.45017485312042E-2</v>
      </c>
      <c r="U76" s="14">
        <f t="shared" si="28"/>
        <v>-7.9759616921623103E-2</v>
      </c>
      <c r="V76" s="14">
        <f t="shared" si="29"/>
        <v>-3.4804196474890081E-2</v>
      </c>
      <c r="W76" s="14">
        <f t="shared" si="30"/>
        <v>-5.3656469565455542E-2</v>
      </c>
      <c r="X76" s="14">
        <f t="shared" si="31"/>
        <v>-1.45017485312042E-2</v>
      </c>
      <c r="Y76" s="12">
        <f t="shared" si="32"/>
        <v>1</v>
      </c>
    </row>
    <row r="77" spans="1:25" x14ac:dyDescent="0.3">
      <c r="A77" s="23"/>
      <c r="B77" s="12">
        <v>73</v>
      </c>
      <c r="C77" s="12">
        <v>5.8</v>
      </c>
      <c r="D77" s="12">
        <v>2.7</v>
      </c>
      <c r="E77" s="12">
        <v>3.9</v>
      </c>
      <c r="F77" s="12">
        <v>1.2</v>
      </c>
      <c r="G77" s="12">
        <v>1</v>
      </c>
      <c r="I77" s="13">
        <f>I76-('Konfigurasi Model'!$B$11*T76)</f>
        <v>0.37306609035170119</v>
      </c>
      <c r="J77" s="13">
        <f>J76-('Konfigurasi Model'!$B$11*U76)</f>
        <v>-8.860100276623073E-2</v>
      </c>
      <c r="K77" s="13">
        <f>K76-('Konfigurasi Model'!$B$11*V76)</f>
        <v>5.1195367784925727E-2</v>
      </c>
      <c r="L77" s="13">
        <f>L76-('Konfigurasi Model'!$B$11*W76)</f>
        <v>0.49659582904103461</v>
      </c>
      <c r="M77" s="13">
        <f>M76-('Konfigurasi Model'!$B$11*X76)</f>
        <v>0.55206644297169871</v>
      </c>
      <c r="N77" s="13">
        <f t="shared" si="22"/>
        <v>2.5966112321529358</v>
      </c>
      <c r="O77" s="13">
        <f t="shared" si="23"/>
        <v>0.93064316562661997</v>
      </c>
      <c r="P77" s="12">
        <f t="shared" si="24"/>
        <v>1</v>
      </c>
      <c r="Q77" s="13">
        <f t="shared" si="25"/>
        <v>-6.9356834373380027E-2</v>
      </c>
      <c r="R77" s="13">
        <f t="shared" si="26"/>
        <v>4.8103704742964697E-3</v>
      </c>
      <c r="T77" s="14">
        <f t="shared" si="27"/>
        <v>-8.9534768120721839E-3</v>
      </c>
      <c r="U77" s="14">
        <f t="shared" si="28"/>
        <v>-5.1930165510018667E-2</v>
      </c>
      <c r="V77" s="14">
        <f t="shared" si="29"/>
        <v>-2.41743873925949E-2</v>
      </c>
      <c r="W77" s="14">
        <f t="shared" si="30"/>
        <v>-3.4918559567081515E-2</v>
      </c>
      <c r="X77" s="14">
        <f t="shared" si="31"/>
        <v>-1.0744172174486621E-2</v>
      </c>
      <c r="Y77" s="12">
        <f t="shared" si="32"/>
        <v>1</v>
      </c>
    </row>
    <row r="78" spans="1:25" x14ac:dyDescent="0.3">
      <c r="A78" s="23"/>
      <c r="B78" s="12">
        <v>74</v>
      </c>
      <c r="C78" s="12">
        <v>6</v>
      </c>
      <c r="D78" s="12">
        <v>2.7</v>
      </c>
      <c r="E78" s="12">
        <v>5.0999999999999996</v>
      </c>
      <c r="F78" s="12">
        <v>1.6</v>
      </c>
      <c r="G78" s="12">
        <v>1</v>
      </c>
      <c r="I78" s="13">
        <f>I77-('Konfigurasi Model'!$B$11*T77)</f>
        <v>0.37396143803290838</v>
      </c>
      <c r="J78" s="13">
        <f>J77-('Konfigurasi Model'!$B$11*U77)</f>
        <v>-8.3407986215228866E-2</v>
      </c>
      <c r="K78" s="13">
        <f>K77-('Konfigurasi Model'!$B$11*V77)</f>
        <v>5.3612806524185215E-2</v>
      </c>
      <c r="L78" s="13">
        <f>L77-('Konfigurasi Model'!$B$11*W77)</f>
        <v>0.50008768499774281</v>
      </c>
      <c r="M78" s="13">
        <f>M77-('Konfigurasi Model'!$B$11*X77)</f>
        <v>0.55314086018914732</v>
      </c>
      <c r="N78" s="13">
        <f t="shared" si="22"/>
        <v>3.453740668147959</v>
      </c>
      <c r="O78" s="13">
        <f t="shared" si="23"/>
        <v>0.96934249976791043</v>
      </c>
      <c r="P78" s="12">
        <f t="shared" si="24"/>
        <v>1</v>
      </c>
      <c r="Q78" s="13">
        <f t="shared" si="25"/>
        <v>-3.0657500232089574E-2</v>
      </c>
      <c r="R78" s="13">
        <f t="shared" si="26"/>
        <v>9.3988232048057227E-4</v>
      </c>
      <c r="T78" s="14">
        <f t="shared" si="27"/>
        <v>-1.8221357560446044E-3</v>
      </c>
      <c r="U78" s="14">
        <f t="shared" si="28"/>
        <v>-1.0932814536267627E-2</v>
      </c>
      <c r="V78" s="14">
        <f t="shared" si="29"/>
        <v>-4.919766541320432E-3</v>
      </c>
      <c r="W78" s="14">
        <f t="shared" si="30"/>
        <v>-9.2928923558274826E-3</v>
      </c>
      <c r="X78" s="14">
        <f t="shared" si="31"/>
        <v>-2.9154172096713671E-3</v>
      </c>
      <c r="Y78" s="12">
        <f t="shared" si="32"/>
        <v>1</v>
      </c>
    </row>
    <row r="79" spans="1:25" x14ac:dyDescent="0.3">
      <c r="A79" s="23"/>
      <c r="B79" s="12">
        <v>75</v>
      </c>
      <c r="C79" s="12">
        <v>5.4</v>
      </c>
      <c r="D79" s="12">
        <v>3</v>
      </c>
      <c r="E79" s="12">
        <v>4.5</v>
      </c>
      <c r="F79" s="12">
        <v>1.5</v>
      </c>
      <c r="G79" s="12">
        <v>1</v>
      </c>
      <c r="I79" s="13">
        <f>I78-('Konfigurasi Model'!$B$11*T78)</f>
        <v>0.37414365160851282</v>
      </c>
      <c r="J79" s="13">
        <f>J78-('Konfigurasi Model'!$B$11*U78)</f>
        <v>-8.2314704761602103E-2</v>
      </c>
      <c r="K79" s="13">
        <f>K78-('Konfigurasi Model'!$B$11*V78)</f>
        <v>5.410478317831726E-2</v>
      </c>
      <c r="L79" s="13">
        <f>L78-('Konfigurasi Model'!$B$11*W78)</f>
        <v>0.50101697423332558</v>
      </c>
      <c r="M79" s="13">
        <f>M78-('Konfigurasi Model'!$B$11*X78)</f>
        <v>0.55343240191011445</v>
      </c>
      <c r="N79" s="13">
        <f t="shared" si="22"/>
        <v>3.1766835823459498</v>
      </c>
      <c r="O79" s="13">
        <f t="shared" si="23"/>
        <v>0.9599473492984828</v>
      </c>
      <c r="P79" s="12">
        <f t="shared" si="24"/>
        <v>1</v>
      </c>
      <c r="Q79" s="13">
        <f t="shared" si="25"/>
        <v>-4.0052650701517201E-2</v>
      </c>
      <c r="R79" s="13">
        <f t="shared" si="26"/>
        <v>1.6042148282177464E-3</v>
      </c>
      <c r="T79" s="14">
        <f t="shared" si="27"/>
        <v>-3.0799235441058932E-3</v>
      </c>
      <c r="U79" s="14">
        <f t="shared" si="28"/>
        <v>-1.6631587138171824E-2</v>
      </c>
      <c r="V79" s="14">
        <f t="shared" si="29"/>
        <v>-9.2397706323176787E-3</v>
      </c>
      <c r="W79" s="14">
        <f t="shared" si="30"/>
        <v>-1.385965594847652E-2</v>
      </c>
      <c r="X79" s="14">
        <f t="shared" si="31"/>
        <v>-4.6198853161588394E-3</v>
      </c>
      <c r="Y79" s="12">
        <f t="shared" si="32"/>
        <v>1</v>
      </c>
    </row>
    <row r="80" spans="1:25" x14ac:dyDescent="0.3">
      <c r="A80" s="23"/>
      <c r="B80" s="12">
        <v>76</v>
      </c>
      <c r="C80" s="12">
        <v>6</v>
      </c>
      <c r="D80" s="12">
        <v>3.4</v>
      </c>
      <c r="E80" s="12">
        <v>4.5</v>
      </c>
      <c r="F80" s="12">
        <v>1.6</v>
      </c>
      <c r="G80" s="12">
        <v>1</v>
      </c>
      <c r="I80" s="13">
        <f>I79-('Konfigurasi Model'!$B$11*T79)</f>
        <v>0.37445164396292341</v>
      </c>
      <c r="J80" s="13">
        <f>J79-('Konfigurasi Model'!$B$11*U79)</f>
        <v>-8.0651546047784919E-2</v>
      </c>
      <c r="K80" s="13">
        <f>K79-('Konfigurasi Model'!$B$11*V79)</f>
        <v>5.5028760241549027E-2</v>
      </c>
      <c r="L80" s="13">
        <f>L79-('Konfigurasi Model'!$B$11*W79)</f>
        <v>0.50240293982817319</v>
      </c>
      <c r="M80" s="13">
        <f>M79-('Konfigurasi Model'!$B$11*X79)</f>
        <v>0.55389439044173028</v>
      </c>
      <c r="N80" s="13">
        <f t="shared" si="22"/>
        <v>3.2246844064310287</v>
      </c>
      <c r="O80" s="13">
        <f t="shared" si="23"/>
        <v>0.96175270099192833</v>
      </c>
      <c r="P80" s="12">
        <f t="shared" si="24"/>
        <v>1</v>
      </c>
      <c r="Q80" s="13">
        <f t="shared" si="25"/>
        <v>-3.8247299008071667E-2</v>
      </c>
      <c r="R80" s="13">
        <f t="shared" si="26"/>
        <v>1.46285588141284E-3</v>
      </c>
      <c r="T80" s="14">
        <f t="shared" si="27"/>
        <v>-2.8138111902214539E-3</v>
      </c>
      <c r="U80" s="14">
        <f t="shared" si="28"/>
        <v>-1.6882867141328722E-2</v>
      </c>
      <c r="V80" s="14">
        <f t="shared" si="29"/>
        <v>-9.5669580467529422E-3</v>
      </c>
      <c r="W80" s="14">
        <f t="shared" si="30"/>
        <v>-1.2662150355996542E-2</v>
      </c>
      <c r="X80" s="14">
        <f t="shared" si="31"/>
        <v>-4.5020979043543267E-3</v>
      </c>
      <c r="Y80" s="12">
        <f t="shared" si="32"/>
        <v>1</v>
      </c>
    </row>
    <row r="81" spans="1:25" x14ac:dyDescent="0.3">
      <c r="A81" s="23"/>
      <c r="B81" s="12">
        <v>77</v>
      </c>
      <c r="C81" s="12">
        <v>6.7</v>
      </c>
      <c r="D81" s="12">
        <v>3.1</v>
      </c>
      <c r="E81" s="12">
        <v>4.7</v>
      </c>
      <c r="F81" s="12">
        <v>1.5</v>
      </c>
      <c r="G81" s="12">
        <v>1</v>
      </c>
      <c r="I81" s="13">
        <f>I80-('Konfigurasi Model'!$B$11*T80)</f>
        <v>0.37473302508194556</v>
      </c>
      <c r="J81" s="13">
        <f>J80-('Konfigurasi Model'!$B$11*U80)</f>
        <v>-7.8963259333652044E-2</v>
      </c>
      <c r="K81" s="13">
        <f>K80-('Konfigurasi Model'!$B$11*V80)</f>
        <v>5.5985456046224319E-2</v>
      </c>
      <c r="L81" s="13">
        <f>L80-('Konfigurasi Model'!$B$11*W80)</f>
        <v>0.50366915486377284</v>
      </c>
      <c r="M81" s="13">
        <f>M80-('Konfigurasi Model'!$B$11*X80)</f>
        <v>0.5543446002321657</v>
      </c>
      <c r="N81" s="13">
        <f t="shared" si="22"/>
        <v>3.217996029497753</v>
      </c>
      <c r="O81" s="13">
        <f t="shared" si="23"/>
        <v>0.9615059115122796</v>
      </c>
      <c r="P81" s="12">
        <f t="shared" si="24"/>
        <v>1</v>
      </c>
      <c r="Q81" s="13">
        <f t="shared" si="25"/>
        <v>-3.8494088487720401E-2</v>
      </c>
      <c r="R81" s="13">
        <f t="shared" si="26"/>
        <v>1.4817948485004483E-3</v>
      </c>
      <c r="T81" s="14">
        <f t="shared" si="27"/>
        <v>-2.8495090129632477E-3</v>
      </c>
      <c r="U81" s="14">
        <f t="shared" si="28"/>
        <v>-1.9091710386853759E-2</v>
      </c>
      <c r="V81" s="14">
        <f t="shared" si="29"/>
        <v>-8.8334779401860689E-3</v>
      </c>
      <c r="W81" s="14">
        <f t="shared" si="30"/>
        <v>-1.3392692360927265E-2</v>
      </c>
      <c r="X81" s="14">
        <f t="shared" si="31"/>
        <v>-4.2742635194448712E-3</v>
      </c>
      <c r="Y81" s="12">
        <f t="shared" si="32"/>
        <v>1</v>
      </c>
    </row>
    <row r="82" spans="1:25" x14ac:dyDescent="0.3">
      <c r="A82" s="23"/>
      <c r="B82" s="12">
        <v>78</v>
      </c>
      <c r="C82" s="12">
        <v>6.3</v>
      </c>
      <c r="D82" s="12">
        <v>2.2999999999999998</v>
      </c>
      <c r="E82" s="12">
        <v>4.4000000000000004</v>
      </c>
      <c r="F82" s="12">
        <v>1.3</v>
      </c>
      <c r="G82" s="12">
        <v>1</v>
      </c>
      <c r="I82" s="13">
        <f>I81-('Konfigurasi Model'!$B$11*T81)</f>
        <v>0.37501797598324188</v>
      </c>
      <c r="J82" s="13">
        <f>J81-('Konfigurasi Model'!$B$11*U81)</f>
        <v>-7.7054088294966669E-2</v>
      </c>
      <c r="K82" s="13">
        <f>K81-('Konfigurasi Model'!$B$11*V81)</f>
        <v>5.6868803840242926E-2</v>
      </c>
      <c r="L82" s="13">
        <f>L81-('Konfigurasi Model'!$B$11*W81)</f>
        <v>0.50500842409986557</v>
      </c>
      <c r="M82" s="13">
        <f>M81-('Konfigurasi Model'!$B$11*X81)</f>
        <v>0.55477202658411018</v>
      </c>
      <c r="N82" s="13">
        <f t="shared" si="22"/>
        <v>2.9636161691562628</v>
      </c>
      <c r="O82" s="13">
        <f t="shared" si="23"/>
        <v>0.95090309537327733</v>
      </c>
      <c r="P82" s="12">
        <f t="shared" si="24"/>
        <v>1</v>
      </c>
      <c r="Q82" s="13">
        <f t="shared" si="25"/>
        <v>-4.9096904626722671E-2</v>
      </c>
      <c r="R82" s="13">
        <f t="shared" si="26"/>
        <v>2.4105060439255019E-3</v>
      </c>
      <c r="T82" s="14">
        <f t="shared" si="27"/>
        <v>-4.5843153171695062E-3</v>
      </c>
      <c r="U82" s="14">
        <f t="shared" si="28"/>
        <v>-2.8881186498167889E-2</v>
      </c>
      <c r="V82" s="14">
        <f t="shared" si="29"/>
        <v>-1.0543925229489864E-2</v>
      </c>
      <c r="W82" s="14">
        <f t="shared" si="30"/>
        <v>-2.017098739554583E-2</v>
      </c>
      <c r="X82" s="14">
        <f t="shared" si="31"/>
        <v>-5.9596099123203584E-3</v>
      </c>
      <c r="Y82" s="12">
        <f t="shared" si="32"/>
        <v>1</v>
      </c>
    </row>
    <row r="83" spans="1:25" x14ac:dyDescent="0.3">
      <c r="A83" s="23"/>
      <c r="B83" s="12">
        <v>79</v>
      </c>
      <c r="C83" s="12">
        <v>5.6</v>
      </c>
      <c r="D83" s="12">
        <v>3</v>
      </c>
      <c r="E83" s="12">
        <v>4.0999999999999996</v>
      </c>
      <c r="F83" s="12">
        <v>1.3</v>
      </c>
      <c r="G83" s="12">
        <v>1</v>
      </c>
      <c r="I83" s="13">
        <f>I82-('Konfigurasi Model'!$B$11*T82)</f>
        <v>0.37547640751495881</v>
      </c>
      <c r="J83" s="13">
        <f>J82-('Konfigurasi Model'!$B$11*U82)</f>
        <v>-7.4165969645149876E-2</v>
      </c>
      <c r="K83" s="13">
        <f>K82-('Konfigurasi Model'!$B$11*V82)</f>
        <v>5.792319636319191E-2</v>
      </c>
      <c r="L83" s="13">
        <f>L82-('Konfigurasi Model'!$B$11*W82)</f>
        <v>0.50702552283942015</v>
      </c>
      <c r="M83" s="13">
        <f>M82-('Konfigurasi Model'!$B$11*X82)</f>
        <v>0.55536798757534223</v>
      </c>
      <c r="N83" s="13">
        <f t="shared" si="22"/>
        <v>2.934699594081263</v>
      </c>
      <c r="O83" s="13">
        <f t="shared" si="23"/>
        <v>0.94953534643335757</v>
      </c>
      <c r="P83" s="12">
        <f t="shared" si="24"/>
        <v>1</v>
      </c>
      <c r="Q83" s="13">
        <f t="shared" si="25"/>
        <v>-5.0464653566642426E-2</v>
      </c>
      <c r="R83" s="13">
        <f t="shared" si="26"/>
        <v>2.5466812596012362E-3</v>
      </c>
      <c r="T83" s="14">
        <f t="shared" si="27"/>
        <v>-4.8363277441815988E-3</v>
      </c>
      <c r="U83" s="14">
        <f t="shared" si="28"/>
        <v>-2.708343536741695E-2</v>
      </c>
      <c r="V83" s="14">
        <f t="shared" si="29"/>
        <v>-1.4508983232544796E-2</v>
      </c>
      <c r="W83" s="14">
        <f t="shared" si="30"/>
        <v>-1.9828943751144554E-2</v>
      </c>
      <c r="X83" s="14">
        <f t="shared" si="31"/>
        <v>-6.2872260674360783E-3</v>
      </c>
      <c r="Y83" s="12">
        <f t="shared" si="32"/>
        <v>1</v>
      </c>
    </row>
    <row r="84" spans="1:25" x14ac:dyDescent="0.3">
      <c r="A84" s="23"/>
      <c r="B84" s="12">
        <v>80</v>
      </c>
      <c r="C84" s="12">
        <v>5.5</v>
      </c>
      <c r="D84" s="12">
        <v>2.5</v>
      </c>
      <c r="E84" s="12">
        <v>4</v>
      </c>
      <c r="F84" s="12">
        <v>1.3</v>
      </c>
      <c r="G84" s="12">
        <v>1</v>
      </c>
      <c r="I84" s="13">
        <f>I83-('Konfigurasi Model'!$B$11*T83)</f>
        <v>0.37596004028937696</v>
      </c>
      <c r="J84" s="13">
        <f>J83-('Konfigurasi Model'!$B$11*U83)</f>
        <v>-7.1457626108408182E-2</v>
      </c>
      <c r="K84" s="13">
        <f>K83-('Konfigurasi Model'!$B$11*V83)</f>
        <v>5.9374094686446388E-2</v>
      </c>
      <c r="L84" s="13">
        <f>L83-('Konfigurasi Model'!$B$11*W83)</f>
        <v>0.5090084172145346</v>
      </c>
      <c r="M84" s="13">
        <f>M83-('Konfigurasi Model'!$B$11*X83)</f>
        <v>0.55599671018208585</v>
      </c>
      <c r="N84" s="13">
        <f t="shared" si="22"/>
        <v>2.8902077255040979</v>
      </c>
      <c r="O84" s="13">
        <f t="shared" si="23"/>
        <v>0.94736024155197884</v>
      </c>
      <c r="P84" s="12">
        <f t="shared" si="24"/>
        <v>1</v>
      </c>
      <c r="Q84" s="13">
        <f t="shared" si="25"/>
        <v>-5.2639758448021157E-2</v>
      </c>
      <c r="R84" s="13">
        <f t="shared" si="26"/>
        <v>2.7709441694660146E-3</v>
      </c>
      <c r="T84" s="14">
        <f t="shared" si="27"/>
        <v>-5.2501646754247421E-3</v>
      </c>
      <c r="U84" s="14">
        <f t="shared" si="28"/>
        <v>-2.887590571483608E-2</v>
      </c>
      <c r="V84" s="14">
        <f t="shared" si="29"/>
        <v>-1.3125411688561855E-2</v>
      </c>
      <c r="W84" s="14">
        <f t="shared" si="30"/>
        <v>-2.1000658701698968E-2</v>
      </c>
      <c r="X84" s="14">
        <f t="shared" si="31"/>
        <v>-6.825214078052165E-3</v>
      </c>
      <c r="Y84" s="12">
        <f t="shared" si="32"/>
        <v>1</v>
      </c>
    </row>
    <row r="85" spans="1:25" x14ac:dyDescent="0.3">
      <c r="Q85" s="15" t="s">
        <v>74</v>
      </c>
      <c r="R85" s="16">
        <f>AVERAGE(R5:R84)</f>
        <v>0.44715463431711733</v>
      </c>
      <c r="X85" s="15" t="s">
        <v>75</v>
      </c>
      <c r="Y85" s="17">
        <f>AVERAGE(Y5:Y84)</f>
        <v>0.52500000000000002</v>
      </c>
    </row>
    <row r="87" spans="1:25" ht="15.6" x14ac:dyDescent="0.3">
      <c r="A87" s="1" t="s">
        <v>76</v>
      </c>
    </row>
    <row r="88" spans="1:25" x14ac:dyDescent="0.3">
      <c r="G88" s="9" t="s">
        <v>48</v>
      </c>
      <c r="I88" s="25" t="s">
        <v>16</v>
      </c>
      <c r="J88" s="25"/>
      <c r="K88" s="26">
        <f>'Konfigurasi Model'!$B$11</f>
        <v>0.1</v>
      </c>
      <c r="L88" s="26"/>
      <c r="M88" s="26"/>
    </row>
    <row r="89" spans="1:25" ht="15" customHeight="1" x14ac:dyDescent="0.3">
      <c r="G89" s="9" t="s">
        <v>49</v>
      </c>
      <c r="I89" s="24" t="s">
        <v>50</v>
      </c>
      <c r="J89" s="24"/>
      <c r="K89" s="24"/>
      <c r="L89" s="24"/>
      <c r="M89" s="24"/>
      <c r="N89" s="10" t="s">
        <v>51</v>
      </c>
      <c r="O89" s="10" t="s">
        <v>17</v>
      </c>
      <c r="P89" s="24" t="s">
        <v>52</v>
      </c>
      <c r="Q89" s="24" t="s">
        <v>20</v>
      </c>
      <c r="R89" s="24" t="s">
        <v>23</v>
      </c>
    </row>
    <row r="90" spans="1:25" x14ac:dyDescent="0.3">
      <c r="A90" s="10" t="s">
        <v>53</v>
      </c>
      <c r="B90" s="10" t="s">
        <v>54</v>
      </c>
      <c r="C90" s="10" t="s">
        <v>55</v>
      </c>
      <c r="D90" s="10" t="s">
        <v>56</v>
      </c>
      <c r="E90" s="10" t="s">
        <v>57</v>
      </c>
      <c r="F90" s="10" t="s">
        <v>58</v>
      </c>
      <c r="G90" s="10" t="s">
        <v>59</v>
      </c>
      <c r="I90" s="10" t="s">
        <v>60</v>
      </c>
      <c r="J90" s="10" t="s">
        <v>61</v>
      </c>
      <c r="K90" s="10" t="s">
        <v>62</v>
      </c>
      <c r="L90" s="10" t="s">
        <v>63</v>
      </c>
      <c r="M90" s="10" t="s">
        <v>64</v>
      </c>
      <c r="N90" s="10" t="s">
        <v>65</v>
      </c>
      <c r="O90" s="10" t="s">
        <v>66</v>
      </c>
      <c r="P90" s="24"/>
      <c r="Q90" s="24"/>
      <c r="R90" s="24"/>
      <c r="T90" s="10" t="s">
        <v>72</v>
      </c>
    </row>
    <row r="91" spans="1:25" x14ac:dyDescent="0.3">
      <c r="A91" s="23" t="s">
        <v>77</v>
      </c>
      <c r="B91" s="12">
        <v>1</v>
      </c>
      <c r="C91" s="12">
        <v>5</v>
      </c>
      <c r="D91" s="12">
        <v>3.5</v>
      </c>
      <c r="E91" s="12">
        <v>1.3</v>
      </c>
      <c r="F91" s="12">
        <v>0.3</v>
      </c>
      <c r="G91" s="12">
        <v>0</v>
      </c>
      <c r="I91" s="13">
        <f>I84</f>
        <v>0.37596004028937696</v>
      </c>
      <c r="J91" s="13">
        <f>J84</f>
        <v>-7.1457626108408182E-2</v>
      </c>
      <c r="K91" s="13">
        <f>K84</f>
        <v>5.9374094686446388E-2</v>
      </c>
      <c r="L91" s="13">
        <f>L84</f>
        <v>0.5090084172145346</v>
      </c>
      <c r="M91" s="13">
        <f>M84</f>
        <v>0.55599671018208585</v>
      </c>
      <c r="N91" s="13">
        <f t="shared" ref="N91:N110" si="33">I91+J91*C91+K91*D91+L91*E91+M91*F91</f>
        <v>1.0549911965834191</v>
      </c>
      <c r="O91" s="13">
        <f t="shared" ref="O91:O110" si="34">1/(1+EXP(-N91))</f>
        <v>0.74173219350371056</v>
      </c>
      <c r="P91" s="12">
        <f t="shared" ref="P91:P110" si="35">IF(O91&gt;0.5,1,0)</f>
        <v>1</v>
      </c>
      <c r="Q91" s="13">
        <f t="shared" ref="Q91:Q110" si="36">O91-G91</f>
        <v>0.74173219350371056</v>
      </c>
      <c r="R91" s="13">
        <f t="shared" ref="R91:R110" si="37">Q91^2</f>
        <v>0.55016664687982597</v>
      </c>
      <c r="T91" s="12">
        <f t="shared" ref="T91:T110" si="38">IF(P91=G91,1,0)</f>
        <v>0</v>
      </c>
    </row>
    <row r="92" spans="1:25" x14ac:dyDescent="0.3">
      <c r="A92" s="23"/>
      <c r="B92" s="12">
        <v>2</v>
      </c>
      <c r="C92" s="12">
        <v>4.5</v>
      </c>
      <c r="D92" s="12">
        <v>2.2999999999999998</v>
      </c>
      <c r="E92" s="12">
        <v>1.3</v>
      </c>
      <c r="F92" s="12">
        <v>0.3</v>
      </c>
      <c r="G92" s="12">
        <v>0</v>
      </c>
      <c r="I92" s="13">
        <f t="shared" ref="I92:I110" si="39">I91</f>
        <v>0.37596004028937696</v>
      </c>
      <c r="J92" s="13">
        <f t="shared" ref="J92:J110" si="40">J91</f>
        <v>-7.1457626108408182E-2</v>
      </c>
      <c r="K92" s="13">
        <f t="shared" ref="K92:K110" si="41">K91</f>
        <v>5.9374094686446388E-2</v>
      </c>
      <c r="L92" s="13">
        <f t="shared" ref="L92:L110" si="42">L91</f>
        <v>0.5090084172145346</v>
      </c>
      <c r="M92" s="13">
        <f t="shared" ref="M92:M110" si="43">M91</f>
        <v>0.55599671018208585</v>
      </c>
      <c r="N92" s="13">
        <f t="shared" si="33"/>
        <v>1.0194710960138877</v>
      </c>
      <c r="O92" s="13">
        <f t="shared" si="34"/>
        <v>0.73486956257885205</v>
      </c>
      <c r="P92" s="12">
        <f t="shared" si="35"/>
        <v>1</v>
      </c>
      <c r="Q92" s="13">
        <f t="shared" si="36"/>
        <v>0.73486956257885205</v>
      </c>
      <c r="R92" s="13">
        <f t="shared" si="37"/>
        <v>0.54003327400483336</v>
      </c>
      <c r="T92" s="12">
        <f t="shared" si="38"/>
        <v>0</v>
      </c>
    </row>
    <row r="93" spans="1:25" x14ac:dyDescent="0.3">
      <c r="A93" s="23"/>
      <c r="B93" s="12">
        <v>3</v>
      </c>
      <c r="C93" s="12">
        <v>4.4000000000000004</v>
      </c>
      <c r="D93" s="12">
        <v>3.2</v>
      </c>
      <c r="E93" s="12">
        <v>1.3</v>
      </c>
      <c r="F93" s="12">
        <v>0.2</v>
      </c>
      <c r="G93" s="12">
        <v>0</v>
      </c>
      <c r="I93" s="13">
        <f t="shared" si="39"/>
        <v>0.37596004028937696</v>
      </c>
      <c r="J93" s="13">
        <f t="shared" si="40"/>
        <v>-7.1457626108408182E-2</v>
      </c>
      <c r="K93" s="13">
        <f t="shared" si="41"/>
        <v>5.9374094686446388E-2</v>
      </c>
      <c r="L93" s="13">
        <f t="shared" si="42"/>
        <v>0.5090084172145346</v>
      </c>
      <c r="M93" s="13">
        <f t="shared" si="43"/>
        <v>0.55599671018208585</v>
      </c>
      <c r="N93" s="13">
        <f t="shared" si="33"/>
        <v>1.0244538728243215</v>
      </c>
      <c r="O93" s="13">
        <f t="shared" si="34"/>
        <v>0.73583925148364293</v>
      </c>
      <c r="P93" s="12">
        <f t="shared" si="35"/>
        <v>1</v>
      </c>
      <c r="Q93" s="13">
        <f t="shared" si="36"/>
        <v>0.73583925148364293</v>
      </c>
      <c r="R93" s="13">
        <f t="shared" si="37"/>
        <v>0.54145940402400794</v>
      </c>
      <c r="T93" s="12">
        <f t="shared" si="38"/>
        <v>0</v>
      </c>
    </row>
    <row r="94" spans="1:25" x14ac:dyDescent="0.3">
      <c r="A94" s="23"/>
      <c r="B94" s="12">
        <v>4</v>
      </c>
      <c r="C94" s="12">
        <v>5</v>
      </c>
      <c r="D94" s="12">
        <v>3.5</v>
      </c>
      <c r="E94" s="12">
        <v>1.6</v>
      </c>
      <c r="F94" s="12">
        <v>0.6</v>
      </c>
      <c r="G94" s="12">
        <v>0</v>
      </c>
      <c r="I94" s="13">
        <f t="shared" si="39"/>
        <v>0.37596004028937696</v>
      </c>
      <c r="J94" s="13">
        <f t="shared" si="40"/>
        <v>-7.1457626108408182E-2</v>
      </c>
      <c r="K94" s="13">
        <f t="shared" si="41"/>
        <v>5.9374094686446388E-2</v>
      </c>
      <c r="L94" s="13">
        <f t="shared" si="42"/>
        <v>0.5090084172145346</v>
      </c>
      <c r="M94" s="13">
        <f t="shared" si="43"/>
        <v>0.55599671018208585</v>
      </c>
      <c r="N94" s="13">
        <f t="shared" si="33"/>
        <v>1.3744927348024052</v>
      </c>
      <c r="O94" s="13">
        <f t="shared" si="34"/>
        <v>0.79810505274509902</v>
      </c>
      <c r="P94" s="12">
        <f t="shared" si="35"/>
        <v>1</v>
      </c>
      <c r="Q94" s="13">
        <f t="shared" si="36"/>
        <v>0.79810505274509902</v>
      </c>
      <c r="R94" s="13">
        <f t="shared" si="37"/>
        <v>0.63697167521725728</v>
      </c>
      <c r="T94" s="12">
        <f t="shared" si="38"/>
        <v>0</v>
      </c>
    </row>
    <row r="95" spans="1:25" x14ac:dyDescent="0.3">
      <c r="A95" s="23"/>
      <c r="B95" s="12">
        <v>5</v>
      </c>
      <c r="C95" s="12">
        <v>5.0999999999999996</v>
      </c>
      <c r="D95" s="12">
        <v>3.8</v>
      </c>
      <c r="E95" s="12">
        <v>1.9</v>
      </c>
      <c r="F95" s="12">
        <v>0.4</v>
      </c>
      <c r="G95" s="12">
        <v>0</v>
      </c>
      <c r="I95" s="13">
        <f t="shared" si="39"/>
        <v>0.37596004028937696</v>
      </c>
      <c r="J95" s="13">
        <f t="shared" si="40"/>
        <v>-7.1457626108408182E-2</v>
      </c>
      <c r="K95" s="13">
        <f t="shared" si="41"/>
        <v>5.9374094686446388E-2</v>
      </c>
      <c r="L95" s="13">
        <f t="shared" si="42"/>
        <v>0.5090084172145346</v>
      </c>
      <c r="M95" s="13">
        <f t="shared" si="43"/>
        <v>0.55599671018208585</v>
      </c>
      <c r="N95" s="13">
        <f t="shared" si="33"/>
        <v>1.4266623837254415</v>
      </c>
      <c r="O95" s="13">
        <f t="shared" si="34"/>
        <v>0.80638074374519375</v>
      </c>
      <c r="P95" s="12">
        <f t="shared" si="35"/>
        <v>1</v>
      </c>
      <c r="Q95" s="13">
        <f t="shared" si="36"/>
        <v>0.80638074374519375</v>
      </c>
      <c r="R95" s="13">
        <f t="shared" si="37"/>
        <v>0.65024990388305182</v>
      </c>
      <c r="T95" s="12">
        <f t="shared" si="38"/>
        <v>0</v>
      </c>
    </row>
    <row r="96" spans="1:25" x14ac:dyDescent="0.3">
      <c r="A96" s="23"/>
      <c r="B96" s="12">
        <v>6</v>
      </c>
      <c r="C96" s="12">
        <v>4.8</v>
      </c>
      <c r="D96" s="12">
        <v>3</v>
      </c>
      <c r="E96" s="12">
        <v>1.4</v>
      </c>
      <c r="F96" s="12">
        <v>0.3</v>
      </c>
      <c r="G96" s="12">
        <v>0</v>
      </c>
      <c r="I96" s="13">
        <f t="shared" si="39"/>
        <v>0.37596004028937696</v>
      </c>
      <c r="J96" s="13">
        <f t="shared" si="40"/>
        <v>-7.1457626108408182E-2</v>
      </c>
      <c r="K96" s="13">
        <f t="shared" si="41"/>
        <v>5.9374094686446388E-2</v>
      </c>
      <c r="L96" s="13">
        <f t="shared" si="42"/>
        <v>0.5090084172145346</v>
      </c>
      <c r="M96" s="13">
        <f t="shared" si="43"/>
        <v>0.55599671018208585</v>
      </c>
      <c r="N96" s="13">
        <f t="shared" si="33"/>
        <v>1.0904965161833311</v>
      </c>
      <c r="O96" s="13">
        <f t="shared" si="34"/>
        <v>0.74847520731075956</v>
      </c>
      <c r="P96" s="12">
        <f t="shared" si="35"/>
        <v>1</v>
      </c>
      <c r="Q96" s="13">
        <f t="shared" si="36"/>
        <v>0.74847520731075956</v>
      </c>
      <c r="R96" s="13">
        <f t="shared" si="37"/>
        <v>0.5602151359588845</v>
      </c>
      <c r="T96" s="12">
        <f t="shared" si="38"/>
        <v>0</v>
      </c>
    </row>
    <row r="97" spans="1:20" x14ac:dyDescent="0.3">
      <c r="A97" s="23"/>
      <c r="B97" s="12">
        <v>7</v>
      </c>
      <c r="C97" s="12">
        <v>5.0999999999999996</v>
      </c>
      <c r="D97" s="12">
        <v>3.8</v>
      </c>
      <c r="E97" s="12">
        <v>1.6</v>
      </c>
      <c r="F97" s="12">
        <v>0.2</v>
      </c>
      <c r="G97" s="12">
        <v>0</v>
      </c>
      <c r="I97" s="13">
        <f t="shared" si="39"/>
        <v>0.37596004028937696</v>
      </c>
      <c r="J97" s="13">
        <f t="shared" si="40"/>
        <v>-7.1457626108408182E-2</v>
      </c>
      <c r="K97" s="13">
        <f t="shared" si="41"/>
        <v>5.9374094686446388E-2</v>
      </c>
      <c r="L97" s="13">
        <f t="shared" si="42"/>
        <v>0.5090084172145346</v>
      </c>
      <c r="M97" s="13">
        <f t="shared" si="43"/>
        <v>0.55599671018208585</v>
      </c>
      <c r="N97" s="13">
        <f t="shared" si="33"/>
        <v>1.1627605165246642</v>
      </c>
      <c r="O97" s="13">
        <f t="shared" si="34"/>
        <v>0.7618339531653896</v>
      </c>
      <c r="P97" s="12">
        <f t="shared" si="35"/>
        <v>1</v>
      </c>
      <c r="Q97" s="13">
        <f t="shared" si="36"/>
        <v>0.7618339531653896</v>
      </c>
      <c r="R97" s="13">
        <f t="shared" si="37"/>
        <v>0.58039097219560498</v>
      </c>
      <c r="T97" s="12">
        <f t="shared" si="38"/>
        <v>0</v>
      </c>
    </row>
    <row r="98" spans="1:20" x14ac:dyDescent="0.3">
      <c r="A98" s="23"/>
      <c r="B98" s="12">
        <v>8</v>
      </c>
      <c r="C98" s="12">
        <v>4.5999999999999996</v>
      </c>
      <c r="D98" s="12">
        <v>3.2</v>
      </c>
      <c r="E98" s="12">
        <v>1.4</v>
      </c>
      <c r="F98" s="12">
        <v>0.2</v>
      </c>
      <c r="G98" s="12">
        <v>0</v>
      </c>
      <c r="I98" s="13">
        <f t="shared" si="39"/>
        <v>0.37596004028937696</v>
      </c>
      <c r="J98" s="13">
        <f t="shared" si="40"/>
        <v>-7.1457626108408182E-2</v>
      </c>
      <c r="K98" s="13">
        <f t="shared" si="41"/>
        <v>5.9374094686446388E-2</v>
      </c>
      <c r="L98" s="13">
        <f t="shared" si="42"/>
        <v>0.5090084172145346</v>
      </c>
      <c r="M98" s="13">
        <f t="shared" si="43"/>
        <v>0.55599671018208585</v>
      </c>
      <c r="N98" s="13">
        <f t="shared" si="33"/>
        <v>1.0610631893240934</v>
      </c>
      <c r="O98" s="13">
        <f t="shared" si="34"/>
        <v>0.74289366973332005</v>
      </c>
      <c r="P98" s="12">
        <f t="shared" si="35"/>
        <v>1</v>
      </c>
      <c r="Q98" s="13">
        <f t="shared" si="36"/>
        <v>0.74289366973332005</v>
      </c>
      <c r="R98" s="13">
        <f t="shared" si="37"/>
        <v>0.55189100452983919</v>
      </c>
      <c r="T98" s="12">
        <f t="shared" si="38"/>
        <v>0</v>
      </c>
    </row>
    <row r="99" spans="1:20" x14ac:dyDescent="0.3">
      <c r="A99" s="23"/>
      <c r="B99" s="12">
        <v>9</v>
      </c>
      <c r="C99" s="12">
        <v>5.3</v>
      </c>
      <c r="D99" s="12">
        <v>3.7</v>
      </c>
      <c r="E99" s="12">
        <v>1.5</v>
      </c>
      <c r="F99" s="12">
        <v>0.2</v>
      </c>
      <c r="G99" s="12">
        <v>0</v>
      </c>
      <c r="I99" s="13">
        <f t="shared" si="39"/>
        <v>0.37596004028937696</v>
      </c>
      <c r="J99" s="13">
        <f t="shared" si="40"/>
        <v>-7.1457626108408182E-2</v>
      </c>
      <c r="K99" s="13">
        <f t="shared" si="41"/>
        <v>5.9374094686446388E-2</v>
      </c>
      <c r="L99" s="13">
        <f t="shared" si="42"/>
        <v>0.5090084172145346</v>
      </c>
      <c r="M99" s="13">
        <f t="shared" si="43"/>
        <v>0.55599671018208585</v>
      </c>
      <c r="N99" s="13">
        <f t="shared" si="33"/>
        <v>1.0916307401128844</v>
      </c>
      <c r="O99" s="13">
        <f t="shared" si="34"/>
        <v>0.74868867620458446</v>
      </c>
      <c r="P99" s="12">
        <f t="shared" si="35"/>
        <v>1</v>
      </c>
      <c r="Q99" s="13">
        <f t="shared" si="36"/>
        <v>0.74868867620458446</v>
      </c>
      <c r="R99" s="13">
        <f t="shared" si="37"/>
        <v>0.56053473387697306</v>
      </c>
      <c r="T99" s="12">
        <f t="shared" si="38"/>
        <v>0</v>
      </c>
    </row>
    <row r="100" spans="1:20" x14ac:dyDescent="0.3">
      <c r="A100" s="23"/>
      <c r="B100" s="12">
        <v>10</v>
      </c>
      <c r="C100" s="12">
        <v>5</v>
      </c>
      <c r="D100" s="12">
        <v>3.3</v>
      </c>
      <c r="E100" s="12">
        <v>1.4</v>
      </c>
      <c r="F100" s="12">
        <v>0.2</v>
      </c>
      <c r="G100" s="12">
        <v>0</v>
      </c>
      <c r="I100" s="13">
        <f t="shared" si="39"/>
        <v>0.37596004028937696</v>
      </c>
      <c r="J100" s="13">
        <f t="shared" si="40"/>
        <v>-7.1457626108408182E-2</v>
      </c>
      <c r="K100" s="13">
        <f t="shared" si="41"/>
        <v>5.9374094686446388E-2</v>
      </c>
      <c r="L100" s="13">
        <f t="shared" si="42"/>
        <v>0.5090084172145346</v>
      </c>
      <c r="M100" s="13">
        <f t="shared" si="43"/>
        <v>0.55599671018208585</v>
      </c>
      <c r="N100" s="13">
        <f t="shared" si="33"/>
        <v>1.0384175483493747</v>
      </c>
      <c r="O100" s="13">
        <f t="shared" si="34"/>
        <v>0.7385445555837965</v>
      </c>
      <c r="P100" s="12">
        <f t="shared" si="35"/>
        <v>1</v>
      </c>
      <c r="Q100" s="13">
        <f t="shared" si="36"/>
        <v>0.7385445555837965</v>
      </c>
      <c r="R100" s="13">
        <f t="shared" si="37"/>
        <v>0.54544806058246753</v>
      </c>
      <c r="T100" s="12">
        <f t="shared" si="38"/>
        <v>0</v>
      </c>
    </row>
    <row r="101" spans="1:20" x14ac:dyDescent="0.3">
      <c r="A101" s="23"/>
      <c r="B101" s="12">
        <v>11</v>
      </c>
      <c r="C101" s="12">
        <v>5.5</v>
      </c>
      <c r="D101" s="12">
        <v>2.6</v>
      </c>
      <c r="E101" s="12">
        <v>4.4000000000000004</v>
      </c>
      <c r="F101" s="12">
        <v>1.2</v>
      </c>
      <c r="G101" s="12">
        <v>1</v>
      </c>
      <c r="I101" s="13">
        <f t="shared" si="39"/>
        <v>0.37596004028937696</v>
      </c>
      <c r="J101" s="13">
        <f t="shared" si="40"/>
        <v>-7.1457626108408182E-2</v>
      </c>
      <c r="K101" s="13">
        <f t="shared" si="41"/>
        <v>5.9374094686446388E-2</v>
      </c>
      <c r="L101" s="13">
        <f t="shared" si="42"/>
        <v>0.5090084172145346</v>
      </c>
      <c r="M101" s="13">
        <f t="shared" si="43"/>
        <v>0.55599671018208585</v>
      </c>
      <c r="N101" s="13">
        <f t="shared" si="33"/>
        <v>3.0441488308403479</v>
      </c>
      <c r="O101" s="13">
        <f t="shared" si="34"/>
        <v>0.95452924157633423</v>
      </c>
      <c r="P101" s="12">
        <f t="shared" si="35"/>
        <v>1</v>
      </c>
      <c r="Q101" s="13">
        <f t="shared" si="36"/>
        <v>-4.5470758423665769E-2</v>
      </c>
      <c r="R101" s="13">
        <f t="shared" si="37"/>
        <v>2.0675898716233715E-3</v>
      </c>
      <c r="T101" s="12">
        <f t="shared" si="38"/>
        <v>1</v>
      </c>
    </row>
    <row r="102" spans="1:20" x14ac:dyDescent="0.3">
      <c r="A102" s="23"/>
      <c r="B102" s="12">
        <v>12</v>
      </c>
      <c r="C102" s="12">
        <v>6.1</v>
      </c>
      <c r="D102" s="12">
        <v>3</v>
      </c>
      <c r="E102" s="12">
        <v>4.5999999999999996</v>
      </c>
      <c r="F102" s="12">
        <v>1.4</v>
      </c>
      <c r="G102" s="12">
        <v>1</v>
      </c>
      <c r="I102" s="13">
        <f t="shared" si="39"/>
        <v>0.37596004028937696</v>
      </c>
      <c r="J102" s="13">
        <f t="shared" si="40"/>
        <v>-7.1457626108408182E-2</v>
      </c>
      <c r="K102" s="13">
        <f t="shared" si="41"/>
        <v>5.9374094686446388E-2</v>
      </c>
      <c r="L102" s="13">
        <f t="shared" si="42"/>
        <v>0.5090084172145346</v>
      </c>
      <c r="M102" s="13">
        <f t="shared" si="43"/>
        <v>0.55599671018208585</v>
      </c>
      <c r="N102" s="13">
        <f t="shared" si="33"/>
        <v>3.2380249185292054</v>
      </c>
      <c r="O102" s="13">
        <f t="shared" si="34"/>
        <v>0.962240412754375</v>
      </c>
      <c r="P102" s="12">
        <f t="shared" si="35"/>
        <v>1</v>
      </c>
      <c r="Q102" s="13">
        <f t="shared" si="36"/>
        <v>-3.7759587245625004E-2</v>
      </c>
      <c r="R102" s="13">
        <f t="shared" si="37"/>
        <v>1.4257864289599664E-3</v>
      </c>
      <c r="T102" s="12">
        <f t="shared" si="38"/>
        <v>1</v>
      </c>
    </row>
    <row r="103" spans="1:20" x14ac:dyDescent="0.3">
      <c r="A103" s="23"/>
      <c r="B103" s="12">
        <v>13</v>
      </c>
      <c r="C103" s="12">
        <v>5.8</v>
      </c>
      <c r="D103" s="12">
        <v>2.6</v>
      </c>
      <c r="E103" s="12">
        <v>4</v>
      </c>
      <c r="F103" s="12">
        <v>1.2</v>
      </c>
      <c r="G103" s="12">
        <v>1</v>
      </c>
      <c r="I103" s="13">
        <f t="shared" si="39"/>
        <v>0.37596004028937696</v>
      </c>
      <c r="J103" s="13">
        <f t="shared" si="40"/>
        <v>-7.1457626108408182E-2</v>
      </c>
      <c r="K103" s="13">
        <f t="shared" si="41"/>
        <v>5.9374094686446388E-2</v>
      </c>
      <c r="L103" s="13">
        <f t="shared" si="42"/>
        <v>0.5090084172145346</v>
      </c>
      <c r="M103" s="13">
        <f t="shared" si="43"/>
        <v>0.55599671018208585</v>
      </c>
      <c r="N103" s="13">
        <f t="shared" si="33"/>
        <v>2.8191081761220116</v>
      </c>
      <c r="O103" s="13">
        <f t="shared" si="34"/>
        <v>0.94369970205725096</v>
      </c>
      <c r="P103" s="12">
        <f t="shared" si="35"/>
        <v>1</v>
      </c>
      <c r="Q103" s="13">
        <f t="shared" si="36"/>
        <v>-5.6300297942749045E-2</v>
      </c>
      <c r="R103" s="13">
        <f t="shared" si="37"/>
        <v>3.1697235484423121E-3</v>
      </c>
      <c r="T103" s="12">
        <f t="shared" si="38"/>
        <v>1</v>
      </c>
    </row>
    <row r="104" spans="1:20" x14ac:dyDescent="0.3">
      <c r="A104" s="23"/>
      <c r="B104" s="12">
        <v>14</v>
      </c>
      <c r="C104" s="12">
        <v>5</v>
      </c>
      <c r="D104" s="12">
        <v>2.2999999999999998</v>
      </c>
      <c r="E104" s="12">
        <v>3.3</v>
      </c>
      <c r="F104" s="12">
        <v>1</v>
      </c>
      <c r="G104" s="12">
        <v>1</v>
      </c>
      <c r="I104" s="13">
        <f t="shared" si="39"/>
        <v>0.37596004028937696</v>
      </c>
      <c r="J104" s="13">
        <f t="shared" si="40"/>
        <v>-7.1457626108408182E-2</v>
      </c>
      <c r="K104" s="13">
        <f t="shared" si="41"/>
        <v>5.9374094686446388E-2</v>
      </c>
      <c r="L104" s="13">
        <f t="shared" si="42"/>
        <v>0.5090084172145346</v>
      </c>
      <c r="M104" s="13">
        <f t="shared" si="43"/>
        <v>0.55599671018208585</v>
      </c>
      <c r="N104" s="13">
        <f t="shared" si="33"/>
        <v>2.3909568145162128</v>
      </c>
      <c r="O104" s="13">
        <f t="shared" si="34"/>
        <v>0.91613511093989652</v>
      </c>
      <c r="P104" s="12">
        <f t="shared" si="35"/>
        <v>1</v>
      </c>
      <c r="Q104" s="13">
        <f t="shared" si="36"/>
        <v>-8.3864889060103476E-2</v>
      </c>
      <c r="R104" s="13">
        <f t="shared" si="37"/>
        <v>7.0333196170634634E-3</v>
      </c>
      <c r="T104" s="12">
        <f t="shared" si="38"/>
        <v>1</v>
      </c>
    </row>
    <row r="105" spans="1:20" x14ac:dyDescent="0.3">
      <c r="A105" s="23"/>
      <c r="B105" s="12">
        <v>15</v>
      </c>
      <c r="C105" s="12">
        <v>5.6</v>
      </c>
      <c r="D105" s="12">
        <v>2.7</v>
      </c>
      <c r="E105" s="12">
        <v>4.2</v>
      </c>
      <c r="F105" s="12">
        <v>1.3</v>
      </c>
      <c r="G105" s="12">
        <v>1</v>
      </c>
      <c r="I105" s="13">
        <f t="shared" si="39"/>
        <v>0.37596004028937696</v>
      </c>
      <c r="J105" s="13">
        <f t="shared" si="40"/>
        <v>-7.1457626108408182E-2</v>
      </c>
      <c r="K105" s="13">
        <f t="shared" si="41"/>
        <v>5.9374094686446388E-2</v>
      </c>
      <c r="L105" s="13">
        <f t="shared" si="42"/>
        <v>0.5090084172145346</v>
      </c>
      <c r="M105" s="13">
        <f t="shared" si="43"/>
        <v>0.55599671018208585</v>
      </c>
      <c r="N105" s="13">
        <f t="shared" si="33"/>
        <v>2.9967384652734537</v>
      </c>
      <c r="O105" s="13">
        <f t="shared" si="34"/>
        <v>0.95242656389309288</v>
      </c>
      <c r="P105" s="12">
        <f t="shared" si="35"/>
        <v>1</v>
      </c>
      <c r="Q105" s="13">
        <f t="shared" si="36"/>
        <v>-4.7573436106907119E-2</v>
      </c>
      <c r="R105" s="13">
        <f t="shared" si="37"/>
        <v>2.2632318230179737E-3</v>
      </c>
      <c r="T105" s="12">
        <f t="shared" si="38"/>
        <v>1</v>
      </c>
    </row>
    <row r="106" spans="1:20" x14ac:dyDescent="0.3">
      <c r="A106" s="23"/>
      <c r="B106" s="12">
        <v>16</v>
      </c>
      <c r="C106" s="12">
        <v>5.7</v>
      </c>
      <c r="D106" s="12">
        <v>3</v>
      </c>
      <c r="E106" s="12">
        <v>4.2</v>
      </c>
      <c r="F106" s="12">
        <v>1.2</v>
      </c>
      <c r="G106" s="12">
        <v>1</v>
      </c>
      <c r="I106" s="13">
        <f t="shared" si="39"/>
        <v>0.37596004028937696</v>
      </c>
      <c r="J106" s="13">
        <f t="shared" si="40"/>
        <v>-7.1457626108408182E-2</v>
      </c>
      <c r="K106" s="13">
        <f t="shared" si="41"/>
        <v>5.9374094686446388E-2</v>
      </c>
      <c r="L106" s="13">
        <f t="shared" si="42"/>
        <v>0.5090084172145346</v>
      </c>
      <c r="M106" s="13">
        <f t="shared" si="43"/>
        <v>0.55599671018208585</v>
      </c>
      <c r="N106" s="13">
        <f t="shared" si="33"/>
        <v>2.9518052600503379</v>
      </c>
      <c r="O106" s="13">
        <f t="shared" si="34"/>
        <v>0.95034874074999209</v>
      </c>
      <c r="P106" s="12">
        <f t="shared" si="35"/>
        <v>1</v>
      </c>
      <c r="Q106" s="13">
        <f t="shared" si="36"/>
        <v>-4.9651259250007906E-2</v>
      </c>
      <c r="R106" s="13">
        <f t="shared" si="37"/>
        <v>2.4652475451114957E-3</v>
      </c>
      <c r="T106" s="12">
        <f t="shared" si="38"/>
        <v>1</v>
      </c>
    </row>
    <row r="107" spans="1:20" x14ac:dyDescent="0.3">
      <c r="A107" s="23"/>
      <c r="B107" s="12">
        <v>17</v>
      </c>
      <c r="C107" s="12">
        <v>5.7</v>
      </c>
      <c r="D107" s="12">
        <v>2.9</v>
      </c>
      <c r="E107" s="12">
        <v>4.2</v>
      </c>
      <c r="F107" s="12">
        <v>1.3</v>
      </c>
      <c r="G107" s="12">
        <v>1</v>
      </c>
      <c r="I107" s="13">
        <f t="shared" si="39"/>
        <v>0.37596004028937696</v>
      </c>
      <c r="J107" s="13">
        <f t="shared" si="40"/>
        <v>-7.1457626108408182E-2</v>
      </c>
      <c r="K107" s="13">
        <f t="shared" si="41"/>
        <v>5.9374094686446388E-2</v>
      </c>
      <c r="L107" s="13">
        <f t="shared" si="42"/>
        <v>0.5090084172145346</v>
      </c>
      <c r="M107" s="13">
        <f t="shared" si="43"/>
        <v>0.55599671018208585</v>
      </c>
      <c r="N107" s="13">
        <f t="shared" si="33"/>
        <v>3.0014675215999018</v>
      </c>
      <c r="O107" s="13">
        <f t="shared" si="34"/>
        <v>0.9526403805312933</v>
      </c>
      <c r="P107" s="12">
        <f t="shared" si="35"/>
        <v>1</v>
      </c>
      <c r="Q107" s="13">
        <f t="shared" si="36"/>
        <v>-4.7359619468706704E-2</v>
      </c>
      <c r="R107" s="13">
        <f t="shared" si="37"/>
        <v>2.2429335562207031E-3</v>
      </c>
      <c r="T107" s="12">
        <f t="shared" si="38"/>
        <v>1</v>
      </c>
    </row>
    <row r="108" spans="1:20" x14ac:dyDescent="0.3">
      <c r="A108" s="23"/>
      <c r="B108" s="12">
        <v>18</v>
      </c>
      <c r="C108" s="12">
        <v>6.2</v>
      </c>
      <c r="D108" s="12">
        <v>2.9</v>
      </c>
      <c r="E108" s="12">
        <v>4.3</v>
      </c>
      <c r="F108" s="12">
        <v>1.3</v>
      </c>
      <c r="G108" s="12">
        <v>1</v>
      </c>
      <c r="I108" s="13">
        <f t="shared" si="39"/>
        <v>0.37596004028937696</v>
      </c>
      <c r="J108" s="13">
        <f t="shared" si="40"/>
        <v>-7.1457626108408182E-2</v>
      </c>
      <c r="K108" s="13">
        <f t="shared" si="41"/>
        <v>5.9374094686446388E-2</v>
      </c>
      <c r="L108" s="13">
        <f t="shared" si="42"/>
        <v>0.5090084172145346</v>
      </c>
      <c r="M108" s="13">
        <f t="shared" si="43"/>
        <v>0.55599671018208585</v>
      </c>
      <c r="N108" s="13">
        <f t="shared" si="33"/>
        <v>3.0166395502671506</v>
      </c>
      <c r="O108" s="13">
        <f t="shared" si="34"/>
        <v>0.95332021042916371</v>
      </c>
      <c r="P108" s="12">
        <f t="shared" si="35"/>
        <v>1</v>
      </c>
      <c r="Q108" s="13">
        <f t="shared" si="36"/>
        <v>-4.6679789570836294E-2</v>
      </c>
      <c r="R108" s="13">
        <f t="shared" si="37"/>
        <v>2.1790027543775567E-3</v>
      </c>
      <c r="T108" s="12">
        <f t="shared" si="38"/>
        <v>1</v>
      </c>
    </row>
    <row r="109" spans="1:20" x14ac:dyDescent="0.3">
      <c r="A109" s="23"/>
      <c r="B109" s="12">
        <v>19</v>
      </c>
      <c r="C109" s="12">
        <v>5.0999999999999996</v>
      </c>
      <c r="D109" s="12">
        <v>2.5</v>
      </c>
      <c r="E109" s="12">
        <v>3</v>
      </c>
      <c r="F109" s="12">
        <v>1.1000000000000001</v>
      </c>
      <c r="G109" s="12">
        <v>1</v>
      </c>
      <c r="I109" s="13">
        <f t="shared" si="39"/>
        <v>0.37596004028937696</v>
      </c>
      <c r="J109" s="13">
        <f t="shared" si="40"/>
        <v>-7.1457626108408182E-2</v>
      </c>
      <c r="K109" s="13">
        <f t="shared" si="41"/>
        <v>5.9374094686446388E-2</v>
      </c>
      <c r="L109" s="13">
        <f t="shared" si="42"/>
        <v>0.5090084172145346</v>
      </c>
      <c r="M109" s="13">
        <f t="shared" si="43"/>
        <v>0.55599671018208585</v>
      </c>
      <c r="N109" s="13">
        <f t="shared" si="33"/>
        <v>2.2985830166965098</v>
      </c>
      <c r="O109" s="13">
        <f t="shared" si="34"/>
        <v>0.90875961703017727</v>
      </c>
      <c r="P109" s="12">
        <f t="shared" si="35"/>
        <v>1</v>
      </c>
      <c r="Q109" s="13">
        <f t="shared" si="36"/>
        <v>-9.1240382969822731E-2</v>
      </c>
      <c r="R109" s="13">
        <f t="shared" si="37"/>
        <v>8.324807484479918E-3</v>
      </c>
      <c r="T109" s="12">
        <f t="shared" si="38"/>
        <v>1</v>
      </c>
    </row>
    <row r="110" spans="1:20" x14ac:dyDescent="0.3">
      <c r="A110" s="23"/>
      <c r="B110" s="12">
        <v>20</v>
      </c>
      <c r="C110" s="12">
        <v>5.7</v>
      </c>
      <c r="D110" s="12">
        <v>2.8</v>
      </c>
      <c r="E110" s="12">
        <v>4.0999999999999996</v>
      </c>
      <c r="F110" s="12">
        <v>1.3</v>
      </c>
      <c r="G110" s="12">
        <v>1</v>
      </c>
      <c r="I110" s="13">
        <f t="shared" si="39"/>
        <v>0.37596004028937696</v>
      </c>
      <c r="J110" s="13">
        <f t="shared" si="40"/>
        <v>-7.1457626108408182E-2</v>
      </c>
      <c r="K110" s="13">
        <f t="shared" si="41"/>
        <v>5.9374094686446388E-2</v>
      </c>
      <c r="L110" s="13">
        <f t="shared" si="42"/>
        <v>0.5090084172145346</v>
      </c>
      <c r="M110" s="13">
        <f t="shared" si="43"/>
        <v>0.55599671018208585</v>
      </c>
      <c r="N110" s="13">
        <f t="shared" si="33"/>
        <v>2.9446292704098034</v>
      </c>
      <c r="O110" s="13">
        <f t="shared" si="34"/>
        <v>0.95000903806009385</v>
      </c>
      <c r="P110" s="12">
        <f t="shared" si="35"/>
        <v>1</v>
      </c>
      <c r="Q110" s="13">
        <f t="shared" si="36"/>
        <v>-4.9990961939906153E-2</v>
      </c>
      <c r="R110" s="13">
        <f t="shared" si="37"/>
        <v>2.4990962756771457E-3</v>
      </c>
      <c r="T110" s="12">
        <f t="shared" si="38"/>
        <v>1</v>
      </c>
    </row>
    <row r="111" spans="1:20" x14ac:dyDescent="0.3">
      <c r="Q111" s="15" t="s">
        <v>74</v>
      </c>
      <c r="R111" s="16">
        <f>AVERAGE(R91:R110)</f>
        <v>0.28755157750288607</v>
      </c>
      <c r="T111" s="17">
        <f>AVERAGE(T91:T110)</f>
        <v>0.5</v>
      </c>
    </row>
    <row r="113" spans="1:10" x14ac:dyDescent="0.3">
      <c r="A113" s="2" t="s">
        <v>78</v>
      </c>
      <c r="I113" s="2" t="s">
        <v>79</v>
      </c>
    </row>
    <row r="114" spans="1:10" x14ac:dyDescent="0.3">
      <c r="C114" s="7" t="s">
        <v>52</v>
      </c>
      <c r="I114" s="10" t="s">
        <v>80</v>
      </c>
      <c r="J114" s="10" t="s">
        <v>81</v>
      </c>
    </row>
    <row r="115" spans="1:10" ht="28.8" x14ac:dyDescent="0.3">
      <c r="C115" s="10" t="s">
        <v>82</v>
      </c>
      <c r="D115" s="10" t="s">
        <v>83</v>
      </c>
      <c r="I115" s="4" t="s">
        <v>72</v>
      </c>
      <c r="J115" s="18">
        <f>(C116+D117)/SUM(C116:D117)*100</f>
        <v>50</v>
      </c>
    </row>
    <row r="116" spans="1:10" ht="28.8" x14ac:dyDescent="0.3">
      <c r="A116" s="10" t="s">
        <v>84</v>
      </c>
      <c r="B116" s="10" t="s">
        <v>82</v>
      </c>
      <c r="C116" s="12">
        <f>COUNTIFS($G$91:$G$110,0,$P$91:$P$110,0)</f>
        <v>0</v>
      </c>
      <c r="D116" s="12">
        <f>COUNTIFS($G$91:$G$110,0,$P$91:$P$110,1)</f>
        <v>10</v>
      </c>
      <c r="I116" s="4" t="s">
        <v>85</v>
      </c>
      <c r="J116" s="18">
        <f>IFERROR(D117/(D117+D116)*100,0)</f>
        <v>50</v>
      </c>
    </row>
    <row r="117" spans="1:10" ht="43.2" x14ac:dyDescent="0.3">
      <c r="B117" s="10" t="s">
        <v>83</v>
      </c>
      <c r="C117" s="12">
        <f>COUNTIFS($G$91:$G$110,1,$P$91:$P$110,0)</f>
        <v>0</v>
      </c>
      <c r="D117" s="12">
        <f>COUNTIFS($G$91:$G$110,1,$P$91:$P$110,1)</f>
        <v>10</v>
      </c>
      <c r="I117" s="4" t="s">
        <v>86</v>
      </c>
      <c r="J117" s="18">
        <f>IFERROR(D117/(D117+C117)*100,0)</f>
        <v>100</v>
      </c>
    </row>
    <row r="118" spans="1:10" x14ac:dyDescent="0.3">
      <c r="I118" s="4" t="s">
        <v>87</v>
      </c>
      <c r="J118" s="18">
        <f>IFERROR(2*(J116*J117)/(J116+J117),0)</f>
        <v>66.666666666666671</v>
      </c>
    </row>
    <row r="119" spans="1:10" x14ac:dyDescent="0.3">
      <c r="I119" s="8" t="s">
        <v>88</v>
      </c>
    </row>
  </sheetData>
  <mergeCells count="14">
    <mergeCell ref="I2:J2"/>
    <mergeCell ref="K2:M2"/>
    <mergeCell ref="I3:M3"/>
    <mergeCell ref="P3:P4"/>
    <mergeCell ref="Q3:Q4"/>
    <mergeCell ref="A91:A110"/>
    <mergeCell ref="R3:R4"/>
    <mergeCell ref="A5:A84"/>
    <mergeCell ref="I88:J88"/>
    <mergeCell ref="K88:M88"/>
    <mergeCell ref="I89:M89"/>
    <mergeCell ref="P89:P90"/>
    <mergeCell ref="Q89:Q90"/>
    <mergeCell ref="R89:R9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9"/>
  <sheetViews>
    <sheetView zoomScaleNormal="100" workbookViewId="0">
      <pane ySplit="4" topLeftCell="A100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.5546875" customWidth="1"/>
    <col min="3" max="6" width="9" customWidth="1"/>
    <col min="7" max="7" width="12.109375" bestFit="1" customWidth="1"/>
    <col min="8" max="8" width="2.44140625" customWidth="1"/>
    <col min="9" max="15" width="11.44140625" customWidth="1"/>
    <col min="16" max="16" width="10" customWidth="1"/>
    <col min="17" max="17" width="12" customWidth="1"/>
    <col min="18" max="18" width="17" customWidth="1"/>
    <col min="19" max="19" width="2.44140625" customWidth="1"/>
    <col min="20" max="24" width="11" customWidth="1"/>
    <col min="25" max="25" width="9" customWidth="1"/>
  </cols>
  <sheetData>
    <row r="1" spans="1:25" ht="15.6" x14ac:dyDescent="0.3">
      <c r="A1" s="1" t="s">
        <v>89</v>
      </c>
    </row>
    <row r="2" spans="1:25" x14ac:dyDescent="0.3">
      <c r="G2" s="9" t="s">
        <v>48</v>
      </c>
      <c r="I2" s="25" t="s">
        <v>16</v>
      </c>
      <c r="J2" s="25"/>
      <c r="K2" s="26">
        <f>'Konfigurasi Model'!$B$11</f>
        <v>0.1</v>
      </c>
      <c r="L2" s="26"/>
      <c r="M2" s="26"/>
    </row>
    <row r="3" spans="1:25" ht="15" customHeight="1" x14ac:dyDescent="0.3">
      <c r="G3" s="9" t="s">
        <v>49</v>
      </c>
      <c r="I3" s="24" t="s">
        <v>50</v>
      </c>
      <c r="J3" s="24"/>
      <c r="K3" s="24"/>
      <c r="L3" s="24"/>
      <c r="M3" s="24"/>
      <c r="N3" s="10" t="s">
        <v>51</v>
      </c>
      <c r="O3" s="10" t="s">
        <v>17</v>
      </c>
      <c r="P3" s="24" t="s">
        <v>52</v>
      </c>
      <c r="Q3" s="24" t="s">
        <v>20</v>
      </c>
      <c r="R3" s="24" t="s">
        <v>23</v>
      </c>
    </row>
    <row r="4" spans="1:25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  <c r="O4" s="10" t="s">
        <v>66</v>
      </c>
      <c r="P4" s="24"/>
      <c r="Q4" s="24"/>
      <c r="R4" s="24"/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0" t="s">
        <v>72</v>
      </c>
    </row>
    <row r="5" spans="1:25" x14ac:dyDescent="0.3">
      <c r="A5" s="23" t="s">
        <v>90</v>
      </c>
      <c r="B5" s="12">
        <v>1</v>
      </c>
      <c r="C5" s="12">
        <v>5.0999999999999996</v>
      </c>
      <c r="D5" s="12">
        <v>3.5</v>
      </c>
      <c r="E5" s="12">
        <v>1.4</v>
      </c>
      <c r="F5" s="12">
        <v>0.2</v>
      </c>
      <c r="G5" s="12">
        <v>0</v>
      </c>
      <c r="I5" s="13">
        <f>'Epoch 1'!I84</f>
        <v>0.37596004028937696</v>
      </c>
      <c r="J5" s="13">
        <f>'Epoch 1'!J84</f>
        <v>-7.1457626108408182E-2</v>
      </c>
      <c r="K5" s="13">
        <f>'Epoch 1'!K84</f>
        <v>5.9374094686446388E-2</v>
      </c>
      <c r="L5" s="13">
        <f>'Epoch 1'!L84</f>
        <v>0.5090084172145346</v>
      </c>
      <c r="M5" s="13">
        <f>'Epoch 1'!M84</f>
        <v>0.55599671018208585</v>
      </c>
      <c r="N5" s="13">
        <f t="shared" ref="N5:N36" si="0">I5+J5*C5+K5*D5+L5*E5+M5*F5</f>
        <v>1.0431466046758233</v>
      </c>
      <c r="O5" s="13">
        <f t="shared" ref="O5:O36" si="1">1/(1+EXP(-N5))</f>
        <v>0.73945668911588758</v>
      </c>
      <c r="P5" s="12">
        <f t="shared" ref="P5:P36" si="2">IF(O5&gt;0.5,1,0)</f>
        <v>1</v>
      </c>
      <c r="Q5" s="13">
        <f t="shared" ref="Q5:Q36" si="3">O5-G5</f>
        <v>0.73945668911588758</v>
      </c>
      <c r="R5" s="13">
        <f t="shared" ref="R5:R36" si="4">Q5^2</f>
        <v>0.54679619507823041</v>
      </c>
      <c r="T5" s="14">
        <f t="shared" ref="T5:T36" si="5">2*(O5-G5)*(1-O5)*O5</f>
        <v>0.28492818208903437</v>
      </c>
      <c r="U5" s="14">
        <f t="shared" ref="U5:U36" si="6">2*(O5-G5)*(1-O5)*O5*C5</f>
        <v>1.4531337286540751</v>
      </c>
      <c r="V5" s="14">
        <f t="shared" ref="V5:V36" si="7">2*(O5-G5)*(1-O5)*O5*D5</f>
        <v>0.99724863731162028</v>
      </c>
      <c r="W5" s="14">
        <f t="shared" ref="W5:W36" si="8">2*(O5-G5)*(1-O5)*O5*E5</f>
        <v>0.39889945492464807</v>
      </c>
      <c r="X5" s="14">
        <f t="shared" ref="X5:X36" si="9">2*(O5-G5)*(1-O5)*O5*F5</f>
        <v>5.6985636417806879E-2</v>
      </c>
      <c r="Y5" s="12">
        <f t="shared" ref="Y5:Y36" si="10">IF(P5=G5,1,0)</f>
        <v>0</v>
      </c>
    </row>
    <row r="6" spans="1:25" x14ac:dyDescent="0.3">
      <c r="A6" s="23"/>
      <c r="B6" s="12">
        <v>2</v>
      </c>
      <c r="C6" s="12">
        <v>4.9000000000000004</v>
      </c>
      <c r="D6" s="12">
        <v>3</v>
      </c>
      <c r="E6" s="12">
        <v>1.4</v>
      </c>
      <c r="F6" s="12">
        <v>0.2</v>
      </c>
      <c r="G6" s="12">
        <v>0</v>
      </c>
      <c r="I6" s="13">
        <f>I5-('Konfigurasi Model'!$B$11*T5)</f>
        <v>0.34746722208047354</v>
      </c>
      <c r="J6" s="13">
        <f>J5-('Konfigurasi Model'!$B$11*U5)</f>
        <v>-0.21677099897381569</v>
      </c>
      <c r="K6" s="13">
        <f>K5-('Konfigurasi Model'!$B$11*V5)</f>
        <v>-4.0350769044715643E-2</v>
      </c>
      <c r="L6" s="13">
        <f>L5-('Konfigurasi Model'!$B$11*W5)</f>
        <v>0.46911847172206977</v>
      </c>
      <c r="M6" s="13">
        <f>M5-('Konfigurasi Model'!$B$11*X5)</f>
        <v>0.55029814654030518</v>
      </c>
      <c r="N6" s="13">
        <f t="shared" si="0"/>
        <v>-6.8937490306411581E-2</v>
      </c>
      <c r="O6" s="13">
        <f t="shared" si="1"/>
        <v>0.48277244953509552</v>
      </c>
      <c r="P6" s="12">
        <f t="shared" si="2"/>
        <v>0</v>
      </c>
      <c r="Q6" s="13">
        <f t="shared" si="3"/>
        <v>0.48277244953509552</v>
      </c>
      <c r="R6" s="13">
        <f t="shared" si="4"/>
        <v>0.23306923803011634</v>
      </c>
      <c r="T6" s="14">
        <f t="shared" si="5"/>
        <v>0.24109966215007766</v>
      </c>
      <c r="U6" s="14">
        <f t="shared" si="6"/>
        <v>1.1813883445353806</v>
      </c>
      <c r="V6" s="14">
        <f t="shared" si="7"/>
        <v>0.72329898645023305</v>
      </c>
      <c r="W6" s="14">
        <f t="shared" si="8"/>
        <v>0.3375395270101087</v>
      </c>
      <c r="X6" s="14">
        <f t="shared" si="9"/>
        <v>4.8219932430015537E-2</v>
      </c>
      <c r="Y6" s="12">
        <f t="shared" si="10"/>
        <v>1</v>
      </c>
    </row>
    <row r="7" spans="1:25" x14ac:dyDescent="0.3">
      <c r="A7" s="23"/>
      <c r="B7" s="12">
        <v>3</v>
      </c>
      <c r="C7" s="12">
        <v>4.7</v>
      </c>
      <c r="D7" s="12">
        <v>3.2</v>
      </c>
      <c r="E7" s="12">
        <v>1.3</v>
      </c>
      <c r="F7" s="12">
        <v>0.2</v>
      </c>
      <c r="G7" s="12">
        <v>0</v>
      </c>
      <c r="I7" s="13">
        <f>I6-('Konfigurasi Model'!$B$11*T6)</f>
        <v>0.32335725586546576</v>
      </c>
      <c r="J7" s="13">
        <f>J6-('Konfigurasi Model'!$B$11*U6)</f>
        <v>-0.33490983342735375</v>
      </c>
      <c r="K7" s="13">
        <f>K6-('Konfigurasi Model'!$B$11*V6)</f>
        <v>-0.11268066768973894</v>
      </c>
      <c r="L7" s="13">
        <f>L6-('Konfigurasi Model'!$B$11*W6)</f>
        <v>0.43536451902105888</v>
      </c>
      <c r="M7" s="13">
        <f>M6-('Konfigurasi Model'!$B$11*X6)</f>
        <v>0.54547615329730359</v>
      </c>
      <c r="N7" s="13">
        <f t="shared" si="0"/>
        <v>-0.93622799246342436</v>
      </c>
      <c r="O7" s="13">
        <f t="shared" si="1"/>
        <v>0.28166289983681636</v>
      </c>
      <c r="P7" s="12">
        <f t="shared" si="2"/>
        <v>0</v>
      </c>
      <c r="Q7" s="13">
        <f t="shared" si="3"/>
        <v>0.28166289983681636</v>
      </c>
      <c r="R7" s="13">
        <f t="shared" si="4"/>
        <v>7.9333989144484446E-2</v>
      </c>
      <c r="T7" s="14">
        <f t="shared" si="5"/>
        <v>0.11397709541285289</v>
      </c>
      <c r="U7" s="14">
        <f t="shared" si="6"/>
        <v>0.53569234844040858</v>
      </c>
      <c r="V7" s="14">
        <f t="shared" si="7"/>
        <v>0.36472670532112927</v>
      </c>
      <c r="W7" s="14">
        <f t="shared" si="8"/>
        <v>0.14817022403670876</v>
      </c>
      <c r="X7" s="14">
        <f t="shared" si="9"/>
        <v>2.279541908257058E-2</v>
      </c>
      <c r="Y7" s="12">
        <f t="shared" si="10"/>
        <v>1</v>
      </c>
    </row>
    <row r="8" spans="1:25" x14ac:dyDescent="0.3">
      <c r="A8" s="23"/>
      <c r="B8" s="12">
        <v>4</v>
      </c>
      <c r="C8" s="12">
        <v>4.5999999999999996</v>
      </c>
      <c r="D8" s="12">
        <v>3.1</v>
      </c>
      <c r="E8" s="12">
        <v>1.5</v>
      </c>
      <c r="F8" s="12">
        <v>0.2</v>
      </c>
      <c r="G8" s="12">
        <v>0</v>
      </c>
      <c r="I8" s="13">
        <f>I7-('Konfigurasi Model'!$B$11*T7)</f>
        <v>0.31195954632418049</v>
      </c>
      <c r="J8" s="13">
        <f>J7-('Konfigurasi Model'!$B$11*U7)</f>
        <v>-0.38847906827139461</v>
      </c>
      <c r="K8" s="13">
        <f>K7-('Konfigurasi Model'!$B$11*V7)</f>
        <v>-0.14915333822185187</v>
      </c>
      <c r="L8" s="13">
        <f>L7-('Konfigurasi Model'!$B$11*W7)</f>
        <v>0.42054749661738799</v>
      </c>
      <c r="M8" s="13">
        <f>M7-('Konfigurasi Model'!$B$11*X7)</f>
        <v>0.54319661138904651</v>
      </c>
      <c r="N8" s="13">
        <f t="shared" si="0"/>
        <v>-1.1979589490080844</v>
      </c>
      <c r="O8" s="13">
        <f t="shared" si="1"/>
        <v>0.23183850710909376</v>
      </c>
      <c r="P8" s="12">
        <f t="shared" si="2"/>
        <v>0</v>
      </c>
      <c r="Q8" s="13">
        <f t="shared" si="3"/>
        <v>0.23183850710909376</v>
      </c>
      <c r="R8" s="13">
        <f t="shared" si="4"/>
        <v>5.3749093378573316E-2</v>
      </c>
      <c r="T8" s="14">
        <f t="shared" si="5"/>
        <v>8.2575967622435201E-2</v>
      </c>
      <c r="U8" s="14">
        <f t="shared" si="6"/>
        <v>0.37984945106320189</v>
      </c>
      <c r="V8" s="14">
        <f t="shared" si="7"/>
        <v>0.25598549962954914</v>
      </c>
      <c r="W8" s="14">
        <f t="shared" si="8"/>
        <v>0.12386395143365281</v>
      </c>
      <c r="X8" s="14">
        <f t="shared" si="9"/>
        <v>1.6515193524487042E-2</v>
      </c>
      <c r="Y8" s="12">
        <f t="shared" si="10"/>
        <v>1</v>
      </c>
    </row>
    <row r="9" spans="1:25" x14ac:dyDescent="0.3">
      <c r="A9" s="23"/>
      <c r="B9" s="12">
        <v>5</v>
      </c>
      <c r="C9" s="12">
        <v>5</v>
      </c>
      <c r="D9" s="12">
        <v>3.6</v>
      </c>
      <c r="E9" s="12">
        <v>1.4</v>
      </c>
      <c r="F9" s="12">
        <v>0.2</v>
      </c>
      <c r="G9" s="12">
        <v>0</v>
      </c>
      <c r="I9" s="13">
        <f>I8-('Konfigurasi Model'!$B$11*T8)</f>
        <v>0.30370194956193697</v>
      </c>
      <c r="J9" s="13">
        <f>J8-('Konfigurasi Model'!$B$11*U8)</f>
        <v>-0.42646401337771478</v>
      </c>
      <c r="K9" s="13">
        <f>K8-('Konfigurasi Model'!$B$11*V8)</f>
        <v>-0.17475188818480678</v>
      </c>
      <c r="L9" s="13">
        <f>L8-('Konfigurasi Model'!$B$11*W8)</f>
        <v>0.40816110147402274</v>
      </c>
      <c r="M9" s="13">
        <f>M8-('Konfigurasi Model'!$B$11*X8)</f>
        <v>0.54154509203659784</v>
      </c>
      <c r="N9" s="13">
        <f t="shared" si="0"/>
        <v>-1.7779903543209901</v>
      </c>
      <c r="O9" s="13">
        <f t="shared" si="1"/>
        <v>0.14455146204298555</v>
      </c>
      <c r="P9" s="12">
        <f t="shared" si="2"/>
        <v>0</v>
      </c>
      <c r="Q9" s="13">
        <f t="shared" si="3"/>
        <v>0.14455146204298555</v>
      </c>
      <c r="R9" s="13">
        <f t="shared" si="4"/>
        <v>2.0895125178764691E-2</v>
      </c>
      <c r="T9" s="14">
        <f t="shared" si="5"/>
        <v>3.5749408569206116E-2</v>
      </c>
      <c r="U9" s="14">
        <f t="shared" si="6"/>
        <v>0.17874704284603057</v>
      </c>
      <c r="V9" s="14">
        <f t="shared" si="7"/>
        <v>0.12869787084914203</v>
      </c>
      <c r="W9" s="14">
        <f t="shared" si="8"/>
        <v>5.0049171996888561E-2</v>
      </c>
      <c r="X9" s="14">
        <f t="shared" si="9"/>
        <v>7.1498817138412234E-3</v>
      </c>
      <c r="Y9" s="12">
        <f t="shared" si="10"/>
        <v>1</v>
      </c>
    </row>
    <row r="10" spans="1:25" x14ac:dyDescent="0.3">
      <c r="A10" s="23"/>
      <c r="B10" s="12">
        <v>6</v>
      </c>
      <c r="C10" s="12">
        <v>5.4</v>
      </c>
      <c r="D10" s="12">
        <v>3.9</v>
      </c>
      <c r="E10" s="12">
        <v>1.7</v>
      </c>
      <c r="F10" s="12">
        <v>0.4</v>
      </c>
      <c r="G10" s="12">
        <v>0</v>
      </c>
      <c r="I10" s="13">
        <f>I9-('Konfigurasi Model'!$B$11*T9)</f>
        <v>0.30012700870501635</v>
      </c>
      <c r="J10" s="13">
        <f>J9-('Konfigurasi Model'!$B$11*U9)</f>
        <v>-0.44433871766231786</v>
      </c>
      <c r="K10" s="13">
        <f>K9-('Konfigurasi Model'!$B$11*V9)</f>
        <v>-0.18762167526972098</v>
      </c>
      <c r="L10" s="13">
        <f>L9-('Konfigurasi Model'!$B$11*W9)</f>
        <v>0.40315618427433386</v>
      </c>
      <c r="M10" s="13">
        <f>M9-('Konfigurasi Model'!$B$11*X9)</f>
        <v>0.54083010386521368</v>
      </c>
      <c r="N10" s="13">
        <f t="shared" si="0"/>
        <v>-1.9293290454109588</v>
      </c>
      <c r="O10" s="13">
        <f t="shared" si="1"/>
        <v>0.12682486324416992</v>
      </c>
      <c r="P10" s="12">
        <f t="shared" si="2"/>
        <v>0</v>
      </c>
      <c r="Q10" s="13">
        <f t="shared" si="3"/>
        <v>0.12682486324416992</v>
      </c>
      <c r="R10" s="13">
        <f t="shared" si="4"/>
        <v>1.6084545936902402E-2</v>
      </c>
      <c r="T10" s="14">
        <f t="shared" si="5"/>
        <v>2.8089251196220369E-2</v>
      </c>
      <c r="U10" s="14">
        <f t="shared" si="6"/>
        <v>0.15168195645959001</v>
      </c>
      <c r="V10" s="14">
        <f t="shared" si="7"/>
        <v>0.10954807966525944</v>
      </c>
      <c r="W10" s="14">
        <f t="shared" si="8"/>
        <v>4.7751727033574623E-2</v>
      </c>
      <c r="X10" s="14">
        <f t="shared" si="9"/>
        <v>1.1235700478488148E-2</v>
      </c>
      <c r="Y10" s="12">
        <f t="shared" si="10"/>
        <v>1</v>
      </c>
    </row>
    <row r="11" spans="1:25" x14ac:dyDescent="0.3">
      <c r="A11" s="23"/>
      <c r="B11" s="12">
        <v>7</v>
      </c>
      <c r="C11" s="12">
        <v>4.5999999999999996</v>
      </c>
      <c r="D11" s="12">
        <v>3.4</v>
      </c>
      <c r="E11" s="12">
        <v>1.4</v>
      </c>
      <c r="F11" s="12">
        <v>0.3</v>
      </c>
      <c r="G11" s="12">
        <v>0</v>
      </c>
      <c r="I11" s="13">
        <f>I10-('Konfigurasi Model'!$B$11*T10)</f>
        <v>0.2973180835853943</v>
      </c>
      <c r="J11" s="13">
        <f>J10-('Konfigurasi Model'!$B$11*U10)</f>
        <v>-0.45950691330827687</v>
      </c>
      <c r="K11" s="13">
        <f>K10-('Konfigurasi Model'!$B$11*V10)</f>
        <v>-0.19857648323624694</v>
      </c>
      <c r="L11" s="13">
        <f>L10-('Konfigurasi Model'!$B$11*W10)</f>
        <v>0.39838101157097638</v>
      </c>
      <c r="M11" s="13">
        <f>M10-('Konfigurasi Model'!$B$11*X10)</f>
        <v>0.53970653381736489</v>
      </c>
      <c r="N11" s="13">
        <f t="shared" si="0"/>
        <v>-1.7719283842913423</v>
      </c>
      <c r="O11" s="13">
        <f t="shared" si="1"/>
        <v>0.14530267941246497</v>
      </c>
      <c r="P11" s="12">
        <f t="shared" si="2"/>
        <v>0</v>
      </c>
      <c r="Q11" s="13">
        <f t="shared" si="3"/>
        <v>0.14530267941246497</v>
      </c>
      <c r="R11" s="13">
        <f t="shared" si="4"/>
        <v>2.1112868644441569E-2</v>
      </c>
      <c r="T11" s="14">
        <f t="shared" si="5"/>
        <v>3.6090224520641583E-2</v>
      </c>
      <c r="U11" s="14">
        <f t="shared" si="6"/>
        <v>0.16601503279495128</v>
      </c>
      <c r="V11" s="14">
        <f t="shared" si="7"/>
        <v>0.12270676337018138</v>
      </c>
      <c r="W11" s="14">
        <f t="shared" si="8"/>
        <v>5.052631432889821E-2</v>
      </c>
      <c r="X11" s="14">
        <f t="shared" si="9"/>
        <v>1.0827067356192474E-2</v>
      </c>
      <c r="Y11" s="12">
        <f t="shared" si="10"/>
        <v>1</v>
      </c>
    </row>
    <row r="12" spans="1:25" x14ac:dyDescent="0.3">
      <c r="A12" s="23"/>
      <c r="B12" s="12">
        <v>8</v>
      </c>
      <c r="C12" s="12">
        <v>5</v>
      </c>
      <c r="D12" s="12">
        <v>3.4</v>
      </c>
      <c r="E12" s="12">
        <v>1.5</v>
      </c>
      <c r="F12" s="12">
        <v>0.2</v>
      </c>
      <c r="G12" s="12">
        <v>0</v>
      </c>
      <c r="I12" s="13">
        <f>I11-('Konfigurasi Model'!$B$11*T11)</f>
        <v>0.29370906113333012</v>
      </c>
      <c r="J12" s="13">
        <f>J11-('Konfigurasi Model'!$B$11*U11)</f>
        <v>-0.47610841658777198</v>
      </c>
      <c r="K12" s="13">
        <f>K11-('Konfigurasi Model'!$B$11*V11)</f>
        <v>-0.21084715957326508</v>
      </c>
      <c r="L12" s="13">
        <f>L11-('Konfigurasi Model'!$B$11*W11)</f>
        <v>0.39332838013808658</v>
      </c>
      <c r="M12" s="13">
        <f>M11-('Konfigurasi Model'!$B$11*X11)</f>
        <v>0.53862382708174561</v>
      </c>
      <c r="N12" s="13">
        <f t="shared" si="0"/>
        <v>-2.1059960287311519</v>
      </c>
      <c r="O12" s="13">
        <f t="shared" si="1"/>
        <v>0.10851540346071901</v>
      </c>
      <c r="P12" s="12">
        <f t="shared" si="2"/>
        <v>0</v>
      </c>
      <c r="Q12" s="13">
        <f t="shared" si="3"/>
        <v>0.10851540346071901</v>
      </c>
      <c r="R12" s="13">
        <f t="shared" si="4"/>
        <v>1.1775592788242629E-2</v>
      </c>
      <c r="T12" s="14">
        <f t="shared" si="5"/>
        <v>2.0995519171674693E-2</v>
      </c>
      <c r="U12" s="14">
        <f t="shared" si="6"/>
        <v>0.10497759585837346</v>
      </c>
      <c r="V12" s="14">
        <f t="shared" si="7"/>
        <v>7.1384765183693952E-2</v>
      </c>
      <c r="W12" s="14">
        <f t="shared" si="8"/>
        <v>3.1493278757512039E-2</v>
      </c>
      <c r="X12" s="14">
        <f t="shared" si="9"/>
        <v>4.1991038343349388E-3</v>
      </c>
      <c r="Y12" s="12">
        <f t="shared" si="10"/>
        <v>1</v>
      </c>
    </row>
    <row r="13" spans="1:25" x14ac:dyDescent="0.3">
      <c r="A13" s="23"/>
      <c r="B13" s="12">
        <v>9</v>
      </c>
      <c r="C13" s="12">
        <v>4.4000000000000004</v>
      </c>
      <c r="D13" s="12">
        <v>2.9</v>
      </c>
      <c r="E13" s="12">
        <v>1.4</v>
      </c>
      <c r="F13" s="12">
        <v>0.2</v>
      </c>
      <c r="G13" s="12">
        <v>0</v>
      </c>
      <c r="I13" s="13">
        <f>I12-('Konfigurasi Model'!$B$11*T12)</f>
        <v>0.29160950921616263</v>
      </c>
      <c r="J13" s="13">
        <f>J12-('Konfigurasi Model'!$B$11*U12)</f>
        <v>-0.48660617617360935</v>
      </c>
      <c r="K13" s="13">
        <f>K12-('Konfigurasi Model'!$B$11*V12)</f>
        <v>-0.21798563609163449</v>
      </c>
      <c r="L13" s="13">
        <f>L12-('Konfigurasi Model'!$B$11*W12)</f>
        <v>0.39017905226233535</v>
      </c>
      <c r="M13" s="13">
        <f>M12-('Konfigurasi Model'!$B$11*X12)</f>
        <v>0.53820391669831213</v>
      </c>
      <c r="N13" s="13">
        <f t="shared" si="0"/>
        <v>-1.8277245541065263</v>
      </c>
      <c r="O13" s="13">
        <f t="shared" si="1"/>
        <v>0.13850956672512613</v>
      </c>
      <c r="P13" s="12">
        <f t="shared" si="2"/>
        <v>0</v>
      </c>
      <c r="Q13" s="13">
        <f t="shared" si="3"/>
        <v>0.13850956672512613</v>
      </c>
      <c r="R13" s="13">
        <f t="shared" si="4"/>
        <v>1.9184900074382168E-2</v>
      </c>
      <c r="T13" s="14">
        <f t="shared" si="5"/>
        <v>3.3055215754829302E-2</v>
      </c>
      <c r="U13" s="14">
        <f t="shared" si="6"/>
        <v>0.14544294932124893</v>
      </c>
      <c r="V13" s="14">
        <f t="shared" si="7"/>
        <v>9.5860125689004969E-2</v>
      </c>
      <c r="W13" s="14">
        <f t="shared" si="8"/>
        <v>4.6277302056761019E-2</v>
      </c>
      <c r="X13" s="14">
        <f t="shared" si="9"/>
        <v>6.6110431509658609E-3</v>
      </c>
      <c r="Y13" s="12">
        <f t="shared" si="10"/>
        <v>1</v>
      </c>
    </row>
    <row r="14" spans="1:25" x14ac:dyDescent="0.3">
      <c r="A14" s="23"/>
      <c r="B14" s="12">
        <v>10</v>
      </c>
      <c r="C14" s="12">
        <v>4.9000000000000004</v>
      </c>
      <c r="D14" s="12">
        <v>3.1</v>
      </c>
      <c r="E14" s="12">
        <v>1.5</v>
      </c>
      <c r="F14" s="12">
        <v>0.1</v>
      </c>
      <c r="G14" s="12">
        <v>0</v>
      </c>
      <c r="I14" s="13">
        <f>I13-('Konfigurasi Model'!$B$11*T13)</f>
        <v>0.28830398764067972</v>
      </c>
      <c r="J14" s="13">
        <f>J13-('Konfigurasi Model'!$B$11*U13)</f>
        <v>-0.5011504711057343</v>
      </c>
      <c r="K14" s="13">
        <f>K13-('Konfigurasi Model'!$B$11*V13)</f>
        <v>-0.22757164866053498</v>
      </c>
      <c r="L14" s="13">
        <f>L13-('Konfigurasi Model'!$B$11*W13)</f>
        <v>0.38555132205665926</v>
      </c>
      <c r="M14" s="13">
        <f>M13-('Konfigurasi Model'!$B$11*X13)</f>
        <v>0.53754281238321555</v>
      </c>
      <c r="N14" s="13">
        <f t="shared" si="0"/>
        <v>-2.2407241673017659</v>
      </c>
      <c r="O14" s="13">
        <f t="shared" si="1"/>
        <v>9.6152587900824052E-2</v>
      </c>
      <c r="P14" s="12">
        <f t="shared" si="2"/>
        <v>0</v>
      </c>
      <c r="Q14" s="13">
        <f t="shared" si="3"/>
        <v>9.6152587900824052E-2</v>
      </c>
      <c r="R14" s="13">
        <f t="shared" si="4"/>
        <v>9.2453201600256954E-3</v>
      </c>
      <c r="T14" s="14">
        <f t="shared" si="5"/>
        <v>1.671271740133513E-2</v>
      </c>
      <c r="U14" s="14">
        <f t="shared" si="6"/>
        <v>8.1892315266542143E-2</v>
      </c>
      <c r="V14" s="14">
        <f t="shared" si="7"/>
        <v>5.1809423944138906E-2</v>
      </c>
      <c r="W14" s="14">
        <f t="shared" si="8"/>
        <v>2.5069076102002694E-2</v>
      </c>
      <c r="X14" s="14">
        <f t="shared" si="9"/>
        <v>1.6712717401335131E-3</v>
      </c>
      <c r="Y14" s="12">
        <f t="shared" si="10"/>
        <v>1</v>
      </c>
    </row>
    <row r="15" spans="1:25" x14ac:dyDescent="0.3">
      <c r="A15" s="23"/>
      <c r="B15" s="12">
        <v>11</v>
      </c>
      <c r="C15" s="12">
        <v>5.4</v>
      </c>
      <c r="D15" s="12">
        <v>3.7</v>
      </c>
      <c r="E15" s="12">
        <v>1.5</v>
      </c>
      <c r="F15" s="12">
        <v>0.2</v>
      </c>
      <c r="G15" s="12">
        <v>0</v>
      </c>
      <c r="I15" s="13">
        <f>I14-('Konfigurasi Model'!$B$11*T14)</f>
        <v>0.28663271590054618</v>
      </c>
      <c r="J15" s="13">
        <f>J14-('Konfigurasi Model'!$B$11*U14)</f>
        <v>-0.50933970263238848</v>
      </c>
      <c r="K15" s="13">
        <f>K14-('Konfigurasi Model'!$B$11*V14)</f>
        <v>-0.23275259105494886</v>
      </c>
      <c r="L15" s="13">
        <f>L14-('Konfigurasi Model'!$B$11*W14)</f>
        <v>0.38304441444645898</v>
      </c>
      <c r="M15" s="13">
        <f>M14-('Konfigurasi Model'!$B$11*X14)</f>
        <v>0.5373756852092022</v>
      </c>
      <c r="N15" s="13">
        <f t="shared" si="0"/>
        <v>-2.642944506506133</v>
      </c>
      <c r="O15" s="13">
        <f t="shared" si="1"/>
        <v>6.6425204915023447E-2</v>
      </c>
      <c r="P15" s="12">
        <f t="shared" si="2"/>
        <v>0</v>
      </c>
      <c r="Q15" s="13">
        <f t="shared" si="3"/>
        <v>6.6425204915023447E-2</v>
      </c>
      <c r="R15" s="13">
        <f t="shared" si="4"/>
        <v>4.4123078480028553E-3</v>
      </c>
      <c r="T15" s="14">
        <f t="shared" si="5"/>
        <v>8.2384387901021996E-3</v>
      </c>
      <c r="U15" s="14">
        <f t="shared" si="6"/>
        <v>4.4487569466551878E-2</v>
      </c>
      <c r="V15" s="14">
        <f t="shared" si="7"/>
        <v>3.0482223523378139E-2</v>
      </c>
      <c r="W15" s="14">
        <f t="shared" si="8"/>
        <v>1.2357658185153299E-2</v>
      </c>
      <c r="X15" s="14">
        <f t="shared" si="9"/>
        <v>1.6476877580204399E-3</v>
      </c>
      <c r="Y15" s="12">
        <f t="shared" si="10"/>
        <v>1</v>
      </c>
    </row>
    <row r="16" spans="1:25" x14ac:dyDescent="0.3">
      <c r="A16" s="23"/>
      <c r="B16" s="12">
        <v>12</v>
      </c>
      <c r="C16" s="12">
        <v>4.8</v>
      </c>
      <c r="D16" s="12">
        <v>3.4</v>
      </c>
      <c r="E16" s="12">
        <v>1.6</v>
      </c>
      <c r="F16" s="12">
        <v>0.2</v>
      </c>
      <c r="G16" s="12">
        <v>0</v>
      </c>
      <c r="I16" s="13">
        <f>I15-('Konfigurasi Model'!$B$11*T15)</f>
        <v>0.28580887202153593</v>
      </c>
      <c r="J16" s="13">
        <f>J15-('Konfigurasi Model'!$B$11*U15)</f>
        <v>-0.51378845957904362</v>
      </c>
      <c r="K16" s="13">
        <f>K15-('Konfigurasi Model'!$B$11*V15)</f>
        <v>-0.23580081340728667</v>
      </c>
      <c r="L16" s="13">
        <f>L15-('Konfigurasi Model'!$B$11*W15)</f>
        <v>0.38180864862794367</v>
      </c>
      <c r="M16" s="13">
        <f>M15-('Konfigurasi Model'!$B$11*X15)</f>
        <v>0.53721091643340013</v>
      </c>
      <c r="N16" s="13">
        <f t="shared" si="0"/>
        <v>-2.2637624784512584</v>
      </c>
      <c r="O16" s="13">
        <f t="shared" si="1"/>
        <v>9.4168934796061046E-2</v>
      </c>
      <c r="P16" s="12">
        <f t="shared" si="2"/>
        <v>0</v>
      </c>
      <c r="Q16" s="13">
        <f t="shared" si="3"/>
        <v>9.4168934796061046E-2</v>
      </c>
      <c r="R16" s="13">
        <f t="shared" si="4"/>
        <v>8.8677882806247974E-3</v>
      </c>
      <c r="T16" s="14">
        <f t="shared" si="5"/>
        <v>1.6065436208482733E-2</v>
      </c>
      <c r="U16" s="14">
        <f t="shared" si="6"/>
        <v>7.7114093800717112E-2</v>
      </c>
      <c r="V16" s="14">
        <f t="shared" si="7"/>
        <v>5.462248310884129E-2</v>
      </c>
      <c r="W16" s="14">
        <f t="shared" si="8"/>
        <v>2.5704697933572374E-2</v>
      </c>
      <c r="X16" s="14">
        <f t="shared" si="9"/>
        <v>3.2130872416965468E-3</v>
      </c>
      <c r="Y16" s="12">
        <f t="shared" si="10"/>
        <v>1</v>
      </c>
    </row>
    <row r="17" spans="1:25" x14ac:dyDescent="0.3">
      <c r="A17" s="23"/>
      <c r="B17" s="12">
        <v>13</v>
      </c>
      <c r="C17" s="12">
        <v>4.8</v>
      </c>
      <c r="D17" s="12">
        <v>3</v>
      </c>
      <c r="E17" s="12">
        <v>1.4</v>
      </c>
      <c r="F17" s="12">
        <v>0.1</v>
      </c>
      <c r="G17" s="12">
        <v>0</v>
      </c>
      <c r="I17" s="13">
        <f>I16-('Konfigurasi Model'!$B$11*T16)</f>
        <v>0.28420232840068765</v>
      </c>
      <c r="J17" s="13">
        <f>J16-('Konfigurasi Model'!$B$11*U16)</f>
        <v>-0.52149986895911538</v>
      </c>
      <c r="K17" s="13">
        <f>K16-('Konfigurasi Model'!$B$11*V16)</f>
        <v>-0.2412630617181708</v>
      </c>
      <c r="L17" s="13">
        <f>L16-('Konfigurasi Model'!$B$11*W16)</f>
        <v>0.37923817883458644</v>
      </c>
      <c r="M17" s="13">
        <f>M16-('Konfigurasi Model'!$B$11*X16)</f>
        <v>0.53688960770923044</v>
      </c>
      <c r="N17" s="13">
        <f t="shared" si="0"/>
        <v>-2.358163816618235</v>
      </c>
      <c r="O17" s="13">
        <f t="shared" si="1"/>
        <v>8.6419052595294407E-2</v>
      </c>
      <c r="P17" s="12">
        <f t="shared" si="2"/>
        <v>0</v>
      </c>
      <c r="Q17" s="13">
        <f t="shared" si="3"/>
        <v>8.6419052595294407E-2</v>
      </c>
      <c r="R17" s="13">
        <f t="shared" si="4"/>
        <v>7.4682526514682612E-3</v>
      </c>
      <c r="T17" s="14">
        <f t="shared" si="5"/>
        <v>1.3645706665572157E-2</v>
      </c>
      <c r="U17" s="14">
        <f t="shared" si="6"/>
        <v>6.5499391994746345E-2</v>
      </c>
      <c r="V17" s="14">
        <f t="shared" si="7"/>
        <v>4.0937119996716467E-2</v>
      </c>
      <c r="W17" s="14">
        <f t="shared" si="8"/>
        <v>1.9103989331801019E-2</v>
      </c>
      <c r="X17" s="14">
        <f t="shared" si="9"/>
        <v>1.3645706665572157E-3</v>
      </c>
      <c r="Y17" s="12">
        <f t="shared" si="10"/>
        <v>1</v>
      </c>
    </row>
    <row r="18" spans="1:25" x14ac:dyDescent="0.3">
      <c r="A18" s="23"/>
      <c r="B18" s="12">
        <v>14</v>
      </c>
      <c r="C18" s="12">
        <v>4.3</v>
      </c>
      <c r="D18" s="12">
        <v>3</v>
      </c>
      <c r="E18" s="12">
        <v>1.1000000000000001</v>
      </c>
      <c r="F18" s="12">
        <v>0.1</v>
      </c>
      <c r="G18" s="12">
        <v>0</v>
      </c>
      <c r="I18" s="13">
        <f>I17-('Konfigurasi Model'!$B$11*T17)</f>
        <v>0.28283775773413045</v>
      </c>
      <c r="J18" s="13">
        <f>J17-('Konfigurasi Model'!$B$11*U17)</f>
        <v>-0.52804980815859004</v>
      </c>
      <c r="K18" s="13">
        <f>K17-('Konfigurasi Model'!$B$11*V17)</f>
        <v>-0.24535677371784245</v>
      </c>
      <c r="L18" s="13">
        <f>L17-('Konfigurasi Model'!$B$11*W17)</f>
        <v>0.37732777990140631</v>
      </c>
      <c r="M18" s="13">
        <f>M17-('Konfigurasi Model'!$B$11*X17)</f>
        <v>0.53675315064257467</v>
      </c>
      <c r="N18" s="13">
        <f t="shared" si="0"/>
        <v>-2.2551108655455292</v>
      </c>
      <c r="O18" s="13">
        <f t="shared" si="1"/>
        <v>9.4909522950783837E-2</v>
      </c>
      <c r="P18" s="12">
        <f t="shared" si="2"/>
        <v>0</v>
      </c>
      <c r="Q18" s="13">
        <f t="shared" si="3"/>
        <v>9.4909522950783837E-2</v>
      </c>
      <c r="R18" s="13">
        <f t="shared" si="4"/>
        <v>9.0078175467453638E-3</v>
      </c>
      <c r="T18" s="14">
        <f t="shared" si="5"/>
        <v>1.6305779761112124E-2</v>
      </c>
      <c r="U18" s="14">
        <f t="shared" si="6"/>
        <v>7.0114852972782124E-2</v>
      </c>
      <c r="V18" s="14">
        <f t="shared" si="7"/>
        <v>4.8917339283336372E-2</v>
      </c>
      <c r="W18" s="14">
        <f t="shared" si="8"/>
        <v>1.7936357737223338E-2</v>
      </c>
      <c r="X18" s="14">
        <f t="shared" si="9"/>
        <v>1.6305779761112125E-3</v>
      </c>
      <c r="Y18" s="12">
        <f t="shared" si="10"/>
        <v>1</v>
      </c>
    </row>
    <row r="19" spans="1:25" x14ac:dyDescent="0.3">
      <c r="A19" s="23"/>
      <c r="B19" s="12">
        <v>15</v>
      </c>
      <c r="C19" s="12">
        <v>5.8</v>
      </c>
      <c r="D19" s="12">
        <v>4</v>
      </c>
      <c r="E19" s="12">
        <v>1.2</v>
      </c>
      <c r="F19" s="12">
        <v>0.2</v>
      </c>
      <c r="G19" s="12">
        <v>0</v>
      </c>
      <c r="I19" s="13">
        <f>I18-('Konfigurasi Model'!$B$11*T18)</f>
        <v>0.28120717975801923</v>
      </c>
      <c r="J19" s="13">
        <f>J18-('Konfigurasi Model'!$B$11*U18)</f>
        <v>-0.53506129345586828</v>
      </c>
      <c r="K19" s="13">
        <f>K18-('Konfigurasi Model'!$B$11*V18)</f>
        <v>-0.25024850764617607</v>
      </c>
      <c r="L19" s="13">
        <f>L18-('Konfigurasi Model'!$B$11*W18)</f>
        <v>0.37553414412768399</v>
      </c>
      <c r="M19" s="13">
        <f>M18-('Konfigurasi Model'!$B$11*X18)</f>
        <v>0.53659009284496351</v>
      </c>
      <c r="N19" s="13">
        <f t="shared" si="0"/>
        <v>-3.2651833613485075</v>
      </c>
      <c r="O19" s="13">
        <f t="shared" si="1"/>
        <v>3.6785111000758916E-2</v>
      </c>
      <c r="P19" s="12">
        <f t="shared" si="2"/>
        <v>0</v>
      </c>
      <c r="Q19" s="13">
        <f t="shared" si="3"/>
        <v>3.6785111000758916E-2</v>
      </c>
      <c r="R19" s="13">
        <f t="shared" si="4"/>
        <v>1.3531443913381547E-3</v>
      </c>
      <c r="T19" s="14">
        <f t="shared" si="5"/>
        <v>2.6067376494054526E-3</v>
      </c>
      <c r="U19" s="14">
        <f t="shared" si="6"/>
        <v>1.5119078366551625E-2</v>
      </c>
      <c r="V19" s="14">
        <f t="shared" si="7"/>
        <v>1.042695059762181E-2</v>
      </c>
      <c r="W19" s="14">
        <f t="shared" si="8"/>
        <v>3.1280851792865431E-3</v>
      </c>
      <c r="X19" s="14">
        <f t="shared" si="9"/>
        <v>5.2134752988109052E-4</v>
      </c>
      <c r="Y19" s="12">
        <f t="shared" si="10"/>
        <v>1</v>
      </c>
    </row>
    <row r="20" spans="1:25" x14ac:dyDescent="0.3">
      <c r="A20" s="23"/>
      <c r="B20" s="12">
        <v>16</v>
      </c>
      <c r="C20" s="12">
        <v>5.7</v>
      </c>
      <c r="D20" s="12">
        <v>4.4000000000000004</v>
      </c>
      <c r="E20" s="12">
        <v>1.5</v>
      </c>
      <c r="F20" s="12">
        <v>0.4</v>
      </c>
      <c r="G20" s="12">
        <v>0</v>
      </c>
      <c r="I20" s="13">
        <f>I19-('Konfigurasi Model'!$B$11*T19)</f>
        <v>0.28094650599307869</v>
      </c>
      <c r="J20" s="13">
        <f>J19-('Konfigurasi Model'!$B$11*U19)</f>
        <v>-0.53657320129252339</v>
      </c>
      <c r="K20" s="13">
        <f>K19-('Konfigurasi Model'!$B$11*V19)</f>
        <v>-0.25129120270593824</v>
      </c>
      <c r="L20" s="13">
        <f>L19-('Konfigurasi Model'!$B$11*W19)</f>
        <v>0.37522133560975535</v>
      </c>
      <c r="M20" s="13">
        <f>M19-('Konfigurasi Model'!$B$11*X19)</f>
        <v>0.53653795809197535</v>
      </c>
      <c r="N20" s="13">
        <f t="shared" si="0"/>
        <v>-3.1057548466290101</v>
      </c>
      <c r="O20" s="13">
        <f t="shared" si="1"/>
        <v>4.2870496334305494E-2</v>
      </c>
      <c r="P20" s="12">
        <f t="shared" si="2"/>
        <v>0</v>
      </c>
      <c r="Q20" s="13">
        <f t="shared" si="3"/>
        <v>4.2870496334305494E-2</v>
      </c>
      <c r="R20" s="13">
        <f t="shared" si="4"/>
        <v>1.8378794559497009E-3</v>
      </c>
      <c r="T20" s="14">
        <f t="shared" si="5"/>
        <v>3.5181773029410272E-3</v>
      </c>
      <c r="U20" s="14">
        <f t="shared" si="6"/>
        <v>2.0053610626763856E-2</v>
      </c>
      <c r="V20" s="14">
        <f t="shared" si="7"/>
        <v>1.5479980132940521E-2</v>
      </c>
      <c r="W20" s="14">
        <f t="shared" si="8"/>
        <v>5.2772659544115409E-3</v>
      </c>
      <c r="X20" s="14">
        <f t="shared" si="9"/>
        <v>1.4072709211764109E-3</v>
      </c>
      <c r="Y20" s="12">
        <f t="shared" si="10"/>
        <v>1</v>
      </c>
    </row>
    <row r="21" spans="1:25" x14ac:dyDescent="0.3">
      <c r="A21" s="23"/>
      <c r="B21" s="12">
        <v>17</v>
      </c>
      <c r="C21" s="12">
        <v>5.4</v>
      </c>
      <c r="D21" s="12">
        <v>3.9</v>
      </c>
      <c r="E21" s="12">
        <v>1.3</v>
      </c>
      <c r="F21" s="12">
        <v>0.4</v>
      </c>
      <c r="G21" s="12">
        <v>0</v>
      </c>
      <c r="I21" s="13">
        <f>I20-('Konfigurasi Model'!$B$11*T20)</f>
        <v>0.28059468826278461</v>
      </c>
      <c r="J21" s="13">
        <f>J20-('Konfigurasi Model'!$B$11*U20)</f>
        <v>-0.53857856235519974</v>
      </c>
      <c r="K21" s="13">
        <f>K20-('Konfigurasi Model'!$B$11*V20)</f>
        <v>-0.25283920071923227</v>
      </c>
      <c r="L21" s="13">
        <f>L20-('Konfigurasi Model'!$B$11*W20)</f>
        <v>0.3746936090143142</v>
      </c>
      <c r="M21" s="13">
        <f>M20-('Konfigurasi Model'!$B$11*X20)</f>
        <v>0.5363972309998577</v>
      </c>
      <c r="N21" s="13">
        <f t="shared" si="0"/>
        <v>-2.9121418471417484</v>
      </c>
      <c r="O21" s="13">
        <f t="shared" si="1"/>
        <v>5.155660166152877E-2</v>
      </c>
      <c r="P21" s="12">
        <f t="shared" si="2"/>
        <v>0</v>
      </c>
      <c r="Q21" s="13">
        <f t="shared" si="3"/>
        <v>5.155660166152877E-2</v>
      </c>
      <c r="R21" s="13">
        <f t="shared" si="4"/>
        <v>2.6580831748855512E-3</v>
      </c>
      <c r="T21" s="14">
        <f t="shared" si="5"/>
        <v>5.04208287890953E-3</v>
      </c>
      <c r="U21" s="14">
        <f t="shared" si="6"/>
        <v>2.7227247546111465E-2</v>
      </c>
      <c r="V21" s="14">
        <f t="shared" si="7"/>
        <v>1.9664123227747167E-2</v>
      </c>
      <c r="W21" s="14">
        <f t="shared" si="8"/>
        <v>6.5547077425823896E-3</v>
      </c>
      <c r="X21" s="14">
        <f t="shared" si="9"/>
        <v>2.0168331515638123E-3</v>
      </c>
      <c r="Y21" s="12">
        <f t="shared" si="10"/>
        <v>1</v>
      </c>
    </row>
    <row r="22" spans="1:25" x14ac:dyDescent="0.3">
      <c r="A22" s="23"/>
      <c r="B22" s="12">
        <v>18</v>
      </c>
      <c r="C22" s="12">
        <v>5.0999999999999996</v>
      </c>
      <c r="D22" s="12">
        <v>3.5</v>
      </c>
      <c r="E22" s="12">
        <v>1.4</v>
      </c>
      <c r="F22" s="12">
        <v>0.3</v>
      </c>
      <c r="G22" s="12">
        <v>0</v>
      </c>
      <c r="I22" s="13">
        <f>I21-('Konfigurasi Model'!$B$11*T21)</f>
        <v>0.28009047997489367</v>
      </c>
      <c r="J22" s="13">
        <f>J21-('Konfigurasi Model'!$B$11*U21)</f>
        <v>-0.54130128710981085</v>
      </c>
      <c r="K22" s="13">
        <f>K21-('Konfigurasi Model'!$B$11*V21)</f>
        <v>-0.254805613042007</v>
      </c>
      <c r="L22" s="13">
        <f>L21-('Konfigurasi Model'!$B$11*W21)</f>
        <v>0.37403813824005594</v>
      </c>
      <c r="M22" s="13">
        <f>M21-('Konfigurasi Model'!$B$11*X21)</f>
        <v>0.53619554768470135</v>
      </c>
      <c r="N22" s="13">
        <f t="shared" si="0"/>
        <v>-2.6878536720906769</v>
      </c>
      <c r="O22" s="13">
        <f t="shared" si="1"/>
        <v>6.3693899059380998E-2</v>
      </c>
      <c r="P22" s="12">
        <f t="shared" si="2"/>
        <v>0</v>
      </c>
      <c r="Q22" s="13">
        <f t="shared" si="3"/>
        <v>6.3693899059380998E-2</v>
      </c>
      <c r="R22" s="13">
        <f t="shared" si="4"/>
        <v>4.0569127773866153E-3</v>
      </c>
      <c r="T22" s="14">
        <f t="shared" si="5"/>
        <v>7.5970243689020799E-3</v>
      </c>
      <c r="U22" s="14">
        <f t="shared" si="6"/>
        <v>3.8744824281400601E-2</v>
      </c>
      <c r="V22" s="14">
        <f t="shared" si="7"/>
        <v>2.6589585291157278E-2</v>
      </c>
      <c r="W22" s="14">
        <f t="shared" si="8"/>
        <v>1.0635834116462911E-2</v>
      </c>
      <c r="X22" s="14">
        <f t="shared" si="9"/>
        <v>2.279107310670624E-3</v>
      </c>
      <c r="Y22" s="12">
        <f t="shared" si="10"/>
        <v>1</v>
      </c>
    </row>
    <row r="23" spans="1:25" x14ac:dyDescent="0.3">
      <c r="A23" s="23"/>
      <c r="B23" s="12">
        <v>19</v>
      </c>
      <c r="C23" s="12">
        <v>5.7</v>
      </c>
      <c r="D23" s="12">
        <v>3.8</v>
      </c>
      <c r="E23" s="12">
        <v>1.7</v>
      </c>
      <c r="F23" s="12">
        <v>0.3</v>
      </c>
      <c r="G23" s="12">
        <v>0</v>
      </c>
      <c r="I23" s="13">
        <f>I22-('Konfigurasi Model'!$B$11*T22)</f>
        <v>0.27933077753800345</v>
      </c>
      <c r="J23" s="13">
        <f>J22-('Konfigurasi Model'!$B$11*U22)</f>
        <v>-0.54517576953795088</v>
      </c>
      <c r="K23" s="13">
        <f>K22-('Konfigurasi Model'!$B$11*V22)</f>
        <v>-0.25746457157112274</v>
      </c>
      <c r="L23" s="13">
        <f>L22-('Konfigurasi Model'!$B$11*W22)</f>
        <v>0.37297455482840963</v>
      </c>
      <c r="M23" s="13">
        <f>M22-('Konfigurasi Model'!$B$11*X22)</f>
        <v>0.53596763695363425</v>
      </c>
      <c r="N23" s="13">
        <f t="shared" si="0"/>
        <v>-3.0116894465041959</v>
      </c>
      <c r="O23" s="13">
        <f t="shared" si="1"/>
        <v>4.6900568055252598E-2</v>
      </c>
      <c r="P23" s="12">
        <f t="shared" si="2"/>
        <v>0</v>
      </c>
      <c r="Q23" s="13">
        <f t="shared" si="3"/>
        <v>4.6900568055252598E-2</v>
      </c>
      <c r="R23" s="13">
        <f t="shared" si="4"/>
        <v>2.1996632839053802E-3</v>
      </c>
      <c r="T23" s="14">
        <f t="shared" si="5"/>
        <v>4.1929956527198718E-3</v>
      </c>
      <c r="U23" s="14">
        <f t="shared" si="6"/>
        <v>2.3900075220503268E-2</v>
      </c>
      <c r="V23" s="14">
        <f t="shared" si="7"/>
        <v>1.5933383480335513E-2</v>
      </c>
      <c r="W23" s="14">
        <f t="shared" si="8"/>
        <v>7.1280926096237819E-3</v>
      </c>
      <c r="X23" s="14">
        <f t="shared" si="9"/>
        <v>1.2578986958159614E-3</v>
      </c>
      <c r="Y23" s="12">
        <f t="shared" si="10"/>
        <v>1</v>
      </c>
    </row>
    <row r="24" spans="1:25" x14ac:dyDescent="0.3">
      <c r="A24" s="23"/>
      <c r="B24" s="12">
        <v>20</v>
      </c>
      <c r="C24" s="12">
        <v>5.0999999999999996</v>
      </c>
      <c r="D24" s="12">
        <v>3.8</v>
      </c>
      <c r="E24" s="12">
        <v>1.5</v>
      </c>
      <c r="F24" s="12">
        <v>0.3</v>
      </c>
      <c r="G24" s="12">
        <v>0</v>
      </c>
      <c r="I24" s="13">
        <f>I23-('Konfigurasi Model'!$B$11*T23)</f>
        <v>0.27891147797273147</v>
      </c>
      <c r="J24" s="13">
        <f>J23-('Konfigurasi Model'!$B$11*U23)</f>
        <v>-0.5475657770600012</v>
      </c>
      <c r="K24" s="13">
        <f>K23-('Konfigurasi Model'!$B$11*V23)</f>
        <v>-0.25905790991915628</v>
      </c>
      <c r="L24" s="13">
        <f>L23-('Konfigurasi Model'!$B$11*W23)</f>
        <v>0.37226174556744723</v>
      </c>
      <c r="M24" s="13">
        <f>M23-('Konfigurasi Model'!$B$11*X23)</f>
        <v>0.53584184708405269</v>
      </c>
      <c r="N24" s="13">
        <f t="shared" si="0"/>
        <v>-2.7789488702496814</v>
      </c>
      <c r="O24" s="13">
        <f t="shared" si="1"/>
        <v>5.847239693380489E-2</v>
      </c>
      <c r="P24" s="12">
        <f t="shared" si="2"/>
        <v>0</v>
      </c>
      <c r="Q24" s="13">
        <f t="shared" si="3"/>
        <v>5.847239693380489E-2</v>
      </c>
      <c r="R24" s="13">
        <f t="shared" si="4"/>
        <v>3.4190212031844354E-3</v>
      </c>
      <c r="T24" s="14">
        <f t="shared" si="5"/>
        <v>6.4382056765334801E-3</v>
      </c>
      <c r="U24" s="14">
        <f t="shared" si="6"/>
        <v>3.2834848950320746E-2</v>
      </c>
      <c r="V24" s="14">
        <f t="shared" si="7"/>
        <v>2.4465181570827225E-2</v>
      </c>
      <c r="W24" s="14">
        <f t="shared" si="8"/>
        <v>9.6573085148002197E-3</v>
      </c>
      <c r="X24" s="14">
        <f t="shared" si="9"/>
        <v>1.9314617029600439E-3</v>
      </c>
      <c r="Y24" s="12">
        <f t="shared" si="10"/>
        <v>1</v>
      </c>
    </row>
    <row r="25" spans="1:25" x14ac:dyDescent="0.3">
      <c r="A25" s="23"/>
      <c r="B25" s="12">
        <v>21</v>
      </c>
      <c r="C25" s="12">
        <v>7</v>
      </c>
      <c r="D25" s="12">
        <v>3.2</v>
      </c>
      <c r="E25" s="12">
        <v>4.7</v>
      </c>
      <c r="F25" s="12">
        <v>1.4</v>
      </c>
      <c r="G25" s="12">
        <v>1</v>
      </c>
      <c r="I25" s="13">
        <f>I24-('Konfigurasi Model'!$B$11*T24)</f>
        <v>0.27826765740507814</v>
      </c>
      <c r="J25" s="13">
        <f>J24-('Konfigurasi Model'!$B$11*U24)</f>
        <v>-0.55084926195503325</v>
      </c>
      <c r="K25" s="13">
        <f>K24-('Konfigurasi Model'!$B$11*V24)</f>
        <v>-0.26150442807623903</v>
      </c>
      <c r="L25" s="13">
        <f>L24-('Konfigurasi Model'!$B$11*W24)</f>
        <v>0.37129601471596724</v>
      </c>
      <c r="M25" s="13">
        <f>M24-('Konfigurasi Model'!$B$11*X24)</f>
        <v>0.53564870091375671</v>
      </c>
      <c r="N25" s="13">
        <f t="shared" si="0"/>
        <v>-1.9194918956798139</v>
      </c>
      <c r="O25" s="13">
        <f t="shared" si="1"/>
        <v>0.12791823726352955</v>
      </c>
      <c r="P25" s="12">
        <f t="shared" si="2"/>
        <v>0</v>
      </c>
      <c r="Q25" s="13">
        <f t="shared" si="3"/>
        <v>-0.87208176273647042</v>
      </c>
      <c r="R25" s="13">
        <f t="shared" si="4"/>
        <v>0.76052660089754953</v>
      </c>
      <c r="T25" s="14">
        <f t="shared" si="5"/>
        <v>-0.19457044435767679</v>
      </c>
      <c r="U25" s="14">
        <f t="shared" si="6"/>
        <v>-1.3619931105037375</v>
      </c>
      <c r="V25" s="14">
        <f t="shared" si="7"/>
        <v>-0.62262542194456572</v>
      </c>
      <c r="W25" s="14">
        <f t="shared" si="8"/>
        <v>-0.91448108848108089</v>
      </c>
      <c r="X25" s="14">
        <f t="shared" si="9"/>
        <v>-0.2723986221007475</v>
      </c>
      <c r="Y25" s="12">
        <f t="shared" si="10"/>
        <v>0</v>
      </c>
    </row>
    <row r="26" spans="1:25" x14ac:dyDescent="0.3">
      <c r="A26" s="23"/>
      <c r="B26" s="12">
        <v>22</v>
      </c>
      <c r="C26" s="12">
        <v>6.4</v>
      </c>
      <c r="D26" s="12">
        <v>3.2</v>
      </c>
      <c r="E26" s="12">
        <v>4.5</v>
      </c>
      <c r="F26" s="12">
        <v>1.5</v>
      </c>
      <c r="G26" s="12">
        <v>1</v>
      </c>
      <c r="I26" s="13">
        <f>I25-('Konfigurasi Model'!$B$11*T25)</f>
        <v>0.29772470184084582</v>
      </c>
      <c r="J26" s="13">
        <f>J25-('Konfigurasi Model'!$B$11*U25)</f>
        <v>-0.4146499509046595</v>
      </c>
      <c r="K26" s="13">
        <f>K25-('Konfigurasi Model'!$B$11*V25)</f>
        <v>-0.19924188588178246</v>
      </c>
      <c r="L26" s="13">
        <f>L25-('Konfigurasi Model'!$B$11*W25)</f>
        <v>0.46274412356407535</v>
      </c>
      <c r="M26" s="13">
        <f>M25-('Konfigurasi Model'!$B$11*X25)</f>
        <v>0.56288856312383151</v>
      </c>
      <c r="N26" s="13">
        <f t="shared" si="0"/>
        <v>-6.6927618046592752E-2</v>
      </c>
      <c r="O26" s="13">
        <f t="shared" si="1"/>
        <v>0.48327433830212191</v>
      </c>
      <c r="P26" s="12">
        <f t="shared" si="2"/>
        <v>0</v>
      </c>
      <c r="Q26" s="13">
        <f t="shared" si="3"/>
        <v>-0.51672566169787815</v>
      </c>
      <c r="R26" s="13">
        <f t="shared" si="4"/>
        <v>0.26700540945710999</v>
      </c>
      <c r="T26" s="14">
        <f t="shared" si="5"/>
        <v>-0.25807372515694388</v>
      </c>
      <c r="U26" s="14">
        <f t="shared" si="6"/>
        <v>-1.6516718410044409</v>
      </c>
      <c r="V26" s="14">
        <f t="shared" si="7"/>
        <v>-0.82583592050222043</v>
      </c>
      <c r="W26" s="14">
        <f t="shared" si="8"/>
        <v>-1.1613317632062474</v>
      </c>
      <c r="X26" s="14">
        <f t="shared" si="9"/>
        <v>-0.38711058773541585</v>
      </c>
      <c r="Y26" s="12">
        <f t="shared" si="10"/>
        <v>0</v>
      </c>
    </row>
    <row r="27" spans="1:25" x14ac:dyDescent="0.3">
      <c r="A27" s="23"/>
      <c r="B27" s="12">
        <v>23</v>
      </c>
      <c r="C27" s="12">
        <v>6.9</v>
      </c>
      <c r="D27" s="12">
        <v>3.1</v>
      </c>
      <c r="E27" s="12">
        <v>4.9000000000000004</v>
      </c>
      <c r="F27" s="12">
        <v>1.5</v>
      </c>
      <c r="G27" s="12">
        <v>1</v>
      </c>
      <c r="I27" s="13">
        <f>I26-('Konfigurasi Model'!$B$11*T26)</f>
        <v>0.32353207435654019</v>
      </c>
      <c r="J27" s="13">
        <f>J26-('Konfigurasi Model'!$B$11*U26)</f>
        <v>-0.24948276680421541</v>
      </c>
      <c r="K27" s="13">
        <f>K26-('Konfigurasi Model'!$B$11*V26)</f>
        <v>-0.11665829383156041</v>
      </c>
      <c r="L27" s="13">
        <f>L26-('Konfigurasi Model'!$B$11*W26)</f>
        <v>0.57887729988470005</v>
      </c>
      <c r="M27" s="13">
        <f>M26-('Konfigurasi Model'!$B$11*X26)</f>
        <v>0.60159962189737315</v>
      </c>
      <c r="N27" s="13">
        <f t="shared" si="0"/>
        <v>1.9793584748107067</v>
      </c>
      <c r="O27" s="13">
        <f t="shared" si="1"/>
        <v>0.87861275853745335</v>
      </c>
      <c r="P27" s="12">
        <f t="shared" si="2"/>
        <v>1</v>
      </c>
      <c r="Q27" s="13">
        <f t="shared" si="3"/>
        <v>-0.12138724146254665</v>
      </c>
      <c r="R27" s="13">
        <f t="shared" si="4"/>
        <v>1.4734862389886604E-2</v>
      </c>
      <c r="T27" s="14">
        <f t="shared" si="5"/>
        <v>-2.5892476182096082E-2</v>
      </c>
      <c r="U27" s="14">
        <f t="shared" si="6"/>
        <v>-0.17865808565646299</v>
      </c>
      <c r="V27" s="14">
        <f t="shared" si="7"/>
        <v>-8.0266676164497855E-2</v>
      </c>
      <c r="W27" s="14">
        <f t="shared" si="8"/>
        <v>-0.12687313329227082</v>
      </c>
      <c r="X27" s="14">
        <f t="shared" si="9"/>
        <v>-3.8838714273144122E-2</v>
      </c>
      <c r="Y27" s="12">
        <f t="shared" si="10"/>
        <v>1</v>
      </c>
    </row>
    <row r="28" spans="1:25" x14ac:dyDescent="0.3">
      <c r="A28" s="23"/>
      <c r="B28" s="12">
        <v>24</v>
      </c>
      <c r="C28" s="12">
        <v>5.5</v>
      </c>
      <c r="D28" s="12">
        <v>2.2999999999999998</v>
      </c>
      <c r="E28" s="12">
        <v>4</v>
      </c>
      <c r="F28" s="12">
        <v>1.3</v>
      </c>
      <c r="G28" s="12">
        <v>1</v>
      </c>
      <c r="I28" s="13">
        <f>I27-('Konfigurasi Model'!$B$11*T27)</f>
        <v>0.3261213219747498</v>
      </c>
      <c r="J28" s="13">
        <f>J27-('Konfigurasi Model'!$B$11*U27)</f>
        <v>-0.23161695823856912</v>
      </c>
      <c r="K28" s="13">
        <f>K27-('Konfigurasi Model'!$B$11*V27)</f>
        <v>-0.10863162621511063</v>
      </c>
      <c r="L28" s="13">
        <f>L27-('Konfigurasi Model'!$B$11*W27)</f>
        <v>0.59156461321392717</v>
      </c>
      <c r="M28" s="13">
        <f>M27-('Konfigurasi Model'!$B$11*X27)</f>
        <v>0.60548349332468754</v>
      </c>
      <c r="N28" s="13">
        <f t="shared" si="0"/>
        <v>1.9557623055456679</v>
      </c>
      <c r="O28" s="13">
        <f t="shared" si="1"/>
        <v>0.87607360443743243</v>
      </c>
      <c r="P28" s="12">
        <f t="shared" si="2"/>
        <v>1</v>
      </c>
      <c r="Q28" s="13">
        <f t="shared" si="3"/>
        <v>-0.12392639556256757</v>
      </c>
      <c r="R28" s="13">
        <f t="shared" si="4"/>
        <v>1.5357751517129967E-2</v>
      </c>
      <c r="T28" s="14">
        <f t="shared" si="5"/>
        <v>-2.6909041455332992E-2</v>
      </c>
      <c r="U28" s="14">
        <f t="shared" si="6"/>
        <v>-0.14799972800433145</v>
      </c>
      <c r="V28" s="14">
        <f t="shared" si="7"/>
        <v>-6.1890795347265874E-2</v>
      </c>
      <c r="W28" s="14">
        <f t="shared" si="8"/>
        <v>-0.10763616582133197</v>
      </c>
      <c r="X28" s="14">
        <f t="shared" si="9"/>
        <v>-3.4981753891932893E-2</v>
      </c>
      <c r="Y28" s="12">
        <f t="shared" si="10"/>
        <v>1</v>
      </c>
    </row>
    <row r="29" spans="1:25" x14ac:dyDescent="0.3">
      <c r="A29" s="23"/>
      <c r="B29" s="12">
        <v>25</v>
      </c>
      <c r="C29" s="12">
        <v>6.5</v>
      </c>
      <c r="D29" s="12">
        <v>2.8</v>
      </c>
      <c r="E29" s="12">
        <v>4.5999999999999996</v>
      </c>
      <c r="F29" s="12">
        <v>1.5</v>
      </c>
      <c r="G29" s="12">
        <v>1</v>
      </c>
      <c r="I29" s="13">
        <f>I28-('Konfigurasi Model'!$B$11*T28)</f>
        <v>0.3288122261202831</v>
      </c>
      <c r="J29" s="13">
        <f>J28-('Konfigurasi Model'!$B$11*U28)</f>
        <v>-0.21681698543813599</v>
      </c>
      <c r="K29" s="13">
        <f>K28-('Konfigurasi Model'!$B$11*V28)</f>
        <v>-0.10244254668038405</v>
      </c>
      <c r="L29" s="13">
        <f>L28-('Konfigurasi Model'!$B$11*W28)</f>
        <v>0.60232822979606038</v>
      </c>
      <c r="M29" s="13">
        <f>M28-('Konfigurasi Model'!$B$11*X28)</f>
        <v>0.60898166871388082</v>
      </c>
      <c r="N29" s="13">
        <f t="shared" si="0"/>
        <v>2.3168450502000226</v>
      </c>
      <c r="O29" s="13">
        <f t="shared" si="1"/>
        <v>0.91026256311367315</v>
      </c>
      <c r="P29" s="12">
        <f t="shared" si="2"/>
        <v>1</v>
      </c>
      <c r="Q29" s="13">
        <f t="shared" si="3"/>
        <v>-8.9737436886326849E-2</v>
      </c>
      <c r="R29" s="13">
        <f t="shared" si="4"/>
        <v>8.0528075789274949E-3</v>
      </c>
      <c r="T29" s="14">
        <f t="shared" si="5"/>
        <v>-1.4660338534111509E-2</v>
      </c>
      <c r="U29" s="14">
        <f t="shared" si="6"/>
        <v>-9.5292200471724806E-2</v>
      </c>
      <c r="V29" s="14">
        <f t="shared" si="7"/>
        <v>-4.1048947895512222E-2</v>
      </c>
      <c r="W29" s="14">
        <f t="shared" si="8"/>
        <v>-6.7437557256912931E-2</v>
      </c>
      <c r="X29" s="14">
        <f t="shared" si="9"/>
        <v>-2.1990507801167264E-2</v>
      </c>
      <c r="Y29" s="12">
        <f t="shared" si="10"/>
        <v>1</v>
      </c>
    </row>
    <row r="30" spans="1:25" x14ac:dyDescent="0.3">
      <c r="A30" s="23"/>
      <c r="B30" s="12">
        <v>26</v>
      </c>
      <c r="C30" s="12">
        <v>5.7</v>
      </c>
      <c r="D30" s="12">
        <v>2.8</v>
      </c>
      <c r="E30" s="12">
        <v>4.5</v>
      </c>
      <c r="F30" s="12">
        <v>1.3</v>
      </c>
      <c r="G30" s="12">
        <v>1</v>
      </c>
      <c r="I30" s="13">
        <f>I29-('Konfigurasi Model'!$B$11*T29)</f>
        <v>0.33027825997369425</v>
      </c>
      <c r="J30" s="13">
        <f>J29-('Konfigurasi Model'!$B$11*U29)</f>
        <v>-0.2072877653909635</v>
      </c>
      <c r="K30" s="13">
        <f>K29-('Konfigurasi Model'!$B$11*V29)</f>
        <v>-9.8337651890832822E-2</v>
      </c>
      <c r="L30" s="13">
        <f>L29-('Konfigurasi Model'!$B$11*W29)</f>
        <v>0.60907198552175168</v>
      </c>
      <c r="M30" s="13">
        <f>M29-('Konfigurasi Model'!$B$11*X29)</f>
        <v>0.61118071949399755</v>
      </c>
      <c r="N30" s="13">
        <f t="shared" si="0"/>
        <v>2.4087514421409497</v>
      </c>
      <c r="O30" s="13">
        <f t="shared" si="1"/>
        <v>0.91749221498386657</v>
      </c>
      <c r="P30" s="12">
        <f t="shared" si="2"/>
        <v>1</v>
      </c>
      <c r="Q30" s="13">
        <f t="shared" si="3"/>
        <v>-8.2507785016133428E-2</v>
      </c>
      <c r="R30" s="13">
        <f t="shared" si="4"/>
        <v>6.8075345882684917E-3</v>
      </c>
      <c r="T30" s="14">
        <f t="shared" si="5"/>
        <v>-1.2491719975939486E-2</v>
      </c>
      <c r="U30" s="14">
        <f t="shared" si="6"/>
        <v>-7.1202803862855074E-2</v>
      </c>
      <c r="V30" s="14">
        <f t="shared" si="7"/>
        <v>-3.4976815932630557E-2</v>
      </c>
      <c r="W30" s="14">
        <f t="shared" si="8"/>
        <v>-5.6212739891727682E-2</v>
      </c>
      <c r="X30" s="14">
        <f t="shared" si="9"/>
        <v>-1.6239235968721333E-2</v>
      </c>
      <c r="Y30" s="12">
        <f t="shared" si="10"/>
        <v>1</v>
      </c>
    </row>
    <row r="31" spans="1:25" x14ac:dyDescent="0.3">
      <c r="A31" s="23"/>
      <c r="B31" s="12">
        <v>27</v>
      </c>
      <c r="C31" s="12">
        <v>6.3</v>
      </c>
      <c r="D31" s="12">
        <v>3.3</v>
      </c>
      <c r="E31" s="12">
        <v>4.7</v>
      </c>
      <c r="F31" s="12">
        <v>1.6</v>
      </c>
      <c r="G31" s="12">
        <v>1</v>
      </c>
      <c r="I31" s="13">
        <f>I30-('Konfigurasi Model'!$B$11*T30)</f>
        <v>0.3315274319712882</v>
      </c>
      <c r="J31" s="13">
        <f>J30-('Konfigurasi Model'!$B$11*U30)</f>
        <v>-0.20016748500467799</v>
      </c>
      <c r="K31" s="13">
        <f>K30-('Konfigurasi Model'!$B$11*V30)</f>
        <v>-9.483997029756977E-2</v>
      </c>
      <c r="L31" s="13">
        <f>L30-('Konfigurasi Model'!$B$11*W30)</f>
        <v>0.61469325951092446</v>
      </c>
      <c r="M31" s="13">
        <f>M30-('Konfigurasi Model'!$B$11*X30)</f>
        <v>0.61280464309086968</v>
      </c>
      <c r="N31" s="13">
        <f t="shared" si="0"/>
        <v>2.6270461231065729</v>
      </c>
      <c r="O31" s="13">
        <f t="shared" si="1"/>
        <v>0.93258206817773082</v>
      </c>
      <c r="P31" s="12">
        <f t="shared" si="2"/>
        <v>1</v>
      </c>
      <c r="Q31" s="13">
        <f t="shared" si="3"/>
        <v>-6.7417931822269184E-2</v>
      </c>
      <c r="R31" s="13">
        <f t="shared" si="4"/>
        <v>4.5451775311921355E-3</v>
      </c>
      <c r="T31" s="14">
        <f t="shared" si="5"/>
        <v>-8.477502124548229E-3</v>
      </c>
      <c r="U31" s="14">
        <f t="shared" si="6"/>
        <v>-5.3408263384653841E-2</v>
      </c>
      <c r="V31" s="14">
        <f t="shared" si="7"/>
        <v>-2.7975757011009156E-2</v>
      </c>
      <c r="W31" s="14">
        <f t="shared" si="8"/>
        <v>-3.9844259985376676E-2</v>
      </c>
      <c r="X31" s="14">
        <f t="shared" si="9"/>
        <v>-1.3564003399277167E-2</v>
      </c>
      <c r="Y31" s="12">
        <f t="shared" si="10"/>
        <v>1</v>
      </c>
    </row>
    <row r="32" spans="1:25" x14ac:dyDescent="0.3">
      <c r="A32" s="23"/>
      <c r="B32" s="12">
        <v>28</v>
      </c>
      <c r="C32" s="12">
        <v>4.9000000000000004</v>
      </c>
      <c r="D32" s="12">
        <v>2.4</v>
      </c>
      <c r="E32" s="12">
        <v>3.3</v>
      </c>
      <c r="F32" s="12">
        <v>1</v>
      </c>
      <c r="G32" s="12">
        <v>1</v>
      </c>
      <c r="I32" s="13">
        <f>I31-('Konfigurasi Model'!$B$11*T31)</f>
        <v>0.33237518218374301</v>
      </c>
      <c r="J32" s="13">
        <f>J31-('Konfigurasi Model'!$B$11*U31)</f>
        <v>-0.1948266586662126</v>
      </c>
      <c r="K32" s="13">
        <f>K31-('Konfigurasi Model'!$B$11*V31)</f>
        <v>-9.204239459646886E-2</v>
      </c>
      <c r="L32" s="13">
        <f>L31-('Konfigurasi Model'!$B$11*W31)</f>
        <v>0.61867768550946212</v>
      </c>
      <c r="M32" s="13">
        <f>M31-('Konfigurasi Model'!$B$11*X31)</f>
        <v>0.61416104343079736</v>
      </c>
      <c r="N32" s="13">
        <f t="shared" si="0"/>
        <v>1.8126202132997982</v>
      </c>
      <c r="O32" s="13">
        <f t="shared" si="1"/>
        <v>0.85967825265417908</v>
      </c>
      <c r="P32" s="12">
        <f t="shared" si="2"/>
        <v>1</v>
      </c>
      <c r="Q32" s="13">
        <f t="shared" si="3"/>
        <v>-0.14032174734582092</v>
      </c>
      <c r="R32" s="13">
        <f t="shared" si="4"/>
        <v>1.9690192778184401E-2</v>
      </c>
      <c r="T32" s="14">
        <f t="shared" si="5"/>
        <v>-3.3854461043947001E-2</v>
      </c>
      <c r="U32" s="14">
        <f t="shared" si="6"/>
        <v>-0.16588685911534032</v>
      </c>
      <c r="V32" s="14">
        <f t="shared" si="7"/>
        <v>-8.1250706505472794E-2</v>
      </c>
      <c r="W32" s="14">
        <f t="shared" si="8"/>
        <v>-0.11171972144502509</v>
      </c>
      <c r="X32" s="14">
        <f t="shared" si="9"/>
        <v>-3.3854461043947001E-2</v>
      </c>
      <c r="Y32" s="12">
        <f t="shared" si="10"/>
        <v>1</v>
      </c>
    </row>
    <row r="33" spans="1:25" x14ac:dyDescent="0.3">
      <c r="A33" s="23"/>
      <c r="B33" s="12">
        <v>29</v>
      </c>
      <c r="C33" s="12">
        <v>6.6</v>
      </c>
      <c r="D33" s="12">
        <v>2.9</v>
      </c>
      <c r="E33" s="12">
        <v>4.5999999999999996</v>
      </c>
      <c r="F33" s="12">
        <v>1.3</v>
      </c>
      <c r="G33" s="12">
        <v>1</v>
      </c>
      <c r="I33" s="13">
        <f>I32-('Konfigurasi Model'!$B$11*T32)</f>
        <v>0.33576062828813769</v>
      </c>
      <c r="J33" s="13">
        <f>J32-('Konfigurasi Model'!$B$11*U32)</f>
        <v>-0.17823797275467856</v>
      </c>
      <c r="K33" s="13">
        <f>K32-('Konfigurasi Model'!$B$11*V32)</f>
        <v>-8.3917323945921579E-2</v>
      </c>
      <c r="L33" s="13">
        <f>L32-('Konfigurasi Model'!$B$11*W32)</f>
        <v>0.62984965765396461</v>
      </c>
      <c r="M33" s="13">
        <f>M32-('Konfigurasi Model'!$B$11*X32)</f>
        <v>0.61754648953519209</v>
      </c>
      <c r="N33" s="13">
        <f t="shared" si="0"/>
        <v>2.6161486302680732</v>
      </c>
      <c r="O33" s="13">
        <f t="shared" si="1"/>
        <v>0.93189367447140137</v>
      </c>
      <c r="P33" s="12">
        <f t="shared" si="2"/>
        <v>1</v>
      </c>
      <c r="Q33" s="13">
        <f t="shared" si="3"/>
        <v>-6.8106325528598632E-2</v>
      </c>
      <c r="R33" s="13">
        <f t="shared" si="4"/>
        <v>4.6384715770074461E-3</v>
      </c>
      <c r="T33" s="14">
        <f t="shared" si="5"/>
        <v>-8.6451246436572496E-3</v>
      </c>
      <c r="U33" s="14">
        <f t="shared" si="6"/>
        <v>-5.7057822648137843E-2</v>
      </c>
      <c r="V33" s="14">
        <f t="shared" si="7"/>
        <v>-2.5070861466606024E-2</v>
      </c>
      <c r="W33" s="14">
        <f t="shared" si="8"/>
        <v>-3.9767573360823344E-2</v>
      </c>
      <c r="X33" s="14">
        <f t="shared" si="9"/>
        <v>-1.1238662036754424E-2</v>
      </c>
      <c r="Y33" s="12">
        <f t="shared" si="10"/>
        <v>1</v>
      </c>
    </row>
    <row r="34" spans="1:25" x14ac:dyDescent="0.3">
      <c r="A34" s="23"/>
      <c r="B34" s="12">
        <v>30</v>
      </c>
      <c r="C34" s="12">
        <v>5.2</v>
      </c>
      <c r="D34" s="12">
        <v>2.7</v>
      </c>
      <c r="E34" s="12">
        <v>3.9</v>
      </c>
      <c r="F34" s="12">
        <v>1.4</v>
      </c>
      <c r="G34" s="12">
        <v>1</v>
      </c>
      <c r="I34" s="13">
        <f>I33-('Konfigurasi Model'!$B$11*T33)</f>
        <v>0.33662514075250344</v>
      </c>
      <c r="J34" s="13">
        <f>J33-('Konfigurasi Model'!$B$11*U33)</f>
        <v>-0.17253219048986479</v>
      </c>
      <c r="K34" s="13">
        <f>K33-('Konfigurasi Model'!$B$11*V33)</f>
        <v>-8.1410237799260973E-2</v>
      </c>
      <c r="L34" s="13">
        <f>L33-('Konfigurasi Model'!$B$11*W33)</f>
        <v>0.63382641499004699</v>
      </c>
      <c r="M34" s="13">
        <f>M33-('Konfigurasi Model'!$B$11*X33)</f>
        <v>0.61867035573886753</v>
      </c>
      <c r="N34" s="13">
        <f t="shared" si="0"/>
        <v>2.5577116246427996</v>
      </c>
      <c r="O34" s="13">
        <f t="shared" si="1"/>
        <v>0.9280898832678065</v>
      </c>
      <c r="P34" s="12">
        <f t="shared" si="2"/>
        <v>1</v>
      </c>
      <c r="Q34" s="13">
        <f t="shared" si="3"/>
        <v>-7.1910116732193496E-2</v>
      </c>
      <c r="R34" s="13">
        <f t="shared" si="4"/>
        <v>5.1710648884376953E-3</v>
      </c>
      <c r="T34" s="14">
        <f t="shared" si="5"/>
        <v>-9.5984260173607866E-3</v>
      </c>
      <c r="U34" s="14">
        <f t="shared" si="6"/>
        <v>-4.9911815290276093E-2</v>
      </c>
      <c r="V34" s="14">
        <f t="shared" si="7"/>
        <v>-2.5915750246874127E-2</v>
      </c>
      <c r="W34" s="14">
        <f t="shared" si="8"/>
        <v>-3.7433861467707066E-2</v>
      </c>
      <c r="X34" s="14">
        <f t="shared" si="9"/>
        <v>-1.34377964243051E-2</v>
      </c>
      <c r="Y34" s="12">
        <f t="shared" si="10"/>
        <v>1</v>
      </c>
    </row>
    <row r="35" spans="1:25" x14ac:dyDescent="0.3">
      <c r="A35" s="23"/>
      <c r="B35" s="12">
        <v>31</v>
      </c>
      <c r="C35" s="12">
        <v>5</v>
      </c>
      <c r="D35" s="12">
        <v>2</v>
      </c>
      <c r="E35" s="12">
        <v>3.5</v>
      </c>
      <c r="F35" s="12">
        <v>1</v>
      </c>
      <c r="G35" s="12">
        <v>1</v>
      </c>
      <c r="I35" s="13">
        <f>I34-('Konfigurasi Model'!$B$11*T34)</f>
        <v>0.33758498335423953</v>
      </c>
      <c r="J35" s="13">
        <f>J34-('Konfigurasi Model'!$B$11*U34)</f>
        <v>-0.16754100896083718</v>
      </c>
      <c r="K35" s="13">
        <f>K34-('Konfigurasi Model'!$B$11*V34)</f>
        <v>-7.8818662774573556E-2</v>
      </c>
      <c r="L35" s="13">
        <f>L34-('Konfigurasi Model'!$B$11*W34)</f>
        <v>0.63756980113681772</v>
      </c>
      <c r="M35" s="13">
        <f>M34-('Konfigurasi Model'!$B$11*X34)</f>
        <v>0.62001413538129801</v>
      </c>
      <c r="N35" s="13">
        <f t="shared" si="0"/>
        <v>2.1937510523610668</v>
      </c>
      <c r="O35" s="13">
        <f t="shared" si="1"/>
        <v>0.89968694810956962</v>
      </c>
      <c r="P35" s="12">
        <f t="shared" si="2"/>
        <v>1</v>
      </c>
      <c r="Q35" s="13">
        <f t="shared" si="3"/>
        <v>-0.10031305189043038</v>
      </c>
      <c r="R35" s="13">
        <f t="shared" si="4"/>
        <v>1.0062708379572179E-2</v>
      </c>
      <c r="T35" s="14">
        <f t="shared" si="5"/>
        <v>-1.8106574783467774E-2</v>
      </c>
      <c r="U35" s="14">
        <f t="shared" si="6"/>
        <v>-9.0532873917338871E-2</v>
      </c>
      <c r="V35" s="14">
        <f t="shared" si="7"/>
        <v>-3.6213149566935547E-2</v>
      </c>
      <c r="W35" s="14">
        <f t="shared" si="8"/>
        <v>-6.3373011742137206E-2</v>
      </c>
      <c r="X35" s="14">
        <f t="shared" si="9"/>
        <v>-1.8106574783467774E-2</v>
      </c>
      <c r="Y35" s="12">
        <f t="shared" si="10"/>
        <v>1</v>
      </c>
    </row>
    <row r="36" spans="1:25" x14ac:dyDescent="0.3">
      <c r="A36" s="23"/>
      <c r="B36" s="12">
        <v>32</v>
      </c>
      <c r="C36" s="12">
        <v>5.9</v>
      </c>
      <c r="D36" s="12">
        <v>3</v>
      </c>
      <c r="E36" s="12">
        <v>4.2</v>
      </c>
      <c r="F36" s="12">
        <v>1.5</v>
      </c>
      <c r="G36" s="12">
        <v>1</v>
      </c>
      <c r="I36" s="13">
        <f>I35-('Konfigurasi Model'!$B$11*T35)</f>
        <v>0.33939564083258633</v>
      </c>
      <c r="J36" s="13">
        <f>J35-('Konfigurasi Model'!$B$11*U35)</f>
        <v>-0.15848772156910329</v>
      </c>
      <c r="K36" s="13">
        <f>K35-('Konfigurasi Model'!$B$11*V35)</f>
        <v>-7.5197347817879998E-2</v>
      </c>
      <c r="L36" s="13">
        <f>L35-('Konfigurasi Model'!$B$11*W35)</f>
        <v>0.64390710231103143</v>
      </c>
      <c r="M36" s="13">
        <f>M35-('Konfigurasi Model'!$B$11*X35)</f>
        <v>0.62182479285964476</v>
      </c>
      <c r="N36" s="13">
        <f t="shared" si="0"/>
        <v>2.8158730591170364</v>
      </c>
      <c r="O36" s="13">
        <f t="shared" si="1"/>
        <v>0.9435275715029523</v>
      </c>
      <c r="P36" s="12">
        <f t="shared" si="2"/>
        <v>1</v>
      </c>
      <c r="Q36" s="13">
        <f t="shared" si="3"/>
        <v>-5.64724284970477E-2</v>
      </c>
      <c r="R36" s="13">
        <f t="shared" si="4"/>
        <v>3.1891351803541653E-3</v>
      </c>
      <c r="T36" s="14">
        <f t="shared" si="5"/>
        <v>-6.018073943828391E-3</v>
      </c>
      <c r="U36" s="14">
        <f t="shared" si="6"/>
        <v>-3.5506636268587508E-2</v>
      </c>
      <c r="V36" s="14">
        <f t="shared" si="7"/>
        <v>-1.8054221831485175E-2</v>
      </c>
      <c r="W36" s="14">
        <f t="shared" si="8"/>
        <v>-2.5275910564079244E-2</v>
      </c>
      <c r="X36" s="14">
        <f t="shared" si="9"/>
        <v>-9.0271109157425873E-3</v>
      </c>
      <c r="Y36" s="12">
        <f t="shared" si="10"/>
        <v>1</v>
      </c>
    </row>
    <row r="37" spans="1:25" x14ac:dyDescent="0.3">
      <c r="A37" s="23"/>
      <c r="B37" s="12">
        <v>33</v>
      </c>
      <c r="C37" s="12">
        <v>6</v>
      </c>
      <c r="D37" s="12">
        <v>2.2000000000000002</v>
      </c>
      <c r="E37" s="12">
        <v>4</v>
      </c>
      <c r="F37" s="12">
        <v>1</v>
      </c>
      <c r="G37" s="12">
        <v>1</v>
      </c>
      <c r="I37" s="13">
        <f>I36-('Konfigurasi Model'!$B$11*T36)</f>
        <v>0.33999744822696915</v>
      </c>
      <c r="J37" s="13">
        <f>J36-('Konfigurasi Model'!$B$11*U36)</f>
        <v>-0.15493705794224455</v>
      </c>
      <c r="K37" s="13">
        <f>K36-('Konfigurasi Model'!$B$11*V36)</f>
        <v>-7.3391925634731486E-2</v>
      </c>
      <c r="L37" s="13">
        <f>L36-('Konfigurasi Model'!$B$11*W36)</f>
        <v>0.64643469336743931</v>
      </c>
      <c r="M37" s="13">
        <f>M36-('Konfigurasi Model'!$B$11*X36)</f>
        <v>0.62272750395121901</v>
      </c>
      <c r="N37" s="13">
        <f t="shared" ref="N37:N68" si="11">I37+J37*C37+K37*D37+L37*E37+M37*F37</f>
        <v>2.4573791415980688</v>
      </c>
      <c r="O37" s="13">
        <f t="shared" ref="O37:O68" si="12">1/(1+EXP(-N37))</f>
        <v>0.92109940126344658</v>
      </c>
      <c r="P37" s="12">
        <f t="shared" ref="P37:P68" si="13">IF(O37&gt;0.5,1,0)</f>
        <v>1</v>
      </c>
      <c r="Q37" s="13">
        <f t="shared" ref="Q37:Q68" si="14">O37-G37</f>
        <v>-7.8900598736553418E-2</v>
      </c>
      <c r="R37" s="13">
        <f t="shared" ref="R37:R68" si="15">Q37^2</f>
        <v>6.2253044809866152E-3</v>
      </c>
      <c r="T37" s="14">
        <f t="shared" ref="T37:T68" si="16">2*(O37-G37)*(1-O37)*O37</f>
        <v>-1.1468248460238844E-2</v>
      </c>
      <c r="U37" s="14">
        <f t="shared" ref="U37:U68" si="17">2*(O37-G37)*(1-O37)*O37*C37</f>
        <v>-6.8809490761433056E-2</v>
      </c>
      <c r="V37" s="14">
        <f t="shared" ref="V37:V68" si="18">2*(O37-G37)*(1-O37)*O37*D37</f>
        <v>-2.5230146612525459E-2</v>
      </c>
      <c r="W37" s="14">
        <f t="shared" ref="W37:W68" si="19">2*(O37-G37)*(1-O37)*O37*E37</f>
        <v>-4.5872993840955376E-2</v>
      </c>
      <c r="X37" s="14">
        <f t="shared" ref="X37:X68" si="20">2*(O37-G37)*(1-O37)*O37*F37</f>
        <v>-1.1468248460238844E-2</v>
      </c>
      <c r="Y37" s="12">
        <f t="shared" ref="Y37:Y68" si="21">IF(P37=G37,1,0)</f>
        <v>1</v>
      </c>
    </row>
    <row r="38" spans="1:25" x14ac:dyDescent="0.3">
      <c r="A38" s="23"/>
      <c r="B38" s="12">
        <v>34</v>
      </c>
      <c r="C38" s="12">
        <v>6.1</v>
      </c>
      <c r="D38" s="12">
        <v>2.9</v>
      </c>
      <c r="E38" s="12">
        <v>4.7</v>
      </c>
      <c r="F38" s="12">
        <v>1.4</v>
      </c>
      <c r="G38" s="12">
        <v>1</v>
      </c>
      <c r="I38" s="13">
        <f>I37-('Konfigurasi Model'!$B$11*T37)</f>
        <v>0.34114427307299305</v>
      </c>
      <c r="J38" s="13">
        <f>J37-('Konfigurasi Model'!$B$11*U37)</f>
        <v>-0.14805610886610124</v>
      </c>
      <c r="K38" s="13">
        <f>K37-('Konfigurasi Model'!$B$11*V37)</f>
        <v>-7.0868910973478944E-2</v>
      </c>
      <c r="L38" s="13">
        <f>L37-('Konfigurasi Model'!$B$11*W37)</f>
        <v>0.65102199275153483</v>
      </c>
      <c r="M38" s="13">
        <f>M37-('Konfigurasi Model'!$B$11*X37)</f>
        <v>0.62387432879724292</v>
      </c>
      <c r="N38" s="13">
        <f t="shared" si="11"/>
        <v>3.1657095934150408</v>
      </c>
      <c r="O38" s="13">
        <f t="shared" si="12"/>
        <v>0.95952328037491197</v>
      </c>
      <c r="P38" s="12">
        <f t="shared" si="13"/>
        <v>1</v>
      </c>
      <c r="Q38" s="13">
        <f t="shared" si="14"/>
        <v>-4.0476719625088031E-2</v>
      </c>
      <c r="R38" s="13">
        <f t="shared" si="15"/>
        <v>1.6383648316079865E-3</v>
      </c>
      <c r="T38" s="14">
        <f t="shared" si="16"/>
        <v>-3.1440983953507709E-3</v>
      </c>
      <c r="U38" s="14">
        <f t="shared" si="17"/>
        <v>-1.91790002116397E-2</v>
      </c>
      <c r="V38" s="14">
        <f t="shared" si="18"/>
        <v>-9.117885346517236E-3</v>
      </c>
      <c r="W38" s="14">
        <f t="shared" si="19"/>
        <v>-1.4777262458148624E-2</v>
      </c>
      <c r="X38" s="14">
        <f t="shared" si="20"/>
        <v>-4.4017377534910787E-3</v>
      </c>
      <c r="Y38" s="12">
        <f t="shared" si="21"/>
        <v>1</v>
      </c>
    </row>
    <row r="39" spans="1:25" x14ac:dyDescent="0.3">
      <c r="A39" s="23"/>
      <c r="B39" s="12">
        <v>35</v>
      </c>
      <c r="C39" s="12">
        <v>5.6</v>
      </c>
      <c r="D39" s="12">
        <v>2.9</v>
      </c>
      <c r="E39" s="12">
        <v>3.6</v>
      </c>
      <c r="F39" s="12">
        <v>1.3</v>
      </c>
      <c r="G39" s="12">
        <v>1</v>
      </c>
      <c r="I39" s="13">
        <f>I38-('Konfigurasi Model'!$B$11*T38)</f>
        <v>0.34145868291252812</v>
      </c>
      <c r="J39" s="13">
        <f>J38-('Konfigurasi Model'!$B$11*U38)</f>
        <v>-0.14613820884493728</v>
      </c>
      <c r="K39" s="13">
        <f>K38-('Konfigurasi Model'!$B$11*V38)</f>
        <v>-6.9957122438827221E-2</v>
      </c>
      <c r="L39" s="13">
        <f>L38-('Konfigurasi Model'!$B$11*W38)</f>
        <v>0.65249971899734971</v>
      </c>
      <c r="M39" s="13">
        <f>M38-('Konfigurasi Model'!$B$11*X38)</f>
        <v>0.62431450257259202</v>
      </c>
      <c r="N39" s="13">
        <f t="shared" si="11"/>
        <v>2.4808169000431093</v>
      </c>
      <c r="O39" s="13">
        <f t="shared" si="12"/>
        <v>0.92278602371381668</v>
      </c>
      <c r="P39" s="12">
        <f t="shared" si="13"/>
        <v>1</v>
      </c>
      <c r="Q39" s="13">
        <f t="shared" si="14"/>
        <v>-7.7213976286183317E-2</v>
      </c>
      <c r="R39" s="13">
        <f t="shared" si="15"/>
        <v>5.9619981339232792E-3</v>
      </c>
      <c r="T39" s="14">
        <f t="shared" si="16"/>
        <v>-1.1003297102784516E-2</v>
      </c>
      <c r="U39" s="14">
        <f t="shared" si="17"/>
        <v>-6.1618463775593282E-2</v>
      </c>
      <c r="V39" s="14">
        <f t="shared" si="18"/>
        <v>-3.1909561598075092E-2</v>
      </c>
      <c r="W39" s="14">
        <f t="shared" si="19"/>
        <v>-3.9611869570024258E-2</v>
      </c>
      <c r="X39" s="14">
        <f t="shared" si="20"/>
        <v>-1.4304286233619871E-2</v>
      </c>
      <c r="Y39" s="12">
        <f t="shared" si="21"/>
        <v>1</v>
      </c>
    </row>
    <row r="40" spans="1:25" x14ac:dyDescent="0.3">
      <c r="A40" s="23"/>
      <c r="B40" s="12">
        <v>36</v>
      </c>
      <c r="C40" s="12">
        <v>6.7</v>
      </c>
      <c r="D40" s="12">
        <v>3.1</v>
      </c>
      <c r="E40" s="12">
        <v>4.4000000000000004</v>
      </c>
      <c r="F40" s="12">
        <v>1.4</v>
      </c>
      <c r="G40" s="12">
        <v>1</v>
      </c>
      <c r="I40" s="13">
        <f>I39-('Konfigurasi Model'!$B$11*T39)</f>
        <v>0.34255901262280658</v>
      </c>
      <c r="J40" s="13">
        <f>J39-('Konfigurasi Model'!$B$11*U39)</f>
        <v>-0.13997636246737796</v>
      </c>
      <c r="K40" s="13">
        <f>K39-('Konfigurasi Model'!$B$11*V39)</f>
        <v>-6.6766166279019712E-2</v>
      </c>
      <c r="L40" s="13">
        <f>L39-('Konfigurasi Model'!$B$11*W39)</f>
        <v>0.65646090595435214</v>
      </c>
      <c r="M40" s="13">
        <f>M39-('Konfigurasi Model'!$B$11*X39)</f>
        <v>0.62574493119595398</v>
      </c>
      <c r="N40" s="13">
        <f t="shared" si="11"/>
        <v>2.9622131584998979</v>
      </c>
      <c r="O40" s="13">
        <f t="shared" si="12"/>
        <v>0.95083755240539647</v>
      </c>
      <c r="P40" s="12">
        <f t="shared" si="13"/>
        <v>1</v>
      </c>
      <c r="Q40" s="13">
        <f t="shared" si="14"/>
        <v>-4.9162447594603531E-2</v>
      </c>
      <c r="R40" s="13">
        <f t="shared" si="15"/>
        <v>2.4169462534921384E-3</v>
      </c>
      <c r="T40" s="14">
        <f t="shared" si="16"/>
        <v>-4.5962465199317157E-3</v>
      </c>
      <c r="U40" s="14">
        <f t="shared" si="17"/>
        <v>-3.0794851683542495E-2</v>
      </c>
      <c r="V40" s="14">
        <f t="shared" si="18"/>
        <v>-1.4248364211788319E-2</v>
      </c>
      <c r="W40" s="14">
        <f t="shared" si="19"/>
        <v>-2.022348468769955E-2</v>
      </c>
      <c r="X40" s="14">
        <f t="shared" si="20"/>
        <v>-6.4347451279044019E-3</v>
      </c>
      <c r="Y40" s="12">
        <f t="shared" si="21"/>
        <v>1</v>
      </c>
    </row>
    <row r="41" spans="1:25" x14ac:dyDescent="0.3">
      <c r="A41" s="23"/>
      <c r="B41" s="12">
        <v>37</v>
      </c>
      <c r="C41" s="12">
        <v>5.6</v>
      </c>
      <c r="D41" s="12">
        <v>3</v>
      </c>
      <c r="E41" s="12">
        <v>4.5</v>
      </c>
      <c r="F41" s="12">
        <v>1.5</v>
      </c>
      <c r="G41" s="12">
        <v>1</v>
      </c>
      <c r="I41" s="13">
        <f>I40-('Konfigurasi Model'!$B$11*T40)</f>
        <v>0.34301863727479975</v>
      </c>
      <c r="J41" s="13">
        <f>J40-('Konfigurasi Model'!$B$11*U40)</f>
        <v>-0.13689687729902372</v>
      </c>
      <c r="K41" s="13">
        <f>K40-('Konfigurasi Model'!$B$11*V40)</f>
        <v>-6.5341329857840885E-2</v>
      </c>
      <c r="L41" s="13">
        <f>L40-('Konfigurasi Model'!$B$11*W40)</f>
        <v>0.65848325442312206</v>
      </c>
      <c r="M41" s="13">
        <f>M40-('Konfigurasi Model'!$B$11*X40)</f>
        <v>0.62638840570874443</v>
      </c>
      <c r="N41" s="13">
        <f t="shared" si="11"/>
        <v>3.2831293882939105</v>
      </c>
      <c r="O41" s="13">
        <f t="shared" si="12"/>
        <v>0.96384549297557076</v>
      </c>
      <c r="P41" s="12">
        <f t="shared" si="13"/>
        <v>1</v>
      </c>
      <c r="Q41" s="13">
        <f t="shared" si="14"/>
        <v>-3.6154507024429239E-2</v>
      </c>
      <c r="R41" s="13">
        <f t="shared" si="15"/>
        <v>1.3071483781795031E-3</v>
      </c>
      <c r="T41" s="14">
        <f t="shared" si="16"/>
        <v>-2.519778145917282E-3</v>
      </c>
      <c r="U41" s="14">
        <f t="shared" si="17"/>
        <v>-1.4110757617136779E-2</v>
      </c>
      <c r="V41" s="14">
        <f t="shared" si="18"/>
        <v>-7.5593344377518461E-3</v>
      </c>
      <c r="W41" s="14">
        <f t="shared" si="19"/>
        <v>-1.1339001656627769E-2</v>
      </c>
      <c r="X41" s="14">
        <f t="shared" si="20"/>
        <v>-3.779667218875923E-3</v>
      </c>
      <c r="Y41" s="12">
        <f t="shared" si="21"/>
        <v>1</v>
      </c>
    </row>
    <row r="42" spans="1:25" x14ac:dyDescent="0.3">
      <c r="A42" s="23"/>
      <c r="B42" s="12">
        <v>38</v>
      </c>
      <c r="C42" s="12">
        <v>5.8</v>
      </c>
      <c r="D42" s="12">
        <v>2.7</v>
      </c>
      <c r="E42" s="12">
        <v>4.0999999999999996</v>
      </c>
      <c r="F42" s="12">
        <v>1</v>
      </c>
      <c r="G42" s="12">
        <v>1</v>
      </c>
      <c r="I42" s="13">
        <f>I41-('Konfigurasi Model'!$B$11*T41)</f>
        <v>0.3432706150893915</v>
      </c>
      <c r="J42" s="13">
        <f>J41-('Konfigurasi Model'!$B$11*U41)</f>
        <v>-0.13548580153731005</v>
      </c>
      <c r="K42" s="13">
        <f>K41-('Konfigurasi Model'!$B$11*V41)</f>
        <v>-6.4585396414065702E-2</v>
      </c>
      <c r="L42" s="13">
        <f>L41-('Konfigurasi Model'!$B$11*W41)</f>
        <v>0.65961715458878478</v>
      </c>
      <c r="M42" s="13">
        <f>M41-('Konfigurasi Model'!$B$11*X41)</f>
        <v>0.62676637243063205</v>
      </c>
      <c r="N42" s="13">
        <f t="shared" si="11"/>
        <v>2.714269102099665</v>
      </c>
      <c r="O42" s="13">
        <f t="shared" si="12"/>
        <v>0.93786339883477232</v>
      </c>
      <c r="P42" s="12">
        <f t="shared" si="13"/>
        <v>1</v>
      </c>
      <c r="Q42" s="13">
        <f t="shared" si="14"/>
        <v>-6.2136601165227678E-2</v>
      </c>
      <c r="R42" s="13">
        <f t="shared" si="15"/>
        <v>3.8609572043665735E-3</v>
      </c>
      <c r="T42" s="14">
        <f t="shared" si="16"/>
        <v>-7.2421008928856704E-3</v>
      </c>
      <c r="U42" s="14">
        <f t="shared" si="17"/>
        <v>-4.2004185178736886E-2</v>
      </c>
      <c r="V42" s="14">
        <f t="shared" si="18"/>
        <v>-1.9553672410791312E-2</v>
      </c>
      <c r="W42" s="14">
        <f t="shared" si="19"/>
        <v>-2.9692613660831247E-2</v>
      </c>
      <c r="X42" s="14">
        <f t="shared" si="20"/>
        <v>-7.2421008928856704E-3</v>
      </c>
      <c r="Y42" s="12">
        <f t="shared" si="21"/>
        <v>1</v>
      </c>
    </row>
    <row r="43" spans="1:25" x14ac:dyDescent="0.3">
      <c r="A43" s="23"/>
      <c r="B43" s="12">
        <v>39</v>
      </c>
      <c r="C43" s="12">
        <v>6.2</v>
      </c>
      <c r="D43" s="12">
        <v>2.2000000000000002</v>
      </c>
      <c r="E43" s="12">
        <v>4.5</v>
      </c>
      <c r="F43" s="12">
        <v>1.5</v>
      </c>
      <c r="G43" s="12">
        <v>1</v>
      </c>
      <c r="I43" s="13">
        <f>I42-('Konfigurasi Model'!$B$11*T42)</f>
        <v>0.34399482517868007</v>
      </c>
      <c r="J43" s="13">
        <f>J42-('Konfigurasi Model'!$B$11*U42)</f>
        <v>-0.13128538301943635</v>
      </c>
      <c r="K43" s="13">
        <f>K42-('Konfigurasi Model'!$B$11*V42)</f>
        <v>-6.2630029172986573E-2</v>
      </c>
      <c r="L43" s="13">
        <f>L42-('Konfigurasi Model'!$B$11*W42)</f>
        <v>0.66258641595486789</v>
      </c>
      <c r="M43" s="13">
        <f>M42-('Konfigurasi Model'!$B$11*X42)</f>
        <v>0.62749058251992063</v>
      </c>
      <c r="N43" s="13">
        <f t="shared" si="11"/>
        <v>3.3151141318543909</v>
      </c>
      <c r="O43" s="13">
        <f t="shared" si="12"/>
        <v>0.96494369035037197</v>
      </c>
      <c r="P43" s="12">
        <f t="shared" si="13"/>
        <v>1</v>
      </c>
      <c r="Q43" s="13">
        <f t="shared" si="14"/>
        <v>-3.5056309649628026E-2</v>
      </c>
      <c r="R43" s="13">
        <f t="shared" si="15"/>
        <v>1.2289448462506031E-3</v>
      </c>
      <c r="T43" s="14">
        <f t="shared" si="16"/>
        <v>-2.3717251503562547E-3</v>
      </c>
      <c r="U43" s="14">
        <f t="shared" si="17"/>
        <v>-1.4704695932208779E-2</v>
      </c>
      <c r="V43" s="14">
        <f t="shared" si="18"/>
        <v>-5.2177953307837605E-3</v>
      </c>
      <c r="W43" s="14">
        <f t="shared" si="19"/>
        <v>-1.0672763176603145E-2</v>
      </c>
      <c r="X43" s="14">
        <f t="shared" si="20"/>
        <v>-3.5575877255343818E-3</v>
      </c>
      <c r="Y43" s="12">
        <f t="shared" si="21"/>
        <v>1</v>
      </c>
    </row>
    <row r="44" spans="1:25" x14ac:dyDescent="0.3">
      <c r="A44" s="23"/>
      <c r="B44" s="12">
        <v>40</v>
      </c>
      <c r="C44" s="12">
        <v>5.6</v>
      </c>
      <c r="D44" s="12">
        <v>2.5</v>
      </c>
      <c r="E44" s="12">
        <v>3.9</v>
      </c>
      <c r="F44" s="12">
        <v>1.1000000000000001</v>
      </c>
      <c r="G44" s="12">
        <v>1</v>
      </c>
      <c r="I44" s="13">
        <f>I43-('Konfigurasi Model'!$B$11*T43)</f>
        <v>0.34423199769371571</v>
      </c>
      <c r="J44" s="13">
        <f>J43-('Konfigurasi Model'!$B$11*U43)</f>
        <v>-0.12981491342621546</v>
      </c>
      <c r="K44" s="13">
        <f>K43-('Konfigurasi Model'!$B$11*V43)</f>
        <v>-6.21082496399082E-2</v>
      </c>
      <c r="L44" s="13">
        <f>L43-('Konfigurasi Model'!$B$11*W43)</f>
        <v>0.66365369227252824</v>
      </c>
      <c r="M44" s="13">
        <f>M43-('Konfigurasi Model'!$B$11*X43)</f>
        <v>0.62784634129247407</v>
      </c>
      <c r="N44" s="13">
        <f t="shared" si="11"/>
        <v>2.7408782336917206</v>
      </c>
      <c r="O44" s="13">
        <f t="shared" si="12"/>
        <v>0.93939611475275575</v>
      </c>
      <c r="P44" s="12">
        <f t="shared" si="13"/>
        <v>1</v>
      </c>
      <c r="Q44" s="13">
        <f t="shared" si="14"/>
        <v>-6.0603885247244249E-2</v>
      </c>
      <c r="R44" s="13">
        <f t="shared" si="15"/>
        <v>3.672830907061149E-3</v>
      </c>
      <c r="T44" s="14">
        <f t="shared" si="16"/>
        <v>-6.900486168474166E-3</v>
      </c>
      <c r="U44" s="14">
        <f t="shared" si="17"/>
        <v>-3.8642722543455327E-2</v>
      </c>
      <c r="V44" s="14">
        <f t="shared" si="18"/>
        <v>-1.7251215421185413E-2</v>
      </c>
      <c r="W44" s="14">
        <f t="shared" si="19"/>
        <v>-2.6911896057049248E-2</v>
      </c>
      <c r="X44" s="14">
        <f t="shared" si="20"/>
        <v>-7.5905347853215833E-3</v>
      </c>
      <c r="Y44" s="12">
        <f t="shared" si="21"/>
        <v>1</v>
      </c>
    </row>
    <row r="45" spans="1:25" x14ac:dyDescent="0.3">
      <c r="A45" s="23"/>
      <c r="B45" s="12">
        <v>41</v>
      </c>
      <c r="C45" s="12">
        <v>5.4</v>
      </c>
      <c r="D45" s="12">
        <v>3.4</v>
      </c>
      <c r="E45" s="12">
        <v>1.7</v>
      </c>
      <c r="F45" s="12">
        <v>0.2</v>
      </c>
      <c r="G45" s="12">
        <v>0</v>
      </c>
      <c r="I45" s="13">
        <f>I44-('Konfigurasi Model'!$B$11*T44)</f>
        <v>0.34492204631056311</v>
      </c>
      <c r="J45" s="13">
        <f>J44-('Konfigurasi Model'!$B$11*U44)</f>
        <v>-0.12595064117186994</v>
      </c>
      <c r="K45" s="13">
        <f>K44-('Konfigurasi Model'!$B$11*V44)</f>
        <v>-6.038312809778966E-2</v>
      </c>
      <c r="L45" s="13">
        <f>L44-('Konfigurasi Model'!$B$11*W44)</f>
        <v>0.66634488187823315</v>
      </c>
      <c r="M45" s="13">
        <f>M44-('Konfigurasi Model'!$B$11*X44)</f>
        <v>0.62860539477100619</v>
      </c>
      <c r="N45" s="13">
        <f t="shared" si="11"/>
        <v>0.71799332659717807</v>
      </c>
      <c r="O45" s="13">
        <f t="shared" si="12"/>
        <v>0.67216498094573063</v>
      </c>
      <c r="P45" s="12">
        <f t="shared" si="13"/>
        <v>1</v>
      </c>
      <c r="Q45" s="13">
        <f t="shared" si="14"/>
        <v>0.67216498094573063</v>
      </c>
      <c r="R45" s="13">
        <f t="shared" si="15"/>
        <v>0.45180576160977443</v>
      </c>
      <c r="T45" s="14">
        <f t="shared" si="16"/>
        <v>0.29623550093233814</v>
      </c>
      <c r="U45" s="14">
        <f t="shared" si="17"/>
        <v>1.5996717050346261</v>
      </c>
      <c r="V45" s="14">
        <f t="shared" si="18"/>
        <v>1.0072007031699497</v>
      </c>
      <c r="W45" s="14">
        <f t="shared" si="19"/>
        <v>0.50360035158497485</v>
      </c>
      <c r="X45" s="14">
        <f t="shared" si="20"/>
        <v>5.924710018646763E-2</v>
      </c>
      <c r="Y45" s="12">
        <f t="shared" si="21"/>
        <v>0</v>
      </c>
    </row>
    <row r="46" spans="1:25" x14ac:dyDescent="0.3">
      <c r="A46" s="23"/>
      <c r="B46" s="12">
        <v>42</v>
      </c>
      <c r="C46" s="12">
        <v>5.0999999999999996</v>
      </c>
      <c r="D46" s="12">
        <v>3.7</v>
      </c>
      <c r="E46" s="12">
        <v>1.5</v>
      </c>
      <c r="F46" s="12">
        <v>0.4</v>
      </c>
      <c r="G46" s="12">
        <v>0</v>
      </c>
      <c r="I46" s="13">
        <f>I45-('Konfigurasi Model'!$B$11*T45)</f>
        <v>0.3152984962173293</v>
      </c>
      <c r="J46" s="13">
        <f>J45-('Konfigurasi Model'!$B$11*U45)</f>
        <v>-0.28591781167533259</v>
      </c>
      <c r="K46" s="13">
        <f>K45-('Konfigurasi Model'!$B$11*V45)</f>
        <v>-0.16110319841478465</v>
      </c>
      <c r="L46" s="13">
        <f>L45-('Konfigurasi Model'!$B$11*W45)</f>
        <v>0.61598484671973563</v>
      </c>
      <c r="M46" s="13">
        <f>M45-('Konfigurasi Model'!$B$11*X45)</f>
        <v>0.62268068475235938</v>
      </c>
      <c r="N46" s="13">
        <f t="shared" si="11"/>
        <v>-0.56591463348102289</v>
      </c>
      <c r="O46" s="13">
        <f t="shared" si="12"/>
        <v>0.36218003524742087</v>
      </c>
      <c r="P46" s="12">
        <f t="shared" si="13"/>
        <v>0</v>
      </c>
      <c r="Q46" s="13">
        <f t="shared" si="14"/>
        <v>0.36218003524742087</v>
      </c>
      <c r="R46" s="13">
        <f t="shared" si="15"/>
        <v>0.13117437793182302</v>
      </c>
      <c r="T46" s="14">
        <f t="shared" si="16"/>
        <v>0.1673312742178337</v>
      </c>
      <c r="U46" s="14">
        <f t="shared" si="17"/>
        <v>0.8533894985109518</v>
      </c>
      <c r="V46" s="14">
        <f t="shared" si="18"/>
        <v>0.61912571460598476</v>
      </c>
      <c r="W46" s="14">
        <f t="shared" si="19"/>
        <v>0.25099691132675056</v>
      </c>
      <c r="X46" s="14">
        <f t="shared" si="20"/>
        <v>6.6932509687133476E-2</v>
      </c>
      <c r="Y46" s="12">
        <f t="shared" si="21"/>
        <v>1</v>
      </c>
    </row>
    <row r="47" spans="1:25" x14ac:dyDescent="0.3">
      <c r="A47" s="23"/>
      <c r="B47" s="12">
        <v>43</v>
      </c>
      <c r="C47" s="12">
        <v>4.5999999999999996</v>
      </c>
      <c r="D47" s="12">
        <v>3.6</v>
      </c>
      <c r="E47" s="12">
        <v>1</v>
      </c>
      <c r="F47" s="12">
        <v>0.2</v>
      </c>
      <c r="G47" s="12">
        <v>0</v>
      </c>
      <c r="I47" s="13">
        <f>I46-('Konfigurasi Model'!$B$11*T46)</f>
        <v>0.29856536879554596</v>
      </c>
      <c r="J47" s="13">
        <f>J46-('Konfigurasi Model'!$B$11*U46)</f>
        <v>-0.37125676152642778</v>
      </c>
      <c r="K47" s="13">
        <f>K46-('Konfigurasi Model'!$B$11*V46)</f>
        <v>-0.22301576987538313</v>
      </c>
      <c r="L47" s="13">
        <f>L46-('Konfigurasi Model'!$B$11*W46)</f>
        <v>0.59088515558706056</v>
      </c>
      <c r="M47" s="13">
        <f>M46-('Konfigurasi Model'!$B$11*X46)</f>
        <v>0.61598743378364607</v>
      </c>
      <c r="N47" s="13">
        <f t="shared" si="11"/>
        <v>-1.4979898634336115</v>
      </c>
      <c r="O47" s="13">
        <f t="shared" si="12"/>
        <v>0.18272551995035369</v>
      </c>
      <c r="P47" s="12">
        <f t="shared" si="13"/>
        <v>0</v>
      </c>
      <c r="Q47" s="13">
        <f t="shared" si="14"/>
        <v>0.18272551995035369</v>
      </c>
      <c r="R47" s="13">
        <f t="shared" si="15"/>
        <v>3.3388615641127106E-2</v>
      </c>
      <c r="T47" s="14">
        <f t="shared" si="16"/>
        <v>5.457532697535928E-2</v>
      </c>
      <c r="U47" s="14">
        <f t="shared" si="17"/>
        <v>0.25104650408665269</v>
      </c>
      <c r="V47" s="14">
        <f t="shared" si="18"/>
        <v>0.19647117711129342</v>
      </c>
      <c r="W47" s="14">
        <f t="shared" si="19"/>
        <v>5.457532697535928E-2</v>
      </c>
      <c r="X47" s="14">
        <f t="shared" si="20"/>
        <v>1.0915065395071857E-2</v>
      </c>
      <c r="Y47" s="12">
        <f t="shared" si="21"/>
        <v>1</v>
      </c>
    </row>
    <row r="48" spans="1:25" x14ac:dyDescent="0.3">
      <c r="A48" s="23"/>
      <c r="B48" s="12">
        <v>44</v>
      </c>
      <c r="C48" s="12">
        <v>5.0999999999999996</v>
      </c>
      <c r="D48" s="12">
        <v>3.3</v>
      </c>
      <c r="E48" s="12">
        <v>1.7</v>
      </c>
      <c r="F48" s="12">
        <v>0.5</v>
      </c>
      <c r="G48" s="12">
        <v>0</v>
      </c>
      <c r="I48" s="13">
        <f>I47-('Konfigurasi Model'!$B$11*T47)</f>
        <v>0.29310783609801006</v>
      </c>
      <c r="J48" s="13">
        <f>J47-('Konfigurasi Model'!$B$11*U47)</f>
        <v>-0.39636141193509306</v>
      </c>
      <c r="K48" s="13">
        <f>K47-('Konfigurasi Model'!$B$11*V47)</f>
        <v>-0.24266288758651247</v>
      </c>
      <c r="L48" s="13">
        <f>L47-('Konfigurasi Model'!$B$11*W47)</f>
        <v>0.58542762288952466</v>
      </c>
      <c r="M48" s="13">
        <f>M47-('Konfigurasi Model'!$B$11*X47)</f>
        <v>0.61489592724413888</v>
      </c>
      <c r="N48" s="13">
        <f t="shared" si="11"/>
        <v>-1.2264479712721941</v>
      </c>
      <c r="O48" s="13">
        <f t="shared" si="12"/>
        <v>0.22680371842884245</v>
      </c>
      <c r="P48" s="12">
        <f t="shared" si="13"/>
        <v>0</v>
      </c>
      <c r="Q48" s="13">
        <f t="shared" si="14"/>
        <v>0.22680371842884245</v>
      </c>
      <c r="R48" s="13">
        <f t="shared" si="15"/>
        <v>5.1439926693149646E-2</v>
      </c>
      <c r="T48" s="14">
        <f t="shared" si="16"/>
        <v>7.9546320086872471E-2</v>
      </c>
      <c r="U48" s="14">
        <f t="shared" si="17"/>
        <v>0.40568623244304958</v>
      </c>
      <c r="V48" s="14">
        <f t="shared" si="18"/>
        <v>0.26250285628667913</v>
      </c>
      <c r="W48" s="14">
        <f t="shared" si="19"/>
        <v>0.13522874414768321</v>
      </c>
      <c r="X48" s="14">
        <f t="shared" si="20"/>
        <v>3.9773160043436236E-2</v>
      </c>
      <c r="Y48" s="12">
        <f t="shared" si="21"/>
        <v>1</v>
      </c>
    </row>
    <row r="49" spans="1:25" x14ac:dyDescent="0.3">
      <c r="A49" s="23"/>
      <c r="B49" s="12">
        <v>45</v>
      </c>
      <c r="C49" s="12">
        <v>4.8</v>
      </c>
      <c r="D49" s="12">
        <v>3.4</v>
      </c>
      <c r="E49" s="12">
        <v>1.9</v>
      </c>
      <c r="F49" s="12">
        <v>0.2</v>
      </c>
      <c r="G49" s="12">
        <v>0</v>
      </c>
      <c r="I49" s="13">
        <f>I48-('Konfigurasi Model'!$B$11*T48)</f>
        <v>0.28515320408932282</v>
      </c>
      <c r="J49" s="13">
        <f>J48-('Konfigurasi Model'!$B$11*U48)</f>
        <v>-0.43693003517939799</v>
      </c>
      <c r="K49" s="13">
        <f>K48-('Konfigurasi Model'!$B$11*V48)</f>
        <v>-0.26891317321518038</v>
      </c>
      <c r="L49" s="13">
        <f>L48-('Konfigurasi Model'!$B$11*W48)</f>
        <v>0.57190474847475636</v>
      </c>
      <c r="M49" s="13">
        <f>M48-('Konfigurasi Model'!$B$11*X48)</f>
        <v>0.6109186112397953</v>
      </c>
      <c r="N49" s="13">
        <f t="shared" si="11"/>
        <v>-1.5176130093534046</v>
      </c>
      <c r="O49" s="13">
        <f t="shared" si="12"/>
        <v>0.17981328488843235</v>
      </c>
      <c r="P49" s="12">
        <f t="shared" si="13"/>
        <v>0</v>
      </c>
      <c r="Q49" s="13">
        <f t="shared" si="14"/>
        <v>0.17981328488843235</v>
      </c>
      <c r="R49" s="13">
        <f t="shared" si="15"/>
        <v>3.2332817422368529E-2</v>
      </c>
      <c r="T49" s="14">
        <f t="shared" si="16"/>
        <v>5.3037894623909017E-2</v>
      </c>
      <c r="U49" s="14">
        <f t="shared" si="17"/>
        <v>0.25458189419476329</v>
      </c>
      <c r="V49" s="14">
        <f t="shared" si="18"/>
        <v>0.18032884172129066</v>
      </c>
      <c r="W49" s="14">
        <f t="shared" si="19"/>
        <v>0.10077199978542713</v>
      </c>
      <c r="X49" s="14">
        <f t="shared" si="20"/>
        <v>1.0607578924781804E-2</v>
      </c>
      <c r="Y49" s="12">
        <f t="shared" si="21"/>
        <v>1</v>
      </c>
    </row>
    <row r="50" spans="1:25" x14ac:dyDescent="0.3">
      <c r="A50" s="23"/>
      <c r="B50" s="12">
        <v>46</v>
      </c>
      <c r="C50" s="12">
        <v>5</v>
      </c>
      <c r="D50" s="12">
        <v>3</v>
      </c>
      <c r="E50" s="12">
        <v>1.6</v>
      </c>
      <c r="F50" s="12">
        <v>0.2</v>
      </c>
      <c r="G50" s="12">
        <v>0</v>
      </c>
      <c r="I50" s="13">
        <f>I49-('Konfigurasi Model'!$B$11*T49)</f>
        <v>0.27984941462693191</v>
      </c>
      <c r="J50" s="13">
        <f>J49-('Konfigurasi Model'!$B$11*U49)</f>
        <v>-0.4623882245988743</v>
      </c>
      <c r="K50" s="13">
        <f>K49-('Konfigurasi Model'!$B$11*V49)</f>
        <v>-0.28694605738730944</v>
      </c>
      <c r="L50" s="13">
        <f>L49-('Konfigurasi Model'!$B$11*W49)</f>
        <v>0.56182754849621364</v>
      </c>
      <c r="M50" s="13">
        <f>M49-('Konfigurasi Model'!$B$11*X49)</f>
        <v>0.60985785334731712</v>
      </c>
      <c r="N50" s="13">
        <f t="shared" si="11"/>
        <v>-1.8720342322659627</v>
      </c>
      <c r="O50" s="13">
        <f t="shared" si="12"/>
        <v>0.13330652032834137</v>
      </c>
      <c r="P50" s="12">
        <f t="shared" si="13"/>
        <v>0</v>
      </c>
      <c r="Q50" s="13">
        <f t="shared" si="14"/>
        <v>0.13330652032834137</v>
      </c>
      <c r="R50" s="13">
        <f t="shared" si="15"/>
        <v>1.777062836205049E-2</v>
      </c>
      <c r="T50" s="14">
        <f t="shared" si="16"/>
        <v>3.0803375462114816E-2</v>
      </c>
      <c r="U50" s="14">
        <f t="shared" si="17"/>
        <v>0.15401687731057409</v>
      </c>
      <c r="V50" s="14">
        <f t="shared" si="18"/>
        <v>9.2410126386344452E-2</v>
      </c>
      <c r="W50" s="14">
        <f t="shared" si="19"/>
        <v>4.9285400739383707E-2</v>
      </c>
      <c r="X50" s="14">
        <f t="shared" si="20"/>
        <v>6.1606750924229634E-3</v>
      </c>
      <c r="Y50" s="12">
        <f t="shared" si="21"/>
        <v>1</v>
      </c>
    </row>
    <row r="51" spans="1:25" x14ac:dyDescent="0.3">
      <c r="A51" s="23"/>
      <c r="B51" s="12">
        <v>47</v>
      </c>
      <c r="C51" s="12">
        <v>5</v>
      </c>
      <c r="D51" s="12">
        <v>3.4</v>
      </c>
      <c r="E51" s="12">
        <v>1.6</v>
      </c>
      <c r="F51" s="12">
        <v>0.4</v>
      </c>
      <c r="G51" s="12">
        <v>0</v>
      </c>
      <c r="I51" s="13">
        <f>I50-('Konfigurasi Model'!$B$11*T50)</f>
        <v>0.2767690770807204</v>
      </c>
      <c r="J51" s="13">
        <f>J50-('Konfigurasi Model'!$B$11*U50)</f>
        <v>-0.47778991232993173</v>
      </c>
      <c r="K51" s="13">
        <f>K50-('Konfigurasi Model'!$B$11*V50)</f>
        <v>-0.29618707002594391</v>
      </c>
      <c r="L51" s="13">
        <f>L50-('Konfigurasi Model'!$B$11*W50)</f>
        <v>0.55689900842227524</v>
      </c>
      <c r="M51" s="13">
        <f>M50-('Konfigurasi Model'!$B$11*X50)</f>
        <v>0.60924178583807487</v>
      </c>
      <c r="N51" s="13">
        <f t="shared" si="11"/>
        <v>-1.9844813948462772</v>
      </c>
      <c r="O51" s="13">
        <f t="shared" si="12"/>
        <v>0.12084192873570551</v>
      </c>
      <c r="P51" s="12">
        <f t="shared" si="13"/>
        <v>0</v>
      </c>
      <c r="Q51" s="13">
        <f t="shared" si="14"/>
        <v>0.12084192873570551</v>
      </c>
      <c r="R51" s="13">
        <f t="shared" si="15"/>
        <v>1.460277174056533E-2</v>
      </c>
      <c r="T51" s="14">
        <f t="shared" si="16"/>
        <v>2.567628927709632E-2</v>
      </c>
      <c r="U51" s="14">
        <f t="shared" si="17"/>
        <v>0.1283814463854816</v>
      </c>
      <c r="V51" s="14">
        <f t="shared" si="18"/>
        <v>8.729938354212749E-2</v>
      </c>
      <c r="W51" s="14">
        <f t="shared" si="19"/>
        <v>4.1082062843354111E-2</v>
      </c>
      <c r="X51" s="14">
        <f t="shared" si="20"/>
        <v>1.0270515710838528E-2</v>
      </c>
      <c r="Y51" s="12">
        <f t="shared" si="21"/>
        <v>1</v>
      </c>
    </row>
    <row r="52" spans="1:25" x14ac:dyDescent="0.3">
      <c r="A52" s="23"/>
      <c r="B52" s="12">
        <v>48</v>
      </c>
      <c r="C52" s="12">
        <v>5.2</v>
      </c>
      <c r="D52" s="12">
        <v>3.5</v>
      </c>
      <c r="E52" s="12">
        <v>1.5</v>
      </c>
      <c r="F52" s="12">
        <v>0.2</v>
      </c>
      <c r="G52" s="12">
        <v>0</v>
      </c>
      <c r="I52" s="13">
        <f>I51-('Konfigurasi Model'!$B$11*T51)</f>
        <v>0.27420144815301079</v>
      </c>
      <c r="J52" s="13">
        <f>J51-('Konfigurasi Model'!$B$11*U51)</f>
        <v>-0.49062805696847989</v>
      </c>
      <c r="K52" s="13">
        <f>K51-('Konfigurasi Model'!$B$11*V51)</f>
        <v>-0.30491700838015667</v>
      </c>
      <c r="L52" s="13">
        <f>L51-('Konfigurasi Model'!$B$11*W51)</f>
        <v>0.55279080213793985</v>
      </c>
      <c r="M52" s="13">
        <f>M51-('Konfigurasi Model'!$B$11*X51)</f>
        <v>0.60821473426699102</v>
      </c>
      <c r="N52" s="13">
        <f t="shared" si="11"/>
        <v>-2.3934448273533246</v>
      </c>
      <c r="O52" s="13">
        <f t="shared" si="12"/>
        <v>8.3673928938007222E-2</v>
      </c>
      <c r="P52" s="12">
        <f t="shared" si="13"/>
        <v>0</v>
      </c>
      <c r="Q52" s="13">
        <f t="shared" si="14"/>
        <v>8.3673928938007222E-2</v>
      </c>
      <c r="R52" s="13">
        <f t="shared" si="15"/>
        <v>7.0013263839226823E-3</v>
      </c>
      <c r="T52" s="14">
        <f t="shared" si="16"/>
        <v>1.2830995795205084E-2</v>
      </c>
      <c r="U52" s="14">
        <f t="shared" si="17"/>
        <v>6.6721178135066436E-2</v>
      </c>
      <c r="V52" s="14">
        <f t="shared" si="18"/>
        <v>4.4908485283217794E-2</v>
      </c>
      <c r="W52" s="14">
        <f t="shared" si="19"/>
        <v>1.9246493692807627E-2</v>
      </c>
      <c r="X52" s="14">
        <f t="shared" si="20"/>
        <v>2.5661991590410168E-3</v>
      </c>
      <c r="Y52" s="12">
        <f t="shared" si="21"/>
        <v>1</v>
      </c>
    </row>
    <row r="53" spans="1:25" x14ac:dyDescent="0.3">
      <c r="A53" s="23"/>
      <c r="B53" s="12">
        <v>49</v>
      </c>
      <c r="C53" s="12">
        <v>5.2</v>
      </c>
      <c r="D53" s="12">
        <v>3.4</v>
      </c>
      <c r="E53" s="12">
        <v>1.4</v>
      </c>
      <c r="F53" s="12">
        <v>0.2</v>
      </c>
      <c r="G53" s="12">
        <v>0</v>
      </c>
      <c r="I53" s="13">
        <f>I52-('Konfigurasi Model'!$B$11*T52)</f>
        <v>0.27291834857349029</v>
      </c>
      <c r="J53" s="13">
        <f>J52-('Konfigurasi Model'!$B$11*U52)</f>
        <v>-0.49730017478198651</v>
      </c>
      <c r="K53" s="13">
        <f>K52-('Konfigurasi Model'!$B$11*V52)</f>
        <v>-0.30940785690847844</v>
      </c>
      <c r="L53" s="13">
        <f>L52-('Konfigurasi Model'!$B$11*W52)</f>
        <v>0.55086615276865913</v>
      </c>
      <c r="M53" s="13">
        <f>M52-('Konfigurasi Model'!$B$11*X52)</f>
        <v>0.60795811435108693</v>
      </c>
      <c r="N53" s="13">
        <f t="shared" si="11"/>
        <v>-2.4722250370353267</v>
      </c>
      <c r="O53" s="13">
        <f t="shared" si="12"/>
        <v>7.7828391617553935E-2</v>
      </c>
      <c r="P53" s="12">
        <f t="shared" si="13"/>
        <v>0</v>
      </c>
      <c r="Q53" s="13">
        <f t="shared" si="14"/>
        <v>7.7828391617553935E-2</v>
      </c>
      <c r="R53" s="13">
        <f t="shared" si="15"/>
        <v>6.0572585417753393E-3</v>
      </c>
      <c r="T53" s="14">
        <f t="shared" si="16"/>
        <v>1.1171663703714549E-2</v>
      </c>
      <c r="U53" s="14">
        <f t="shared" si="17"/>
        <v>5.8092651259315654E-2</v>
      </c>
      <c r="V53" s="14">
        <f t="shared" si="18"/>
        <v>3.7983656592629464E-2</v>
      </c>
      <c r="W53" s="14">
        <f t="shared" si="19"/>
        <v>1.5640329185200367E-2</v>
      </c>
      <c r="X53" s="14">
        <f t="shared" si="20"/>
        <v>2.2343327407429096E-3</v>
      </c>
      <c r="Y53" s="12">
        <f t="shared" si="21"/>
        <v>1</v>
      </c>
    </row>
    <row r="54" spans="1:25" x14ac:dyDescent="0.3">
      <c r="A54" s="23"/>
      <c r="B54" s="12">
        <v>50</v>
      </c>
      <c r="C54" s="12">
        <v>4.7</v>
      </c>
      <c r="D54" s="12">
        <v>3.2</v>
      </c>
      <c r="E54" s="12">
        <v>1.6</v>
      </c>
      <c r="F54" s="12">
        <v>0.2</v>
      </c>
      <c r="G54" s="12">
        <v>0</v>
      </c>
      <c r="I54" s="13">
        <f>I53-('Konfigurasi Model'!$B$11*T53)</f>
        <v>0.27180118220311883</v>
      </c>
      <c r="J54" s="13">
        <f>J53-('Konfigurasi Model'!$B$11*U53)</f>
        <v>-0.50310943990791812</v>
      </c>
      <c r="K54" s="13">
        <f>K53-('Konfigurasi Model'!$B$11*V53)</f>
        <v>-0.31320622256774139</v>
      </c>
      <c r="L54" s="13">
        <f>L53-('Konfigurasi Model'!$B$11*W53)</f>
        <v>0.5493021198501391</v>
      </c>
      <c r="M54" s="13">
        <f>M53-('Konfigurasi Model'!$B$11*X53)</f>
        <v>0.60773468107701267</v>
      </c>
      <c r="N54" s="13">
        <f t="shared" si="11"/>
        <v>-2.0946427696052439</v>
      </c>
      <c r="O54" s="13">
        <f t="shared" si="12"/>
        <v>0.10961860707672767</v>
      </c>
      <c r="P54" s="12">
        <f t="shared" si="13"/>
        <v>0</v>
      </c>
      <c r="Q54" s="13">
        <f t="shared" si="14"/>
        <v>0.10961860707672767</v>
      </c>
      <c r="R54" s="13">
        <f t="shared" si="15"/>
        <v>1.2016239017442009E-2</v>
      </c>
      <c r="T54" s="14">
        <f t="shared" si="16"/>
        <v>2.1398071268097982E-2</v>
      </c>
      <c r="U54" s="14">
        <f t="shared" si="17"/>
        <v>0.10057093496006052</v>
      </c>
      <c r="V54" s="14">
        <f t="shared" si="18"/>
        <v>6.8473828057913549E-2</v>
      </c>
      <c r="W54" s="14">
        <f t="shared" si="19"/>
        <v>3.4236914028956775E-2</v>
      </c>
      <c r="X54" s="14">
        <f t="shared" si="20"/>
        <v>4.2796142536195968E-3</v>
      </c>
      <c r="Y54" s="12">
        <f t="shared" si="21"/>
        <v>1</v>
      </c>
    </row>
    <row r="55" spans="1:25" x14ac:dyDescent="0.3">
      <c r="A55" s="23"/>
      <c r="B55" s="12">
        <v>51</v>
      </c>
      <c r="C55" s="12">
        <v>4.8</v>
      </c>
      <c r="D55" s="12">
        <v>3.1</v>
      </c>
      <c r="E55" s="12">
        <v>1.6</v>
      </c>
      <c r="F55" s="12">
        <v>0.2</v>
      </c>
      <c r="G55" s="12">
        <v>0</v>
      </c>
      <c r="I55" s="13">
        <f>I54-('Konfigurasi Model'!$B$11*T54)</f>
        <v>0.26966137507630905</v>
      </c>
      <c r="J55" s="13">
        <f>J54-('Konfigurasi Model'!$B$11*U54)</f>
        <v>-0.51316653340392415</v>
      </c>
      <c r="K55" s="13">
        <f>K54-('Konfigurasi Model'!$B$11*V54)</f>
        <v>-0.32005360537353272</v>
      </c>
      <c r="L55" s="13">
        <f>L54-('Konfigurasi Model'!$B$11*W54)</f>
        <v>0.54587842844724344</v>
      </c>
      <c r="M55" s="13">
        <f>M54-('Konfigurasi Model'!$B$11*X54)</f>
        <v>0.60730671965165073</v>
      </c>
      <c r="N55" s="13">
        <f t="shared" si="11"/>
        <v>-2.1908373324745587</v>
      </c>
      <c r="O55" s="13">
        <f t="shared" si="12"/>
        <v>0.10057632252343383</v>
      </c>
      <c r="P55" s="12">
        <f t="shared" si="13"/>
        <v>0</v>
      </c>
      <c r="Q55" s="13">
        <f t="shared" si="14"/>
        <v>0.10057632252343383</v>
      </c>
      <c r="R55" s="13">
        <f t="shared" si="15"/>
        <v>1.0115596652337784E-2</v>
      </c>
      <c r="T55" s="14">
        <f t="shared" si="16"/>
        <v>1.8196414281830581E-2</v>
      </c>
      <c r="U55" s="14">
        <f t="shared" si="17"/>
        <v>8.7342788552786779E-2</v>
      </c>
      <c r="V55" s="14">
        <f t="shared" si="18"/>
        <v>5.6408884273674804E-2</v>
      </c>
      <c r="W55" s="14">
        <f t="shared" si="19"/>
        <v>2.911426285092893E-2</v>
      </c>
      <c r="X55" s="14">
        <f t="shared" si="20"/>
        <v>3.6392828563661162E-3</v>
      </c>
      <c r="Y55" s="12">
        <f t="shared" si="21"/>
        <v>1</v>
      </c>
    </row>
    <row r="56" spans="1:25" x14ac:dyDescent="0.3">
      <c r="A56" s="23"/>
      <c r="B56" s="12">
        <v>52</v>
      </c>
      <c r="C56" s="12">
        <v>5.4</v>
      </c>
      <c r="D56" s="12">
        <v>3.4</v>
      </c>
      <c r="E56" s="12">
        <v>1.5</v>
      </c>
      <c r="F56" s="12">
        <v>0.4</v>
      </c>
      <c r="G56" s="12">
        <v>0</v>
      </c>
      <c r="I56" s="13">
        <f>I55-('Konfigurasi Model'!$B$11*T55)</f>
        <v>0.26784173364812597</v>
      </c>
      <c r="J56" s="13">
        <f>J55-('Konfigurasi Model'!$B$11*U55)</f>
        <v>-0.52190081225920282</v>
      </c>
      <c r="K56" s="13">
        <f>K55-('Konfigurasi Model'!$B$11*V55)</f>
        <v>-0.32569449380090021</v>
      </c>
      <c r="L56" s="13">
        <f>L55-('Konfigurasi Model'!$B$11*W55)</f>
        <v>0.54296700216215055</v>
      </c>
      <c r="M56" s="13">
        <f>M55-('Konfigurasi Model'!$B$11*X55)</f>
        <v>0.60694279136601414</v>
      </c>
      <c r="N56" s="13">
        <f t="shared" si="11"/>
        <v>-2.6005563116849988</v>
      </c>
      <c r="O56" s="13">
        <f t="shared" si="12"/>
        <v>6.9102625650161092E-2</v>
      </c>
      <c r="P56" s="12">
        <f t="shared" si="13"/>
        <v>0</v>
      </c>
      <c r="Q56" s="13">
        <f t="shared" si="14"/>
        <v>6.9102625650161092E-2</v>
      </c>
      <c r="R56" s="13">
        <f t="shared" si="15"/>
        <v>4.7751728717463022E-3</v>
      </c>
      <c r="T56" s="14">
        <f t="shared" si="16"/>
        <v>8.8903917767504236E-3</v>
      </c>
      <c r="U56" s="14">
        <f t="shared" si="17"/>
        <v>4.800811559445229E-2</v>
      </c>
      <c r="V56" s="14">
        <f t="shared" si="18"/>
        <v>3.0227332040951439E-2</v>
      </c>
      <c r="W56" s="14">
        <f t="shared" si="19"/>
        <v>1.3335587665125635E-2</v>
      </c>
      <c r="X56" s="14">
        <f t="shared" si="20"/>
        <v>3.5561567107001697E-3</v>
      </c>
      <c r="Y56" s="12">
        <f t="shared" si="21"/>
        <v>1</v>
      </c>
    </row>
    <row r="57" spans="1:25" x14ac:dyDescent="0.3">
      <c r="A57" s="23"/>
      <c r="B57" s="12">
        <v>53</v>
      </c>
      <c r="C57" s="12">
        <v>5.2</v>
      </c>
      <c r="D57" s="12">
        <v>4.0999999999999996</v>
      </c>
      <c r="E57" s="12">
        <v>1.5</v>
      </c>
      <c r="F57" s="12">
        <v>0.1</v>
      </c>
      <c r="G57" s="12">
        <v>0</v>
      </c>
      <c r="I57" s="13">
        <f>I56-('Konfigurasi Model'!$B$11*T56)</f>
        <v>0.26695269447045095</v>
      </c>
      <c r="J57" s="13">
        <f>J56-('Konfigurasi Model'!$B$11*U56)</f>
        <v>-0.52670162381864805</v>
      </c>
      <c r="K57" s="13">
        <f>K56-('Konfigurasi Model'!$B$11*V56)</f>
        <v>-0.32871722700499534</v>
      </c>
      <c r="L57" s="13">
        <f>L56-('Konfigurasi Model'!$B$11*W56)</f>
        <v>0.54163344339563801</v>
      </c>
      <c r="M57" s="13">
        <f>M56-('Konfigurasi Model'!$B$11*X56)</f>
        <v>0.60658717569494414</v>
      </c>
      <c r="N57" s="13">
        <f t="shared" si="11"/>
        <v>-2.9465274974440483</v>
      </c>
      <c r="O57" s="13">
        <f t="shared" si="12"/>
        <v>4.9900888566058461E-2</v>
      </c>
      <c r="P57" s="12">
        <f t="shared" si="13"/>
        <v>0</v>
      </c>
      <c r="Q57" s="13">
        <f t="shared" si="14"/>
        <v>4.9900888566058461E-2</v>
      </c>
      <c r="R57" s="13">
        <f t="shared" si="15"/>
        <v>2.4900986796821843E-3</v>
      </c>
      <c r="T57" s="14">
        <f t="shared" si="16"/>
        <v>4.7316810858977487E-3</v>
      </c>
      <c r="U57" s="14">
        <f t="shared" si="17"/>
        <v>2.4604741646668295E-2</v>
      </c>
      <c r="V57" s="14">
        <f t="shared" si="18"/>
        <v>1.9399892452180767E-2</v>
      </c>
      <c r="W57" s="14">
        <f t="shared" si="19"/>
        <v>7.0975216288466231E-3</v>
      </c>
      <c r="X57" s="14">
        <f t="shared" si="20"/>
        <v>4.7316810858977492E-4</v>
      </c>
      <c r="Y57" s="12">
        <f t="shared" si="21"/>
        <v>1</v>
      </c>
    </row>
    <row r="58" spans="1:25" x14ac:dyDescent="0.3">
      <c r="A58" s="23"/>
      <c r="B58" s="12">
        <v>54</v>
      </c>
      <c r="C58" s="12">
        <v>5.5</v>
      </c>
      <c r="D58" s="12">
        <v>4.2</v>
      </c>
      <c r="E58" s="12">
        <v>1.4</v>
      </c>
      <c r="F58" s="12">
        <v>0.2</v>
      </c>
      <c r="G58" s="12">
        <v>0</v>
      </c>
      <c r="I58" s="13">
        <f>I57-('Konfigurasi Model'!$B$11*T57)</f>
        <v>0.26647952636186117</v>
      </c>
      <c r="J58" s="13">
        <f>J57-('Konfigurasi Model'!$B$11*U57)</f>
        <v>-0.52916209798331493</v>
      </c>
      <c r="K58" s="13">
        <f>K57-('Konfigurasi Model'!$B$11*V57)</f>
        <v>-0.33065721625021344</v>
      </c>
      <c r="L58" s="13">
        <f>L57-('Konfigurasi Model'!$B$11*W57)</f>
        <v>0.5409236912327533</v>
      </c>
      <c r="M58" s="13">
        <f>M57-('Konfigurasi Model'!$B$11*X57)</f>
        <v>0.60653985888408513</v>
      </c>
      <c r="N58" s="13">
        <f t="shared" si="11"/>
        <v>-3.1540711812945963</v>
      </c>
      <c r="O58" s="13">
        <f t="shared" si="12"/>
        <v>4.0931161685924013E-2</v>
      </c>
      <c r="P58" s="12">
        <f t="shared" si="13"/>
        <v>0</v>
      </c>
      <c r="Q58" s="13">
        <f t="shared" si="14"/>
        <v>4.0931161685924013E-2</v>
      </c>
      <c r="R58" s="13">
        <f t="shared" si="15"/>
        <v>1.6753599969592538E-3</v>
      </c>
      <c r="T58" s="14">
        <f t="shared" si="16"/>
        <v>3.2135711320831709E-3</v>
      </c>
      <c r="U58" s="14">
        <f t="shared" si="17"/>
        <v>1.7674641226457441E-2</v>
      </c>
      <c r="V58" s="14">
        <f t="shared" si="18"/>
        <v>1.3496998754749318E-2</v>
      </c>
      <c r="W58" s="14">
        <f t="shared" si="19"/>
        <v>4.4989995849164391E-3</v>
      </c>
      <c r="X58" s="14">
        <f t="shared" si="20"/>
        <v>6.4271422641663421E-4</v>
      </c>
      <c r="Y58" s="12">
        <f t="shared" si="21"/>
        <v>1</v>
      </c>
    </row>
    <row r="59" spans="1:25" x14ac:dyDescent="0.3">
      <c r="A59" s="23"/>
      <c r="B59" s="12">
        <v>55</v>
      </c>
      <c r="C59" s="12">
        <v>4.9000000000000004</v>
      </c>
      <c r="D59" s="12">
        <v>3.1</v>
      </c>
      <c r="E59" s="12">
        <v>1.5</v>
      </c>
      <c r="F59" s="12">
        <v>0.1</v>
      </c>
      <c r="G59" s="12">
        <v>0</v>
      </c>
      <c r="I59" s="13">
        <f>I58-('Konfigurasi Model'!$B$11*T58)</f>
        <v>0.26615816924865288</v>
      </c>
      <c r="J59" s="13">
        <f>J58-('Konfigurasi Model'!$B$11*U58)</f>
        <v>-0.53092956210596065</v>
      </c>
      <c r="K59" s="13">
        <f>K58-('Konfigurasi Model'!$B$11*V58)</f>
        <v>-0.33200691612568839</v>
      </c>
      <c r="L59" s="13">
        <f>L58-('Konfigurasi Model'!$B$11*W58)</f>
        <v>0.54047379127426165</v>
      </c>
      <c r="M59" s="13">
        <f>M58-('Konfigurasi Model'!$B$11*X58)</f>
        <v>0.60647558746144348</v>
      </c>
      <c r="N59" s="13">
        <f t="shared" si="11"/>
        <v>-2.4932598794026521</v>
      </c>
      <c r="O59" s="13">
        <f t="shared" si="12"/>
        <v>7.6332040387541281E-2</v>
      </c>
      <c r="P59" s="12">
        <f t="shared" si="13"/>
        <v>0</v>
      </c>
      <c r="Q59" s="13">
        <f t="shared" si="14"/>
        <v>7.6332040387541281E-2</v>
      </c>
      <c r="R59" s="13">
        <f t="shared" si="15"/>
        <v>5.8265803897252335E-3</v>
      </c>
      <c r="T59" s="14">
        <f t="shared" si="16"/>
        <v>1.0763651240190941E-2</v>
      </c>
      <c r="U59" s="14">
        <f t="shared" si="17"/>
        <v>5.2741891076935617E-2</v>
      </c>
      <c r="V59" s="14">
        <f t="shared" si="18"/>
        <v>3.3367318844591917E-2</v>
      </c>
      <c r="W59" s="14">
        <f t="shared" si="19"/>
        <v>1.614547686028641E-2</v>
      </c>
      <c r="X59" s="14">
        <f t="shared" si="20"/>
        <v>1.0763651240190942E-3</v>
      </c>
      <c r="Y59" s="12">
        <f t="shared" si="21"/>
        <v>1</v>
      </c>
    </row>
    <row r="60" spans="1:25" x14ac:dyDescent="0.3">
      <c r="A60" s="23"/>
      <c r="B60" s="12">
        <v>56</v>
      </c>
      <c r="C60" s="12">
        <v>5</v>
      </c>
      <c r="D60" s="12">
        <v>3.2</v>
      </c>
      <c r="E60" s="12">
        <v>1.2</v>
      </c>
      <c r="F60" s="12">
        <v>0.2</v>
      </c>
      <c r="G60" s="12">
        <v>0</v>
      </c>
      <c r="I60" s="13">
        <f>I59-('Konfigurasi Model'!$B$11*T59)</f>
        <v>0.26508180412463378</v>
      </c>
      <c r="J60" s="13">
        <f>J59-('Konfigurasi Model'!$B$11*U59)</f>
        <v>-0.53620375121365427</v>
      </c>
      <c r="K60" s="13">
        <f>K59-('Konfigurasi Model'!$B$11*V59)</f>
        <v>-0.3353436480101476</v>
      </c>
      <c r="L60" s="13">
        <f>L59-('Konfigurasi Model'!$B$11*W59)</f>
        <v>0.53885924358823301</v>
      </c>
      <c r="M60" s="13">
        <f>M59-('Konfigurasi Model'!$B$11*X59)</f>
        <v>0.60636795094904161</v>
      </c>
      <c r="N60" s="13">
        <f t="shared" si="11"/>
        <v>-2.7211319430804215</v>
      </c>
      <c r="O60" s="13">
        <f t="shared" si="12"/>
        <v>6.1737864451259485E-2</v>
      </c>
      <c r="P60" s="12">
        <f t="shared" si="13"/>
        <v>0</v>
      </c>
      <c r="Q60" s="13">
        <f t="shared" si="14"/>
        <v>6.1737864451259485E-2</v>
      </c>
      <c r="R60" s="13">
        <f t="shared" si="15"/>
        <v>3.8115639070020898E-3</v>
      </c>
      <c r="T60" s="14">
        <f t="shared" si="16"/>
        <v>7.1524921823285636E-3</v>
      </c>
      <c r="U60" s="14">
        <f t="shared" si="17"/>
        <v>3.576246091164282E-2</v>
      </c>
      <c r="V60" s="14">
        <f t="shared" si="18"/>
        <v>2.2887974983451406E-2</v>
      </c>
      <c r="W60" s="14">
        <f t="shared" si="19"/>
        <v>8.5829906187942766E-3</v>
      </c>
      <c r="X60" s="14">
        <f t="shared" si="20"/>
        <v>1.4304984364657128E-3</v>
      </c>
      <c r="Y60" s="12">
        <f t="shared" si="21"/>
        <v>1</v>
      </c>
    </row>
    <row r="61" spans="1:25" x14ac:dyDescent="0.3">
      <c r="A61" s="23"/>
      <c r="B61" s="12">
        <v>57</v>
      </c>
      <c r="C61" s="12">
        <v>5.5</v>
      </c>
      <c r="D61" s="12">
        <v>3.5</v>
      </c>
      <c r="E61" s="12">
        <v>1.3</v>
      </c>
      <c r="F61" s="12">
        <v>0.2</v>
      </c>
      <c r="G61" s="12">
        <v>0</v>
      </c>
      <c r="I61" s="13">
        <f>I60-('Konfigurasi Model'!$B$11*T60)</f>
        <v>0.26436655490640093</v>
      </c>
      <c r="J61" s="13">
        <f>J60-('Konfigurasi Model'!$B$11*U60)</f>
        <v>-0.53977999730481852</v>
      </c>
      <c r="K61" s="13">
        <f>K60-('Konfigurasi Model'!$B$11*V60)</f>
        <v>-0.33763244550849275</v>
      </c>
      <c r="L61" s="13">
        <f>L60-('Konfigurasi Model'!$B$11*W60)</f>
        <v>0.53800094452635361</v>
      </c>
      <c r="M61" s="13">
        <f>M60-('Konfigurasi Model'!$B$11*X60)</f>
        <v>0.60622490110539506</v>
      </c>
      <c r="N61" s="13">
        <f t="shared" si="11"/>
        <v>-3.0654907814444865</v>
      </c>
      <c r="O61" s="13">
        <f t="shared" si="12"/>
        <v>4.4553383992424325E-2</v>
      </c>
      <c r="P61" s="12">
        <f t="shared" si="13"/>
        <v>0</v>
      </c>
      <c r="Q61" s="13">
        <f t="shared" si="14"/>
        <v>4.4553383992424325E-2</v>
      </c>
      <c r="R61" s="13">
        <f t="shared" si="15"/>
        <v>1.985004025176412E-3</v>
      </c>
      <c r="T61" s="14">
        <f t="shared" si="16"/>
        <v>3.7931307572324387E-3</v>
      </c>
      <c r="U61" s="14">
        <f t="shared" si="17"/>
        <v>2.0862219164778414E-2</v>
      </c>
      <c r="V61" s="14">
        <f t="shared" si="18"/>
        <v>1.3275957650313535E-2</v>
      </c>
      <c r="W61" s="14">
        <f t="shared" si="19"/>
        <v>4.9310699844021706E-3</v>
      </c>
      <c r="X61" s="14">
        <f t="shared" si="20"/>
        <v>7.5862615144648782E-4</v>
      </c>
      <c r="Y61" s="12">
        <f t="shared" si="21"/>
        <v>1</v>
      </c>
    </row>
    <row r="62" spans="1:25" x14ac:dyDescent="0.3">
      <c r="A62" s="23"/>
      <c r="B62" s="12">
        <v>58</v>
      </c>
      <c r="C62" s="12">
        <v>4.9000000000000004</v>
      </c>
      <c r="D62" s="12">
        <v>3.1</v>
      </c>
      <c r="E62" s="12">
        <v>1.5</v>
      </c>
      <c r="F62" s="12">
        <v>0.1</v>
      </c>
      <c r="G62" s="12">
        <v>0</v>
      </c>
      <c r="I62" s="13">
        <f>I61-('Konfigurasi Model'!$B$11*T61)</f>
        <v>0.26398724183067768</v>
      </c>
      <c r="J62" s="13">
        <f>J61-('Konfigurasi Model'!$B$11*U61)</f>
        <v>-0.54186621922129641</v>
      </c>
      <c r="K62" s="13">
        <f>K61-('Konfigurasi Model'!$B$11*V61)</f>
        <v>-0.33896004127352408</v>
      </c>
      <c r="L62" s="13">
        <f>L61-('Konfigurasi Model'!$B$11*W61)</f>
        <v>0.53750783752791342</v>
      </c>
      <c r="M62" s="13">
        <f>M61-('Konfigurasi Model'!$B$11*X61)</f>
        <v>0.60614903849025037</v>
      </c>
      <c r="N62" s="13">
        <f t="shared" si="11"/>
        <v>-2.5750567001607041</v>
      </c>
      <c r="O62" s="13">
        <f t="shared" si="12"/>
        <v>7.0761083505724048E-2</v>
      </c>
      <c r="P62" s="12">
        <f t="shared" si="13"/>
        <v>0</v>
      </c>
      <c r="Q62" s="13">
        <f t="shared" si="14"/>
        <v>7.0761083505724048E-2</v>
      </c>
      <c r="R62" s="13">
        <f t="shared" si="15"/>
        <v>5.007130938904052E-3</v>
      </c>
      <c r="T62" s="14">
        <f t="shared" si="16"/>
        <v>9.3056418568243354E-3</v>
      </c>
      <c r="U62" s="14">
        <f t="shared" si="17"/>
        <v>4.5597645098439249E-2</v>
      </c>
      <c r="V62" s="14">
        <f t="shared" si="18"/>
        <v>2.8847489756155441E-2</v>
      </c>
      <c r="W62" s="14">
        <f t="shared" si="19"/>
        <v>1.3958462785236502E-2</v>
      </c>
      <c r="X62" s="14">
        <f t="shared" si="20"/>
        <v>9.3056418568243356E-4</v>
      </c>
      <c r="Y62" s="12">
        <f t="shared" si="21"/>
        <v>1</v>
      </c>
    </row>
    <row r="63" spans="1:25" x14ac:dyDescent="0.3">
      <c r="A63" s="23"/>
      <c r="B63" s="12">
        <v>59</v>
      </c>
      <c r="C63" s="12">
        <v>4.4000000000000004</v>
      </c>
      <c r="D63" s="12">
        <v>3</v>
      </c>
      <c r="E63" s="12">
        <v>1.3</v>
      </c>
      <c r="F63" s="12">
        <v>0.2</v>
      </c>
      <c r="G63" s="12">
        <v>0</v>
      </c>
      <c r="I63" s="13">
        <f>I62-('Konfigurasi Model'!$B$11*T62)</f>
        <v>0.26305667764499524</v>
      </c>
      <c r="J63" s="13">
        <f>J62-('Konfigurasi Model'!$B$11*U62)</f>
        <v>-0.54642598373114037</v>
      </c>
      <c r="K63" s="13">
        <f>K62-('Konfigurasi Model'!$B$11*V62)</f>
        <v>-0.34184479024913961</v>
      </c>
      <c r="L63" s="13">
        <f>L62-('Konfigurasi Model'!$B$11*W62)</f>
        <v>0.5361119912493898</v>
      </c>
      <c r="M63" s="13">
        <f>M62-('Konfigurasi Model'!$B$11*X62)</f>
        <v>0.6060559820716821</v>
      </c>
      <c r="N63" s="13">
        <f t="shared" si="11"/>
        <v>-2.3485952364808984</v>
      </c>
      <c r="O63" s="13">
        <f t="shared" si="12"/>
        <v>8.7177495312588407E-2</v>
      </c>
      <c r="P63" s="12">
        <f t="shared" si="13"/>
        <v>0</v>
      </c>
      <c r="Q63" s="13">
        <f t="shared" si="14"/>
        <v>8.7177495312588407E-2</v>
      </c>
      <c r="R63" s="13">
        <f t="shared" si="15"/>
        <v>7.5999156889763738E-3</v>
      </c>
      <c r="T63" s="14">
        <f t="shared" si="16"/>
        <v>1.3874748149249137E-2</v>
      </c>
      <c r="U63" s="14">
        <f t="shared" si="17"/>
        <v>6.1048891856696208E-2</v>
      </c>
      <c r="V63" s="14">
        <f t="shared" si="18"/>
        <v>4.1624244447747413E-2</v>
      </c>
      <c r="W63" s="14">
        <f t="shared" si="19"/>
        <v>1.8037172594023879E-2</v>
      </c>
      <c r="X63" s="14">
        <f t="shared" si="20"/>
        <v>2.7749496298498273E-3</v>
      </c>
      <c r="Y63" s="12">
        <f t="shared" si="21"/>
        <v>1</v>
      </c>
    </row>
    <row r="64" spans="1:25" x14ac:dyDescent="0.3">
      <c r="A64" s="23"/>
      <c r="B64" s="12">
        <v>60</v>
      </c>
      <c r="C64" s="12">
        <v>5.0999999999999996</v>
      </c>
      <c r="D64" s="12">
        <v>3.4</v>
      </c>
      <c r="E64" s="12">
        <v>1.5</v>
      </c>
      <c r="F64" s="12">
        <v>0.2</v>
      </c>
      <c r="G64" s="12">
        <v>0</v>
      </c>
      <c r="I64" s="13">
        <f>I63-('Konfigurasi Model'!$B$11*T63)</f>
        <v>0.26166920283007034</v>
      </c>
      <c r="J64" s="13">
        <f>J63-('Konfigurasi Model'!$B$11*U63)</f>
        <v>-0.55253087291681002</v>
      </c>
      <c r="K64" s="13">
        <f>K63-('Konfigurasi Model'!$B$11*V63)</f>
        <v>-0.34600721469391432</v>
      </c>
      <c r="L64" s="13">
        <f>L63-('Konfigurasi Model'!$B$11*W63)</f>
        <v>0.53430827398998737</v>
      </c>
      <c r="M64" s="13">
        <f>M63-('Konfigurasi Model'!$B$11*X63)</f>
        <v>0.60577848710869708</v>
      </c>
      <c r="N64" s="13">
        <f t="shared" si="11"/>
        <v>-2.8100446705982489</v>
      </c>
      <c r="O64" s="13">
        <f t="shared" si="12"/>
        <v>5.6783788231442464E-2</v>
      </c>
      <c r="P64" s="12">
        <f t="shared" si="13"/>
        <v>0</v>
      </c>
      <c r="Q64" s="13">
        <f t="shared" si="14"/>
        <v>5.6783788231442464E-2</v>
      </c>
      <c r="R64" s="13">
        <f t="shared" si="15"/>
        <v>3.2243986059133038E-3</v>
      </c>
      <c r="T64" s="14">
        <f t="shared" si="16"/>
        <v>6.0826100766027289E-3</v>
      </c>
      <c r="U64" s="14">
        <f t="shared" si="17"/>
        <v>3.1021311390673916E-2</v>
      </c>
      <c r="V64" s="14">
        <f t="shared" si="18"/>
        <v>2.0680874260449279E-2</v>
      </c>
      <c r="W64" s="14">
        <f t="shared" si="19"/>
        <v>9.123915114904093E-3</v>
      </c>
      <c r="X64" s="14">
        <f t="shared" si="20"/>
        <v>1.2165220153205459E-3</v>
      </c>
      <c r="Y64" s="12">
        <f t="shared" si="21"/>
        <v>1</v>
      </c>
    </row>
    <row r="65" spans="1:25" x14ac:dyDescent="0.3">
      <c r="A65" s="23"/>
      <c r="B65" s="12">
        <v>61</v>
      </c>
      <c r="C65" s="12">
        <v>5.9</v>
      </c>
      <c r="D65" s="12">
        <v>3.2</v>
      </c>
      <c r="E65" s="12">
        <v>4.8</v>
      </c>
      <c r="F65" s="12">
        <v>1.8</v>
      </c>
      <c r="G65" s="12">
        <v>1</v>
      </c>
      <c r="I65" s="13">
        <f>I64-('Konfigurasi Model'!$B$11*T64)</f>
        <v>0.26106094182241008</v>
      </c>
      <c r="J65" s="13">
        <f>J64-('Konfigurasi Model'!$B$11*U64)</f>
        <v>-0.55563300405587746</v>
      </c>
      <c r="K65" s="13">
        <f>K64-('Konfigurasi Model'!$B$11*V64)</f>
        <v>-0.34807530211995924</v>
      </c>
      <c r="L65" s="13">
        <f>L64-('Konfigurasi Model'!$B$11*W64)</f>
        <v>0.53339588247849701</v>
      </c>
      <c r="M65" s="13">
        <f>M64-('Konfigurasi Model'!$B$11*X64)</f>
        <v>0.60565683490716504</v>
      </c>
      <c r="N65" s="13">
        <f t="shared" si="11"/>
        <v>-0.48053221016145353</v>
      </c>
      <c r="O65" s="13">
        <f t="shared" si="12"/>
        <v>0.3821264594291916</v>
      </c>
      <c r="P65" s="12">
        <f t="shared" si="13"/>
        <v>0</v>
      </c>
      <c r="Q65" s="13">
        <f t="shared" si="14"/>
        <v>-0.61787354057080845</v>
      </c>
      <c r="R65" s="13">
        <f t="shared" si="15"/>
        <v>0.38176771213750649</v>
      </c>
      <c r="T65" s="14">
        <f t="shared" si="16"/>
        <v>-0.29176708832697634</v>
      </c>
      <c r="U65" s="14">
        <f t="shared" si="17"/>
        <v>-1.7214258211291604</v>
      </c>
      <c r="V65" s="14">
        <f t="shared" si="18"/>
        <v>-0.93365468264632434</v>
      </c>
      <c r="W65" s="14">
        <f t="shared" si="19"/>
        <v>-1.4004820239694864</v>
      </c>
      <c r="X65" s="14">
        <f t="shared" si="20"/>
        <v>-0.52518075898855743</v>
      </c>
      <c r="Y65" s="12">
        <f t="shared" si="21"/>
        <v>0</v>
      </c>
    </row>
    <row r="66" spans="1:25" x14ac:dyDescent="0.3">
      <c r="A66" s="23"/>
      <c r="B66" s="12">
        <v>62</v>
      </c>
      <c r="C66" s="12">
        <v>6.1</v>
      </c>
      <c r="D66" s="12">
        <v>2.8</v>
      </c>
      <c r="E66" s="12">
        <v>4</v>
      </c>
      <c r="F66" s="12">
        <v>1.3</v>
      </c>
      <c r="G66" s="12">
        <v>1</v>
      </c>
      <c r="I66" s="13">
        <f>I65-('Konfigurasi Model'!$B$11*T65)</f>
        <v>0.2902376506551077</v>
      </c>
      <c r="J66" s="13">
        <f>J65-('Konfigurasi Model'!$B$11*U65)</f>
        <v>-0.3834904219429614</v>
      </c>
      <c r="K66" s="13">
        <f>K65-('Konfigurasi Model'!$B$11*V65)</f>
        <v>-0.25470983385532681</v>
      </c>
      <c r="L66" s="13">
        <f>L65-('Konfigurasi Model'!$B$11*W65)</f>
        <v>0.67344408487544571</v>
      </c>
      <c r="M66" s="13">
        <f>M65-('Konfigurasi Model'!$B$11*X65)</f>
        <v>0.65817491080602075</v>
      </c>
      <c r="N66" s="13">
        <f t="shared" si="11"/>
        <v>0.78716226555773838</v>
      </c>
      <c r="O66" s="13">
        <f t="shared" si="12"/>
        <v>0.68722168943182715</v>
      </c>
      <c r="P66" s="12">
        <f t="shared" si="13"/>
        <v>1</v>
      </c>
      <c r="Q66" s="13">
        <f t="shared" si="14"/>
        <v>-0.31277831056817285</v>
      </c>
      <c r="R66" s="13">
        <f t="shared" si="15"/>
        <v>9.7830271561880386E-2</v>
      </c>
      <c r="T66" s="14">
        <f t="shared" si="16"/>
        <v>-0.13446216900065974</v>
      </c>
      <c r="U66" s="14">
        <f t="shared" si="17"/>
        <v>-0.82021923090402438</v>
      </c>
      <c r="V66" s="14">
        <f t="shared" si="18"/>
        <v>-0.37649407320184725</v>
      </c>
      <c r="W66" s="14">
        <f t="shared" si="19"/>
        <v>-0.53784867600263897</v>
      </c>
      <c r="X66" s="14">
        <f t="shared" si="20"/>
        <v>-0.17480081970085767</v>
      </c>
      <c r="Y66" s="12">
        <f t="shared" si="21"/>
        <v>1</v>
      </c>
    </row>
    <row r="67" spans="1:25" x14ac:dyDescent="0.3">
      <c r="A67" s="23"/>
      <c r="B67" s="12">
        <v>63</v>
      </c>
      <c r="C67" s="12">
        <v>6.3</v>
      </c>
      <c r="D67" s="12">
        <v>2.5</v>
      </c>
      <c r="E67" s="12">
        <v>4.9000000000000004</v>
      </c>
      <c r="F67" s="12">
        <v>1.5</v>
      </c>
      <c r="G67" s="12">
        <v>1</v>
      </c>
      <c r="I67" s="13">
        <f>I66-('Konfigurasi Model'!$B$11*T66)</f>
        <v>0.30368386755517368</v>
      </c>
      <c r="J67" s="13">
        <f>J66-('Konfigurasi Model'!$B$11*U66)</f>
        <v>-0.30146849885255894</v>
      </c>
      <c r="K67" s="13">
        <f>K66-('Konfigurasi Model'!$B$11*V66)</f>
        <v>-0.21706042653514207</v>
      </c>
      <c r="L67" s="13">
        <f>L66-('Konfigurasi Model'!$B$11*W66)</f>
        <v>0.72722895247570962</v>
      </c>
      <c r="M67" s="13">
        <f>M66-('Konfigurasi Model'!$B$11*X66)</f>
        <v>0.67565499277610652</v>
      </c>
      <c r="N67" s="13">
        <f t="shared" si="11"/>
        <v>2.4386856147413347</v>
      </c>
      <c r="O67" s="13">
        <f t="shared" si="12"/>
        <v>0.91973010469921368</v>
      </c>
      <c r="P67" s="12">
        <f t="shared" si="13"/>
        <v>1</v>
      </c>
      <c r="Q67" s="13">
        <f t="shared" si="14"/>
        <v>-8.026989530078632E-2</v>
      </c>
      <c r="R67" s="13">
        <f t="shared" si="15"/>
        <v>6.4432560915991975E-3</v>
      </c>
      <c r="T67" s="14">
        <f t="shared" si="16"/>
        <v>-1.1852113199460753E-2</v>
      </c>
      <c r="U67" s="14">
        <f t="shared" si="17"/>
        <v>-7.4668313156602745E-2</v>
      </c>
      <c r="V67" s="14">
        <f t="shared" si="18"/>
        <v>-2.9630282998651881E-2</v>
      </c>
      <c r="W67" s="14">
        <f t="shared" si="19"/>
        <v>-5.8075354677357693E-2</v>
      </c>
      <c r="X67" s="14">
        <f t="shared" si="20"/>
        <v>-1.777816979919113E-2</v>
      </c>
      <c r="Y67" s="12">
        <f t="shared" si="21"/>
        <v>1</v>
      </c>
    </row>
    <row r="68" spans="1:25" x14ac:dyDescent="0.3">
      <c r="A68" s="23"/>
      <c r="B68" s="12">
        <v>64</v>
      </c>
      <c r="C68" s="12">
        <v>6.1</v>
      </c>
      <c r="D68" s="12">
        <v>2.8</v>
      </c>
      <c r="E68" s="12">
        <v>4.7</v>
      </c>
      <c r="F68" s="12">
        <v>1.2</v>
      </c>
      <c r="G68" s="12">
        <v>1</v>
      </c>
      <c r="I68" s="13">
        <f>I67-('Konfigurasi Model'!$B$11*T67)</f>
        <v>0.30486907887511977</v>
      </c>
      <c r="J68" s="13">
        <f>J67-('Konfigurasi Model'!$B$11*U67)</f>
        <v>-0.29400166753689866</v>
      </c>
      <c r="K68" s="13">
        <f>K67-('Konfigurasi Model'!$B$11*V67)</f>
        <v>-0.21409739823527688</v>
      </c>
      <c r="L68" s="13">
        <f>L67-('Konfigurasi Model'!$B$11*W67)</f>
        <v>0.73303648794344545</v>
      </c>
      <c r="M68" s="13">
        <f>M67-('Konfigurasi Model'!$B$11*X67)</f>
        <v>0.6774328097560256</v>
      </c>
      <c r="N68" s="13">
        <f t="shared" si="11"/>
        <v>2.1701770568826877</v>
      </c>
      <c r="O68" s="13">
        <f t="shared" si="12"/>
        <v>0.89753925030347281</v>
      </c>
      <c r="P68" s="12">
        <f t="shared" si="13"/>
        <v>1</v>
      </c>
      <c r="Q68" s="13">
        <f t="shared" si="14"/>
        <v>-0.10246074969652719</v>
      </c>
      <c r="R68" s="13">
        <f t="shared" si="15"/>
        <v>1.0498205228374396E-2</v>
      </c>
      <c r="T68" s="14">
        <f t="shared" si="16"/>
        <v>-1.8845102500414306E-2</v>
      </c>
      <c r="U68" s="14">
        <f t="shared" si="17"/>
        <v>-0.11495512525252725</v>
      </c>
      <c r="V68" s="14">
        <f t="shared" si="18"/>
        <v>-5.2766287001160053E-2</v>
      </c>
      <c r="W68" s="14">
        <f t="shared" si="19"/>
        <v>-8.8571981751947249E-2</v>
      </c>
      <c r="X68" s="14">
        <f t="shared" si="20"/>
        <v>-2.2614123000497168E-2</v>
      </c>
      <c r="Y68" s="12">
        <f t="shared" si="21"/>
        <v>1</v>
      </c>
    </row>
    <row r="69" spans="1:25" x14ac:dyDescent="0.3">
      <c r="A69" s="23"/>
      <c r="B69" s="12">
        <v>65</v>
      </c>
      <c r="C69" s="12">
        <v>6.4</v>
      </c>
      <c r="D69" s="12">
        <v>2.9</v>
      </c>
      <c r="E69" s="12">
        <v>4.3</v>
      </c>
      <c r="F69" s="12">
        <v>1.3</v>
      </c>
      <c r="G69" s="12">
        <v>1</v>
      </c>
      <c r="I69" s="13">
        <f>I68-('Konfigurasi Model'!$B$11*T68)</f>
        <v>0.30675358912516121</v>
      </c>
      <c r="J69" s="13">
        <f>J68-('Konfigurasi Model'!$B$11*U68)</f>
        <v>-0.28250615501164594</v>
      </c>
      <c r="K69" s="13">
        <f>K68-('Konfigurasi Model'!$B$11*V68)</f>
        <v>-0.20882076953516088</v>
      </c>
      <c r="L69" s="13">
        <f>L68-('Konfigurasi Model'!$B$11*W68)</f>
        <v>0.74189368611864015</v>
      </c>
      <c r="M69" s="13">
        <f>M68-('Konfigurasi Model'!$B$11*X68)</f>
        <v>0.67969422205607533</v>
      </c>
      <c r="N69" s="13">
        <f t="shared" ref="N69:N84" si="22">I69+J69*C69+K69*D69+L69*E69+M69*F69</f>
        <v>1.9668793043817105</v>
      </c>
      <c r="O69" s="13">
        <f t="shared" ref="O69:O84" si="23">1/(1+EXP(-N69))</f>
        <v>0.87727552454899171</v>
      </c>
      <c r="P69" s="12">
        <f t="shared" ref="P69:P84" si="24">IF(O69&gt;0.5,1,0)</f>
        <v>1</v>
      </c>
      <c r="Q69" s="13">
        <f t="shared" ref="Q69:Q84" si="25">O69-G69</f>
        <v>-0.12272447545100829</v>
      </c>
      <c r="R69" s="13">
        <f t="shared" ref="R69:R84" si="26">Q69^2</f>
        <v>1.5061296874725136E-2</v>
      </c>
      <c r="T69" s="14">
        <f t="shared" ref="T69:T84" si="27">2*(O69-G69)*(1-O69)*O69</f>
        <v>-2.6425814232325168E-2</v>
      </c>
      <c r="U69" s="14">
        <f t="shared" ref="U69:U84" si="28">2*(O69-G69)*(1-O69)*O69*C69</f>
        <v>-0.16912521108688108</v>
      </c>
      <c r="V69" s="14">
        <f t="shared" ref="V69:V84" si="29">2*(O69-G69)*(1-O69)*O69*D69</f>
        <v>-7.6634861273742985E-2</v>
      </c>
      <c r="W69" s="14">
        <f t="shared" ref="W69:W84" si="30">2*(O69-G69)*(1-O69)*O69*E69</f>
        <v>-0.11363100119899822</v>
      </c>
      <c r="X69" s="14">
        <f t="shared" ref="X69:X84" si="31">2*(O69-G69)*(1-O69)*O69*F69</f>
        <v>-3.4353558502022721E-2</v>
      </c>
      <c r="Y69" s="12">
        <f t="shared" ref="Y69:Y84" si="32">IF(P69=G69,1,0)</f>
        <v>1</v>
      </c>
    </row>
    <row r="70" spans="1:25" x14ac:dyDescent="0.3">
      <c r="A70" s="23"/>
      <c r="B70" s="12">
        <v>66</v>
      </c>
      <c r="C70" s="12">
        <v>6.6</v>
      </c>
      <c r="D70" s="12">
        <v>3</v>
      </c>
      <c r="E70" s="12">
        <v>4.4000000000000004</v>
      </c>
      <c r="F70" s="12">
        <v>1.4</v>
      </c>
      <c r="G70" s="12">
        <v>1</v>
      </c>
      <c r="I70" s="13">
        <f>I69-('Konfigurasi Model'!$B$11*T69)</f>
        <v>0.30939617054839375</v>
      </c>
      <c r="J70" s="13">
        <f>J69-('Konfigurasi Model'!$B$11*U69)</f>
        <v>-0.26559363390295782</v>
      </c>
      <c r="K70" s="13">
        <f>K69-('Konfigurasi Model'!$B$11*V69)</f>
        <v>-0.20115728340778657</v>
      </c>
      <c r="L70" s="13">
        <f>L69-('Konfigurasi Model'!$B$11*W69)</f>
        <v>0.75325678623853998</v>
      </c>
      <c r="M70" s="13">
        <f>M69-('Konfigurasi Model'!$B$11*X69)</f>
        <v>0.6831295779062776</v>
      </c>
      <c r="N70" s="13">
        <f t="shared" si="22"/>
        <v>2.2237176050838774</v>
      </c>
      <c r="O70" s="13">
        <f t="shared" si="23"/>
        <v>0.90235923321484102</v>
      </c>
      <c r="P70" s="12">
        <f t="shared" si="24"/>
        <v>1</v>
      </c>
      <c r="Q70" s="13">
        <f t="shared" si="25"/>
        <v>-9.7640766785158983E-2</v>
      </c>
      <c r="R70" s="13">
        <f t="shared" si="26"/>
        <v>9.5337193383938056E-3</v>
      </c>
      <c r="T70" s="14">
        <f t="shared" si="27"/>
        <v>-1.7205679343757073E-2</v>
      </c>
      <c r="U70" s="14">
        <f t="shared" si="28"/>
        <v>-0.11355748366879667</v>
      </c>
      <c r="V70" s="14">
        <f t="shared" si="29"/>
        <v>-5.1617038031271219E-2</v>
      </c>
      <c r="W70" s="14">
        <f t="shared" si="30"/>
        <v>-7.5704989112531124E-2</v>
      </c>
      <c r="X70" s="14">
        <f t="shared" si="31"/>
        <v>-2.4087951081259901E-2</v>
      </c>
      <c r="Y70" s="12">
        <f t="shared" si="32"/>
        <v>1</v>
      </c>
    </row>
    <row r="71" spans="1:25" x14ac:dyDescent="0.3">
      <c r="A71" s="23"/>
      <c r="B71" s="12">
        <v>67</v>
      </c>
      <c r="C71" s="12">
        <v>6.8</v>
      </c>
      <c r="D71" s="12">
        <v>2.8</v>
      </c>
      <c r="E71" s="12">
        <v>4.8</v>
      </c>
      <c r="F71" s="12">
        <v>1.4</v>
      </c>
      <c r="G71" s="12">
        <v>1</v>
      </c>
      <c r="I71" s="13">
        <f>I70-('Konfigurasi Model'!$B$11*T70)</f>
        <v>0.31111673848276944</v>
      </c>
      <c r="J71" s="13">
        <f>J70-('Konfigurasi Model'!$B$11*U70)</f>
        <v>-0.25423788553607812</v>
      </c>
      <c r="K71" s="13">
        <f>K70-('Konfigurasi Model'!$B$11*V70)</f>
        <v>-0.19599557960465946</v>
      </c>
      <c r="L71" s="13">
        <f>L70-('Konfigurasi Model'!$B$11*W70)</f>
        <v>0.76082728514979314</v>
      </c>
      <c r="M71" s="13">
        <f>M70-('Konfigurasi Model'!$B$11*X70)</f>
        <v>0.68553837301440357</v>
      </c>
      <c r="N71" s="13">
        <f t="shared" si="22"/>
        <v>2.6452361848835637</v>
      </c>
      <c r="O71" s="13">
        <f t="shared" si="23"/>
        <v>0.93371676757232402</v>
      </c>
      <c r="P71" s="12">
        <f t="shared" si="24"/>
        <v>1</v>
      </c>
      <c r="Q71" s="13">
        <f t="shared" si="25"/>
        <v>-6.6283232427675975E-2</v>
      </c>
      <c r="R71" s="13">
        <f t="shared" si="26"/>
        <v>4.3934669010613162E-3</v>
      </c>
      <c r="T71" s="14">
        <f t="shared" si="27"/>
        <v>-8.204507426589935E-3</v>
      </c>
      <c r="U71" s="14">
        <f t="shared" si="28"/>
        <v>-5.5790650500811556E-2</v>
      </c>
      <c r="V71" s="14">
        <f t="shared" si="29"/>
        <v>-2.2972620794451816E-2</v>
      </c>
      <c r="W71" s="14">
        <f t="shared" si="30"/>
        <v>-3.938163564763169E-2</v>
      </c>
      <c r="X71" s="14">
        <f t="shared" si="31"/>
        <v>-1.1486310397225908E-2</v>
      </c>
      <c r="Y71" s="12">
        <f t="shared" si="32"/>
        <v>1</v>
      </c>
    </row>
    <row r="72" spans="1:25" x14ac:dyDescent="0.3">
      <c r="A72" s="23"/>
      <c r="B72" s="12">
        <v>68</v>
      </c>
      <c r="C72" s="12">
        <v>6.7</v>
      </c>
      <c r="D72" s="12">
        <v>3</v>
      </c>
      <c r="E72" s="12">
        <v>5</v>
      </c>
      <c r="F72" s="12">
        <v>1.7</v>
      </c>
      <c r="G72" s="12">
        <v>1</v>
      </c>
      <c r="I72" s="13">
        <f>I71-('Konfigurasi Model'!$B$11*T71)</f>
        <v>0.31193718922542846</v>
      </c>
      <c r="J72" s="13">
        <f>J71-('Konfigurasi Model'!$B$11*U71)</f>
        <v>-0.24865882048599697</v>
      </c>
      <c r="K72" s="13">
        <f>K71-('Konfigurasi Model'!$B$11*V71)</f>
        <v>-0.19369831752521427</v>
      </c>
      <c r="L72" s="13">
        <f>L71-('Konfigurasi Model'!$B$11*W71)</f>
        <v>0.76476544871455632</v>
      </c>
      <c r="M72" s="13">
        <f>M71-('Konfigurasi Model'!$B$11*X71)</f>
        <v>0.68668700405412619</v>
      </c>
      <c r="N72" s="13">
        <f t="shared" si="22"/>
        <v>3.0560232898584019</v>
      </c>
      <c r="O72" s="13">
        <f t="shared" si="23"/>
        <v>0.95504185796051666</v>
      </c>
      <c r="P72" s="12">
        <f t="shared" si="24"/>
        <v>1</v>
      </c>
      <c r="Q72" s="13">
        <f t="shared" si="25"/>
        <v>-4.495814203948334E-2</v>
      </c>
      <c r="R72" s="13">
        <f t="shared" si="26"/>
        <v>2.0212345356423593E-3</v>
      </c>
      <c r="T72" s="14">
        <f t="shared" si="27"/>
        <v>-3.860727172587682E-3</v>
      </c>
      <c r="U72" s="14">
        <f t="shared" si="28"/>
        <v>-2.5866872056337468E-2</v>
      </c>
      <c r="V72" s="14">
        <f t="shared" si="29"/>
        <v>-1.1582181517763046E-2</v>
      </c>
      <c r="W72" s="14">
        <f t="shared" si="30"/>
        <v>-1.9303635862938411E-2</v>
      </c>
      <c r="X72" s="14">
        <f t="shared" si="31"/>
        <v>-6.563236193399059E-3</v>
      </c>
      <c r="Y72" s="12">
        <f t="shared" si="32"/>
        <v>1</v>
      </c>
    </row>
    <row r="73" spans="1:25" x14ac:dyDescent="0.3">
      <c r="A73" s="23"/>
      <c r="B73" s="12">
        <v>69</v>
      </c>
      <c r="C73" s="12">
        <v>6</v>
      </c>
      <c r="D73" s="12">
        <v>2.9</v>
      </c>
      <c r="E73" s="12">
        <v>4.5</v>
      </c>
      <c r="F73" s="12">
        <v>1.5</v>
      </c>
      <c r="G73" s="12">
        <v>1</v>
      </c>
      <c r="I73" s="13">
        <f>I72-('Konfigurasi Model'!$B$11*T72)</f>
        <v>0.31232326194268722</v>
      </c>
      <c r="J73" s="13">
        <f>J72-('Konfigurasi Model'!$B$11*U72)</f>
        <v>-0.24607213328036323</v>
      </c>
      <c r="K73" s="13">
        <f>K72-('Konfigurasi Model'!$B$11*V72)</f>
        <v>-0.19254009937343797</v>
      </c>
      <c r="L73" s="13">
        <f>L72-('Konfigurasi Model'!$B$11*W72)</f>
        <v>0.76669581230085015</v>
      </c>
      <c r="M73" s="13">
        <f>M72-('Konfigurasi Model'!$B$11*X72)</f>
        <v>0.68734332767346606</v>
      </c>
      <c r="N73" s="13">
        <f t="shared" si="22"/>
        <v>2.7586703209415626</v>
      </c>
      <c r="O73" s="13">
        <f t="shared" si="23"/>
        <v>0.94040115336144481</v>
      </c>
      <c r="P73" s="12">
        <f t="shared" si="24"/>
        <v>1</v>
      </c>
      <c r="Q73" s="13">
        <f t="shared" si="25"/>
        <v>-5.9598846638555192E-2</v>
      </c>
      <c r="R73" s="13">
        <f t="shared" si="26"/>
        <v>3.5520225206460217E-3</v>
      </c>
      <c r="T73" s="14">
        <f t="shared" si="27"/>
        <v>-6.6806521503626906E-3</v>
      </c>
      <c r="U73" s="14">
        <f t="shared" si="28"/>
        <v>-4.0083912902176146E-2</v>
      </c>
      <c r="V73" s="14">
        <f t="shared" si="29"/>
        <v>-1.9373891236051804E-2</v>
      </c>
      <c r="W73" s="14">
        <f t="shared" si="30"/>
        <v>-3.0062934676632107E-2</v>
      </c>
      <c r="X73" s="14">
        <f t="shared" si="31"/>
        <v>-1.0020978225544036E-2</v>
      </c>
      <c r="Y73" s="12">
        <f t="shared" si="32"/>
        <v>1</v>
      </c>
    </row>
    <row r="74" spans="1:25" x14ac:dyDescent="0.3">
      <c r="A74" s="23"/>
      <c r="B74" s="12">
        <v>70</v>
      </c>
      <c r="C74" s="12">
        <v>5.7</v>
      </c>
      <c r="D74" s="12">
        <v>2.6</v>
      </c>
      <c r="E74" s="12">
        <v>3.5</v>
      </c>
      <c r="F74" s="12">
        <v>1</v>
      </c>
      <c r="G74" s="12">
        <v>1</v>
      </c>
      <c r="I74" s="13">
        <f>I73-('Konfigurasi Model'!$B$11*T73)</f>
        <v>0.31299132715772349</v>
      </c>
      <c r="J74" s="13">
        <f>J73-('Konfigurasi Model'!$B$11*U73)</f>
        <v>-0.2420637419901456</v>
      </c>
      <c r="K74" s="13">
        <f>K73-('Konfigurasi Model'!$B$11*V73)</f>
        <v>-0.19060271024983277</v>
      </c>
      <c r="L74" s="13">
        <f>L73-('Konfigurasi Model'!$B$11*W73)</f>
        <v>0.76970210576851339</v>
      </c>
      <c r="M74" s="13">
        <f>M73-('Konfigurasi Model'!$B$11*X73)</f>
        <v>0.68834542549602051</v>
      </c>
      <c r="N74" s="13">
        <f t="shared" si="22"/>
        <v>1.8199637468501453</v>
      </c>
      <c r="O74" s="13">
        <f t="shared" si="23"/>
        <v>0.86056177689106295</v>
      </c>
      <c r="P74" s="12">
        <f t="shared" si="24"/>
        <v>1</v>
      </c>
      <c r="Q74" s="13">
        <f t="shared" si="25"/>
        <v>-0.13943822310893705</v>
      </c>
      <c r="R74" s="13">
        <f t="shared" si="26"/>
        <v>1.9443018063777708E-2</v>
      </c>
      <c r="T74" s="14">
        <f t="shared" si="27"/>
        <v>-3.3463836346179159E-2</v>
      </c>
      <c r="U74" s="14">
        <f t="shared" si="28"/>
        <v>-0.1907438671732212</v>
      </c>
      <c r="V74" s="14">
        <f t="shared" si="29"/>
        <v>-8.7005974500065822E-2</v>
      </c>
      <c r="W74" s="14">
        <f t="shared" si="30"/>
        <v>-0.11712342721162705</v>
      </c>
      <c r="X74" s="14">
        <f t="shared" si="31"/>
        <v>-3.3463836346179159E-2</v>
      </c>
      <c r="Y74" s="12">
        <f t="shared" si="32"/>
        <v>1</v>
      </c>
    </row>
    <row r="75" spans="1:25" x14ac:dyDescent="0.3">
      <c r="A75" s="23"/>
      <c r="B75" s="12">
        <v>71</v>
      </c>
      <c r="C75" s="12">
        <v>5.5</v>
      </c>
      <c r="D75" s="12">
        <v>2.4</v>
      </c>
      <c r="E75" s="12">
        <v>3.8</v>
      </c>
      <c r="F75" s="12">
        <v>1.1000000000000001</v>
      </c>
      <c r="G75" s="12">
        <v>1</v>
      </c>
      <c r="I75" s="13">
        <f>I74-('Konfigurasi Model'!$B$11*T74)</f>
        <v>0.31633771079234141</v>
      </c>
      <c r="J75" s="13">
        <f>J74-('Konfigurasi Model'!$B$11*U74)</f>
        <v>-0.22298935527282349</v>
      </c>
      <c r="K75" s="13">
        <f>K74-('Konfigurasi Model'!$B$11*V74)</f>
        <v>-0.18190211279982618</v>
      </c>
      <c r="L75" s="13">
        <f>L74-('Konfigurasi Model'!$B$11*W74)</f>
        <v>0.78141444848967612</v>
      </c>
      <c r="M75" s="13">
        <f>M74-('Konfigurasi Model'!$B$11*X74)</f>
        <v>0.69169180913063844</v>
      </c>
      <c r="N75" s="13">
        <f t="shared" si="22"/>
        <v>2.3835670803767011</v>
      </c>
      <c r="O75" s="13">
        <f t="shared" si="23"/>
        <v>0.91556559733271692</v>
      </c>
      <c r="P75" s="12">
        <f t="shared" si="24"/>
        <v>1</v>
      </c>
      <c r="Q75" s="13">
        <f t="shared" si="25"/>
        <v>-8.4434402667283082E-2</v>
      </c>
      <c r="R75" s="13">
        <f t="shared" si="26"/>
        <v>7.1291683537809004E-3</v>
      </c>
      <c r="T75" s="14">
        <f t="shared" si="27"/>
        <v>-1.3054442564629825E-2</v>
      </c>
      <c r="U75" s="14">
        <f t="shared" si="28"/>
        <v>-7.1799434105464036E-2</v>
      </c>
      <c r="V75" s="14">
        <f t="shared" si="29"/>
        <v>-3.1330662155111579E-2</v>
      </c>
      <c r="W75" s="14">
        <f t="shared" si="30"/>
        <v>-4.9606881745593336E-2</v>
      </c>
      <c r="X75" s="14">
        <f t="shared" si="31"/>
        <v>-1.4359886821092809E-2</v>
      </c>
      <c r="Y75" s="12">
        <f t="shared" si="32"/>
        <v>1</v>
      </c>
    </row>
    <row r="76" spans="1:25" x14ac:dyDescent="0.3">
      <c r="A76" s="23"/>
      <c r="B76" s="12">
        <v>72</v>
      </c>
      <c r="C76" s="12">
        <v>5.5</v>
      </c>
      <c r="D76" s="12">
        <v>2.4</v>
      </c>
      <c r="E76" s="12">
        <v>3.7</v>
      </c>
      <c r="F76" s="12">
        <v>1</v>
      </c>
      <c r="G76" s="12">
        <v>1</v>
      </c>
      <c r="I76" s="13">
        <f>I75-('Konfigurasi Model'!$B$11*T75)</f>
        <v>0.31764315504880442</v>
      </c>
      <c r="J76" s="13">
        <f>J75-('Konfigurasi Model'!$B$11*U75)</f>
        <v>-0.21580941186227709</v>
      </c>
      <c r="K76" s="13">
        <f>K75-('Konfigurasi Model'!$B$11*V75)</f>
        <v>-0.17876904658431503</v>
      </c>
      <c r="L76" s="13">
        <f>L75-('Konfigurasi Model'!$B$11*W75)</f>
        <v>0.78637513666423542</v>
      </c>
      <c r="M76" s="13">
        <f>M75-('Konfigurasi Model'!$B$11*X75)</f>
        <v>0.69312779781274769</v>
      </c>
      <c r="N76" s="13">
        <f t="shared" si="22"/>
        <v>2.3043614814743432</v>
      </c>
      <c r="O76" s="13">
        <f t="shared" si="23"/>
        <v>0.90923761140842907</v>
      </c>
      <c r="P76" s="12">
        <f t="shared" si="24"/>
        <v>1</v>
      </c>
      <c r="Q76" s="13">
        <f t="shared" si="25"/>
        <v>-9.0762388591570931E-2</v>
      </c>
      <c r="R76" s="13">
        <f t="shared" si="26"/>
        <v>8.2378111828473252E-3</v>
      </c>
      <c r="T76" s="14">
        <f t="shared" si="27"/>
        <v>-1.4980255526251495E-2</v>
      </c>
      <c r="U76" s="14">
        <f t="shared" si="28"/>
        <v>-8.2391405394383221E-2</v>
      </c>
      <c r="V76" s="14">
        <f t="shared" si="29"/>
        <v>-3.5952613263003586E-2</v>
      </c>
      <c r="W76" s="14">
        <f t="shared" si="30"/>
        <v>-5.5426945447130532E-2</v>
      </c>
      <c r="X76" s="14">
        <f t="shared" si="31"/>
        <v>-1.4980255526251495E-2</v>
      </c>
      <c r="Y76" s="12">
        <f t="shared" si="32"/>
        <v>1</v>
      </c>
    </row>
    <row r="77" spans="1:25" x14ac:dyDescent="0.3">
      <c r="A77" s="23"/>
      <c r="B77" s="12">
        <v>73</v>
      </c>
      <c r="C77" s="12">
        <v>5.8</v>
      </c>
      <c r="D77" s="12">
        <v>2.7</v>
      </c>
      <c r="E77" s="12">
        <v>3.9</v>
      </c>
      <c r="F77" s="12">
        <v>1.2</v>
      </c>
      <c r="G77" s="12">
        <v>1</v>
      </c>
      <c r="I77" s="13">
        <f>I76-('Konfigurasi Model'!$B$11*T76)</f>
        <v>0.31914118060142954</v>
      </c>
      <c r="J77" s="13">
        <f>J76-('Konfigurasi Model'!$B$11*U76)</f>
        <v>-0.20757027132283876</v>
      </c>
      <c r="K77" s="13">
        <f>K76-('Konfigurasi Model'!$B$11*V76)</f>
        <v>-0.17517378525801466</v>
      </c>
      <c r="L77" s="13">
        <f>L76-('Konfigurasi Model'!$B$11*W76)</f>
        <v>0.79191783120894843</v>
      </c>
      <c r="M77" s="13">
        <f>M76-('Konfigurasi Model'!$B$11*X76)</f>
        <v>0.69462582336537282</v>
      </c>
      <c r="N77" s="13">
        <f t="shared" si="22"/>
        <v>2.5642949164856712</v>
      </c>
      <c r="O77" s="13">
        <f t="shared" si="23"/>
        <v>0.9285280095956342</v>
      </c>
      <c r="P77" s="12">
        <f t="shared" si="24"/>
        <v>1</v>
      </c>
      <c r="Q77" s="13">
        <f t="shared" si="25"/>
        <v>-7.1471990404365804E-2</v>
      </c>
      <c r="R77" s="13">
        <f t="shared" si="26"/>
        <v>5.1082454123617576E-3</v>
      </c>
      <c r="T77" s="14">
        <f t="shared" si="27"/>
        <v>-9.4862978905325846E-3</v>
      </c>
      <c r="U77" s="14">
        <f t="shared" si="28"/>
        <v>-5.5020527765088992E-2</v>
      </c>
      <c r="V77" s="14">
        <f t="shared" si="29"/>
        <v>-2.561300430443798E-2</v>
      </c>
      <c r="W77" s="14">
        <f t="shared" si="30"/>
        <v>-3.6996561773077079E-2</v>
      </c>
      <c r="X77" s="14">
        <f t="shared" si="31"/>
        <v>-1.13835574686391E-2</v>
      </c>
      <c r="Y77" s="12">
        <f t="shared" si="32"/>
        <v>1</v>
      </c>
    </row>
    <row r="78" spans="1:25" x14ac:dyDescent="0.3">
      <c r="A78" s="23"/>
      <c r="B78" s="12">
        <v>74</v>
      </c>
      <c r="C78" s="12">
        <v>6</v>
      </c>
      <c r="D78" s="12">
        <v>2.7</v>
      </c>
      <c r="E78" s="12">
        <v>5.0999999999999996</v>
      </c>
      <c r="F78" s="12">
        <v>1.6</v>
      </c>
      <c r="G78" s="12">
        <v>1</v>
      </c>
      <c r="I78" s="13">
        <f>I77-('Konfigurasi Model'!$B$11*T77)</f>
        <v>0.32008981039048279</v>
      </c>
      <c r="J78" s="13">
        <f>J77-('Konfigurasi Model'!$B$11*U77)</f>
        <v>-0.20206821854632986</v>
      </c>
      <c r="K78" s="13">
        <f>K77-('Konfigurasi Model'!$B$11*V77)</f>
        <v>-0.17261248482757086</v>
      </c>
      <c r="L78" s="13">
        <f>L77-('Konfigurasi Model'!$B$11*W77)</f>
        <v>0.79561748738625615</v>
      </c>
      <c r="M78" s="13">
        <f>M77-('Konfigurasi Model'!$B$11*X77)</f>
        <v>0.69576417911223676</v>
      </c>
      <c r="N78" s="13">
        <f t="shared" si="22"/>
        <v>3.8124986623275468</v>
      </c>
      <c r="O78" s="13">
        <f t="shared" si="23"/>
        <v>0.97838463894808991</v>
      </c>
      <c r="P78" s="12">
        <f t="shared" si="24"/>
        <v>1</v>
      </c>
      <c r="Q78" s="13">
        <f t="shared" si="25"/>
        <v>-2.1615361051910087E-2</v>
      </c>
      <c r="R78" s="13">
        <f t="shared" si="26"/>
        <v>4.6722383340443152E-4</v>
      </c>
      <c r="T78" s="14">
        <f t="shared" si="27"/>
        <v>-9.1424924310667445E-4</v>
      </c>
      <c r="U78" s="14">
        <f t="shared" si="28"/>
        <v>-5.4854954586400469E-3</v>
      </c>
      <c r="V78" s="14">
        <f t="shared" si="29"/>
        <v>-2.4684729563880211E-3</v>
      </c>
      <c r="W78" s="14">
        <f t="shared" si="30"/>
        <v>-4.6626711398440393E-3</v>
      </c>
      <c r="X78" s="14">
        <f t="shared" si="31"/>
        <v>-1.4627987889706791E-3</v>
      </c>
      <c r="Y78" s="12">
        <f t="shared" si="32"/>
        <v>1</v>
      </c>
    </row>
    <row r="79" spans="1:25" x14ac:dyDescent="0.3">
      <c r="A79" s="23"/>
      <c r="B79" s="12">
        <v>75</v>
      </c>
      <c r="C79" s="12">
        <v>5.4</v>
      </c>
      <c r="D79" s="12">
        <v>3</v>
      </c>
      <c r="E79" s="12">
        <v>4.5</v>
      </c>
      <c r="F79" s="12">
        <v>1.5</v>
      </c>
      <c r="G79" s="12">
        <v>1</v>
      </c>
      <c r="I79" s="13">
        <f>I78-('Konfigurasi Model'!$B$11*T78)</f>
        <v>0.32018123531479348</v>
      </c>
      <c r="J79" s="13">
        <f>J78-('Konfigurasi Model'!$B$11*U78)</f>
        <v>-0.20151966900046586</v>
      </c>
      <c r="K79" s="13">
        <f>K78-('Konfigurasi Model'!$B$11*V78)</f>
        <v>-0.17236563753193204</v>
      </c>
      <c r="L79" s="13">
        <f>L78-('Konfigurasi Model'!$B$11*W78)</f>
        <v>0.7960837545002406</v>
      </c>
      <c r="M79" s="13">
        <f>M78-('Konfigurasi Model'!$B$11*X78)</f>
        <v>0.6959104589911338</v>
      </c>
      <c r="N79" s="13">
        <f t="shared" si="22"/>
        <v>3.3411206938542648</v>
      </c>
      <c r="O79" s="13">
        <f t="shared" si="23"/>
        <v>0.96581286512047304</v>
      </c>
      <c r="P79" s="12">
        <f t="shared" si="24"/>
        <v>1</v>
      </c>
      <c r="Q79" s="13">
        <f t="shared" si="25"/>
        <v>-3.4187134879526959E-2</v>
      </c>
      <c r="R79" s="13">
        <f t="shared" si="26"/>
        <v>1.1687601912709687E-3</v>
      </c>
      <c r="T79" s="14">
        <f t="shared" si="27"/>
        <v>-2.2576072579403327E-3</v>
      </c>
      <c r="U79" s="14">
        <f t="shared" si="28"/>
        <v>-1.2191079192877798E-2</v>
      </c>
      <c r="V79" s="14">
        <f t="shared" si="29"/>
        <v>-6.7728217738209986E-3</v>
      </c>
      <c r="W79" s="14">
        <f t="shared" si="30"/>
        <v>-1.0159232660731498E-2</v>
      </c>
      <c r="X79" s="14">
        <f t="shared" si="31"/>
        <v>-3.3864108869104993E-3</v>
      </c>
      <c r="Y79" s="12">
        <f t="shared" si="32"/>
        <v>1</v>
      </c>
    </row>
    <row r="80" spans="1:25" x14ac:dyDescent="0.3">
      <c r="A80" s="23"/>
      <c r="B80" s="12">
        <v>76</v>
      </c>
      <c r="C80" s="12">
        <v>6</v>
      </c>
      <c r="D80" s="12">
        <v>3.4</v>
      </c>
      <c r="E80" s="12">
        <v>4.5</v>
      </c>
      <c r="F80" s="12">
        <v>1.6</v>
      </c>
      <c r="G80" s="12">
        <v>1</v>
      </c>
      <c r="I80" s="13">
        <f>I79-('Konfigurasi Model'!$B$11*T79)</f>
        <v>0.32040699604058753</v>
      </c>
      <c r="J80" s="13">
        <f>J79-('Konfigurasi Model'!$B$11*U79)</f>
        <v>-0.20030056108117808</v>
      </c>
      <c r="K80" s="13">
        <f>K79-('Konfigurasi Model'!$B$11*V79)</f>
        <v>-0.17168835535454993</v>
      </c>
      <c r="L80" s="13">
        <f>L79-('Konfigurasi Model'!$B$11*W79)</f>
        <v>0.79709967776631374</v>
      </c>
      <c r="M80" s="13">
        <f>M79-('Konfigurasi Model'!$B$11*X79)</f>
        <v>0.69624910007982488</v>
      </c>
      <c r="N80" s="13">
        <f t="shared" si="22"/>
        <v>3.2358103314241808</v>
      </c>
      <c r="O80" s="13">
        <f t="shared" si="23"/>
        <v>0.96215986596706604</v>
      </c>
      <c r="P80" s="12">
        <f t="shared" si="24"/>
        <v>1</v>
      </c>
      <c r="Q80" s="13">
        <f t="shared" si="25"/>
        <v>-3.7840134032933959E-2</v>
      </c>
      <c r="R80" s="13">
        <f t="shared" si="26"/>
        <v>1.4318757436304068E-3</v>
      </c>
      <c r="T80" s="14">
        <f t="shared" si="27"/>
        <v>-2.7553867471458503E-3</v>
      </c>
      <c r="U80" s="14">
        <f t="shared" si="28"/>
        <v>-1.6532320482875101E-2</v>
      </c>
      <c r="V80" s="14">
        <f t="shared" si="29"/>
        <v>-9.3683149402958906E-3</v>
      </c>
      <c r="W80" s="14">
        <f t="shared" si="30"/>
        <v>-1.2399240362156326E-2</v>
      </c>
      <c r="X80" s="14">
        <f t="shared" si="31"/>
        <v>-4.4086187954333602E-3</v>
      </c>
      <c r="Y80" s="12">
        <f t="shared" si="32"/>
        <v>1</v>
      </c>
    </row>
    <row r="81" spans="1:25" x14ac:dyDescent="0.3">
      <c r="A81" s="23"/>
      <c r="B81" s="12">
        <v>77</v>
      </c>
      <c r="C81" s="12">
        <v>6.7</v>
      </c>
      <c r="D81" s="12">
        <v>3.1</v>
      </c>
      <c r="E81" s="12">
        <v>4.7</v>
      </c>
      <c r="F81" s="12">
        <v>1.5</v>
      </c>
      <c r="G81" s="12">
        <v>1</v>
      </c>
      <c r="I81" s="13">
        <f>I80-('Konfigurasi Model'!$B$11*T80)</f>
        <v>0.32068253471530211</v>
      </c>
      <c r="J81" s="13">
        <f>J80-('Konfigurasi Model'!$B$11*U80)</f>
        <v>-0.19864732903289056</v>
      </c>
      <c r="K81" s="13">
        <f>K80-('Konfigurasi Model'!$B$11*V80)</f>
        <v>-0.17075152386052034</v>
      </c>
      <c r="L81" s="13">
        <f>L80-('Konfigurasi Model'!$B$11*W80)</f>
        <v>0.79833960180252939</v>
      </c>
      <c r="M81" s="13">
        <f>M80-('Konfigurasi Model'!$B$11*X80)</f>
        <v>0.69668996195936816</v>
      </c>
      <c r="N81" s="13">
        <f t="shared" si="22"/>
        <v>3.2576467776382625</v>
      </c>
      <c r="O81" s="13">
        <f t="shared" si="23"/>
        <v>0.96294691878576355</v>
      </c>
      <c r="P81" s="12">
        <f t="shared" si="24"/>
        <v>1</v>
      </c>
      <c r="Q81" s="13">
        <f t="shared" si="25"/>
        <v>-3.705308121423645E-2</v>
      </c>
      <c r="R81" s="13">
        <f t="shared" si="26"/>
        <v>1.3729308274688021E-3</v>
      </c>
      <c r="T81" s="14">
        <f t="shared" si="27"/>
        <v>-2.6441190200341435E-3</v>
      </c>
      <c r="U81" s="14">
        <f t="shared" si="28"/>
        <v>-1.7715597434228764E-2</v>
      </c>
      <c r="V81" s="14">
        <f t="shared" si="29"/>
        <v>-8.1967689621058448E-3</v>
      </c>
      <c r="W81" s="14">
        <f t="shared" si="30"/>
        <v>-1.2427359394160476E-2</v>
      </c>
      <c r="X81" s="14">
        <f t="shared" si="31"/>
        <v>-3.9661785300512155E-3</v>
      </c>
      <c r="Y81" s="12">
        <f t="shared" si="32"/>
        <v>1</v>
      </c>
    </row>
    <row r="82" spans="1:25" x14ac:dyDescent="0.3">
      <c r="A82" s="23"/>
      <c r="B82" s="12">
        <v>78</v>
      </c>
      <c r="C82" s="12">
        <v>6.3</v>
      </c>
      <c r="D82" s="12">
        <v>2.2999999999999998</v>
      </c>
      <c r="E82" s="12">
        <v>4.4000000000000004</v>
      </c>
      <c r="F82" s="12">
        <v>1.3</v>
      </c>
      <c r="G82" s="12">
        <v>1</v>
      </c>
      <c r="I82" s="13">
        <f>I81-('Konfigurasi Model'!$B$11*T81)</f>
        <v>0.32094694661730555</v>
      </c>
      <c r="J82" s="13">
        <f>J81-('Konfigurasi Model'!$B$11*U81)</f>
        <v>-0.19687576928946768</v>
      </c>
      <c r="K82" s="13">
        <f>K81-('Konfigurasi Model'!$B$11*V81)</f>
        <v>-0.16993184696430974</v>
      </c>
      <c r="L82" s="13">
        <f>L81-('Konfigurasi Model'!$B$11*W81)</f>
        <v>0.79958233774194543</v>
      </c>
      <c r="M82" s="13">
        <f>M81-('Konfigurasi Model'!$B$11*X81)</f>
        <v>0.69708657981237332</v>
      </c>
      <c r="N82" s="13">
        <f t="shared" si="22"/>
        <v>3.1141611918963927</v>
      </c>
      <c r="O82" s="13">
        <f t="shared" si="23"/>
        <v>0.95747311555909731</v>
      </c>
      <c r="P82" s="12">
        <f t="shared" si="24"/>
        <v>1</v>
      </c>
      <c r="Q82" s="13">
        <f t="shared" si="25"/>
        <v>-4.252688444090269E-2</v>
      </c>
      <c r="R82" s="13">
        <f t="shared" si="26"/>
        <v>1.8085359002498913E-3</v>
      </c>
      <c r="T82" s="14">
        <f t="shared" si="27"/>
        <v>-3.4632490060254807E-3</v>
      </c>
      <c r="U82" s="14">
        <f t="shared" si="28"/>
        <v>-2.1818468737960527E-2</v>
      </c>
      <c r="V82" s="14">
        <f t="shared" si="29"/>
        <v>-7.9654727138586054E-3</v>
      </c>
      <c r="W82" s="14">
        <f t="shared" si="30"/>
        <v>-1.5238295626512117E-2</v>
      </c>
      <c r="X82" s="14">
        <f t="shared" si="31"/>
        <v>-4.5022237078331251E-3</v>
      </c>
      <c r="Y82" s="12">
        <f t="shared" si="32"/>
        <v>1</v>
      </c>
    </row>
    <row r="83" spans="1:25" x14ac:dyDescent="0.3">
      <c r="A83" s="23"/>
      <c r="B83" s="12">
        <v>79</v>
      </c>
      <c r="C83" s="12">
        <v>5.6</v>
      </c>
      <c r="D83" s="12">
        <v>3</v>
      </c>
      <c r="E83" s="12">
        <v>4.0999999999999996</v>
      </c>
      <c r="F83" s="12">
        <v>1.3</v>
      </c>
      <c r="G83" s="12">
        <v>1</v>
      </c>
      <c r="I83" s="13">
        <f>I82-('Konfigurasi Model'!$B$11*T82)</f>
        <v>0.3212932715179081</v>
      </c>
      <c r="J83" s="13">
        <f>J82-('Konfigurasi Model'!$B$11*U82)</f>
        <v>-0.19469392241567163</v>
      </c>
      <c r="K83" s="13">
        <f>K82-('Konfigurasi Model'!$B$11*V82)</f>
        <v>-0.16913529969292387</v>
      </c>
      <c r="L83" s="13">
        <f>L82-('Konfigurasi Model'!$B$11*W82)</f>
        <v>0.80110616730459661</v>
      </c>
      <c r="M83" s="13">
        <f>M82-('Konfigurasi Model'!$B$11*X82)</f>
        <v>0.69753680218315661</v>
      </c>
      <c r="N83" s="13">
        <f t="shared" si="22"/>
        <v>2.9149345356983245</v>
      </c>
      <c r="O83" s="13">
        <f t="shared" si="23"/>
        <v>0.94857978577629443</v>
      </c>
      <c r="P83" s="12">
        <f t="shared" si="24"/>
        <v>1</v>
      </c>
      <c r="Q83" s="13">
        <f t="shared" si="25"/>
        <v>-5.1420214223705574E-2</v>
      </c>
      <c r="R83" s="13">
        <f t="shared" si="26"/>
        <v>2.644038430811773E-3</v>
      </c>
      <c r="T83" s="14">
        <f t="shared" si="27"/>
        <v>-5.0161628165674424E-3</v>
      </c>
      <c r="U83" s="14">
        <f t="shared" si="28"/>
        <v>-2.8090511772777674E-2</v>
      </c>
      <c r="V83" s="14">
        <f t="shared" si="29"/>
        <v>-1.5048488449702326E-2</v>
      </c>
      <c r="W83" s="14">
        <f t="shared" si="30"/>
        <v>-2.0566267547926512E-2</v>
      </c>
      <c r="X83" s="14">
        <f t="shared" si="31"/>
        <v>-6.5210116615376755E-3</v>
      </c>
      <c r="Y83" s="12">
        <f t="shared" si="32"/>
        <v>1</v>
      </c>
    </row>
    <row r="84" spans="1:25" x14ac:dyDescent="0.3">
      <c r="A84" s="23"/>
      <c r="B84" s="12">
        <v>80</v>
      </c>
      <c r="C84" s="12">
        <v>5.5</v>
      </c>
      <c r="D84" s="12">
        <v>2.5</v>
      </c>
      <c r="E84" s="12">
        <v>4</v>
      </c>
      <c r="F84" s="12">
        <v>1.3</v>
      </c>
      <c r="G84" s="12">
        <v>1</v>
      </c>
      <c r="I84" s="13">
        <f>I83-('Konfigurasi Model'!$B$11*T83)</f>
        <v>0.32179488779956483</v>
      </c>
      <c r="J84" s="13">
        <f>J83-('Konfigurasi Model'!$B$11*U83)</f>
        <v>-0.19188487123839387</v>
      </c>
      <c r="K84" s="13">
        <f>K83-('Konfigurasi Model'!$B$11*V83)</f>
        <v>-0.16763045084795364</v>
      </c>
      <c r="L84" s="13">
        <f>L83-('Konfigurasi Model'!$B$11*W83)</f>
        <v>0.80316279405938928</v>
      </c>
      <c r="M84" s="13">
        <f>M83-('Konfigurasi Model'!$B$11*X83)</f>
        <v>0.69818890334931039</v>
      </c>
      <c r="N84" s="13">
        <f t="shared" si="22"/>
        <v>2.9676487194601751</v>
      </c>
      <c r="O84" s="13">
        <f t="shared" si="23"/>
        <v>0.95109101867047019</v>
      </c>
      <c r="P84" s="12">
        <f t="shared" si="24"/>
        <v>1</v>
      </c>
      <c r="Q84" s="13">
        <f t="shared" si="25"/>
        <v>-4.890898132952981E-2</v>
      </c>
      <c r="R84" s="13">
        <f t="shared" si="26"/>
        <v>2.3920884546922956E-3</v>
      </c>
      <c r="T84" s="14">
        <f t="shared" si="27"/>
        <v>-4.550187690246333E-3</v>
      </c>
      <c r="U84" s="14">
        <f t="shared" si="28"/>
        <v>-2.5026032296354833E-2</v>
      </c>
      <c r="V84" s="14">
        <f t="shared" si="29"/>
        <v>-1.1375469225615832E-2</v>
      </c>
      <c r="W84" s="14">
        <f t="shared" si="30"/>
        <v>-1.8200750760985332E-2</v>
      </c>
      <c r="X84" s="14">
        <f t="shared" si="31"/>
        <v>-5.9152439973202331E-3</v>
      </c>
      <c r="Y84" s="12">
        <f t="shared" si="32"/>
        <v>1</v>
      </c>
    </row>
    <row r="85" spans="1:25" x14ac:dyDescent="0.3">
      <c r="Q85" s="15" t="s">
        <v>74</v>
      </c>
      <c r="R85" s="16">
        <f>AVERAGE(R5:R84)</f>
        <v>4.4862842218896144E-2</v>
      </c>
      <c r="X85" s="15" t="s">
        <v>75</v>
      </c>
      <c r="Y85" s="17">
        <f>AVERAGE(Y5:Y84)</f>
        <v>0.9375</v>
      </c>
    </row>
    <row r="87" spans="1:25" ht="15.6" x14ac:dyDescent="0.3">
      <c r="A87" s="1" t="s">
        <v>91</v>
      </c>
    </row>
    <row r="88" spans="1:25" x14ac:dyDescent="0.3">
      <c r="G88" s="9" t="s">
        <v>48</v>
      </c>
      <c r="I88" s="25" t="s">
        <v>16</v>
      </c>
      <c r="J88" s="25"/>
      <c r="K88" s="26">
        <f>'Konfigurasi Model'!$B$11</f>
        <v>0.1</v>
      </c>
      <c r="L88" s="26"/>
      <c r="M88" s="26"/>
    </row>
    <row r="89" spans="1:25" ht="15" customHeight="1" x14ac:dyDescent="0.3">
      <c r="G89" s="9" t="s">
        <v>49</v>
      </c>
      <c r="I89" s="24" t="s">
        <v>50</v>
      </c>
      <c r="J89" s="24"/>
      <c r="K89" s="24"/>
      <c r="L89" s="24"/>
      <c r="M89" s="24"/>
      <c r="N89" s="10" t="s">
        <v>51</v>
      </c>
      <c r="O89" s="10" t="s">
        <v>17</v>
      </c>
      <c r="P89" s="24" t="s">
        <v>52</v>
      </c>
      <c r="Q89" s="24" t="s">
        <v>20</v>
      </c>
      <c r="R89" s="24" t="s">
        <v>23</v>
      </c>
    </row>
    <row r="90" spans="1:25" x14ac:dyDescent="0.3">
      <c r="A90" s="10" t="s">
        <v>53</v>
      </c>
      <c r="B90" s="10" t="s">
        <v>54</v>
      </c>
      <c r="C90" s="10" t="s">
        <v>55</v>
      </c>
      <c r="D90" s="10" t="s">
        <v>56</v>
      </c>
      <c r="E90" s="10" t="s">
        <v>57</v>
      </c>
      <c r="F90" s="10" t="s">
        <v>58</v>
      </c>
      <c r="G90" s="10" t="s">
        <v>59</v>
      </c>
      <c r="I90" s="10" t="s">
        <v>60</v>
      </c>
      <c r="J90" s="10" t="s">
        <v>61</v>
      </c>
      <c r="K90" s="10" t="s">
        <v>62</v>
      </c>
      <c r="L90" s="10" t="s">
        <v>63</v>
      </c>
      <c r="M90" s="10" t="s">
        <v>64</v>
      </c>
      <c r="N90" s="10" t="s">
        <v>65</v>
      </c>
      <c r="O90" s="10" t="s">
        <v>66</v>
      </c>
      <c r="P90" s="24"/>
      <c r="Q90" s="24"/>
      <c r="R90" s="24"/>
      <c r="T90" s="10" t="s">
        <v>72</v>
      </c>
    </row>
    <row r="91" spans="1:25" x14ac:dyDescent="0.3">
      <c r="A91" s="23" t="s">
        <v>77</v>
      </c>
      <c r="B91" s="12">
        <v>1</v>
      </c>
      <c r="C91" s="12">
        <v>5</v>
      </c>
      <c r="D91" s="12">
        <v>3.5</v>
      </c>
      <c r="E91" s="12">
        <v>1.3</v>
      </c>
      <c r="F91" s="12">
        <v>0.3</v>
      </c>
      <c r="G91" s="12">
        <v>0</v>
      </c>
      <c r="I91" s="13">
        <f>I84</f>
        <v>0.32179488779956483</v>
      </c>
      <c r="J91" s="13">
        <f>J84</f>
        <v>-0.19188487123839387</v>
      </c>
      <c r="K91" s="13">
        <f>K84</f>
        <v>-0.16763045084795364</v>
      </c>
      <c r="L91" s="13">
        <f>L84</f>
        <v>0.80316279405938928</v>
      </c>
      <c r="M91" s="13">
        <f>M84</f>
        <v>0.69818890334931039</v>
      </c>
      <c r="N91" s="13">
        <f t="shared" ref="N91:N110" si="33">I91+J91*C91+K91*D91+L91*E91+M91*F91</f>
        <v>2.9232256921757099E-2</v>
      </c>
      <c r="O91" s="13">
        <f t="shared" ref="O91:O110" si="34">1/(1+EXP(-N91))</f>
        <v>0.50730754386470145</v>
      </c>
      <c r="P91" s="12">
        <f t="shared" ref="P91:P110" si="35">IF(O91&gt;0.5,1,0)</f>
        <v>1</v>
      </c>
      <c r="Q91" s="13">
        <f t="shared" ref="Q91:Q110" si="36">O91-G91</f>
        <v>0.50730754386470145</v>
      </c>
      <c r="R91" s="13">
        <f t="shared" ref="R91:R110" si="37">Q91^2</f>
        <v>0.25736094406203597</v>
      </c>
      <c r="T91" s="12">
        <f t="shared" ref="T91:T110" si="38">IF(P91=G91,1,0)</f>
        <v>0</v>
      </c>
    </row>
    <row r="92" spans="1:25" x14ac:dyDescent="0.3">
      <c r="A92" s="23"/>
      <c r="B92" s="12">
        <v>2</v>
      </c>
      <c r="C92" s="12">
        <v>4.5</v>
      </c>
      <c r="D92" s="12">
        <v>2.2999999999999998</v>
      </c>
      <c r="E92" s="12">
        <v>1.3</v>
      </c>
      <c r="F92" s="12">
        <v>0.3</v>
      </c>
      <c r="G92" s="12">
        <v>0</v>
      </c>
      <c r="I92" s="13">
        <f t="shared" ref="I92:I110" si="39">I91</f>
        <v>0.32179488779956483</v>
      </c>
      <c r="J92" s="13">
        <f t="shared" ref="J92:J110" si="40">J91</f>
        <v>-0.19188487123839387</v>
      </c>
      <c r="K92" s="13">
        <f t="shared" ref="K92:K110" si="41">K91</f>
        <v>-0.16763045084795364</v>
      </c>
      <c r="L92" s="13">
        <f t="shared" ref="L92:L110" si="42">L91</f>
        <v>0.80316279405938928</v>
      </c>
      <c r="M92" s="13">
        <f t="shared" ref="M92:M110" si="43">M91</f>
        <v>0.69818890334931039</v>
      </c>
      <c r="N92" s="13">
        <f t="shared" si="33"/>
        <v>0.32633123355849847</v>
      </c>
      <c r="O92" s="13">
        <f t="shared" si="34"/>
        <v>0.58086644261237719</v>
      </c>
      <c r="P92" s="12">
        <f t="shared" si="35"/>
        <v>1</v>
      </c>
      <c r="Q92" s="13">
        <f t="shared" si="36"/>
        <v>0.58086644261237719</v>
      </c>
      <c r="R92" s="13">
        <f t="shared" si="37"/>
        <v>0.33740582415315806</v>
      </c>
      <c r="T92" s="12">
        <f t="shared" si="38"/>
        <v>0</v>
      </c>
    </row>
    <row r="93" spans="1:25" x14ac:dyDescent="0.3">
      <c r="A93" s="23"/>
      <c r="B93" s="12">
        <v>3</v>
      </c>
      <c r="C93" s="12">
        <v>4.4000000000000004</v>
      </c>
      <c r="D93" s="12">
        <v>3.2</v>
      </c>
      <c r="E93" s="12">
        <v>1.3</v>
      </c>
      <c r="F93" s="12">
        <v>0.2</v>
      </c>
      <c r="G93" s="12">
        <v>0</v>
      </c>
      <c r="I93" s="13">
        <f t="shared" si="39"/>
        <v>0.32179488779956483</v>
      </c>
      <c r="J93" s="13">
        <f t="shared" si="40"/>
        <v>-0.19188487123839387</v>
      </c>
      <c r="K93" s="13">
        <f t="shared" si="41"/>
        <v>-0.16763045084795364</v>
      </c>
      <c r="L93" s="13">
        <f t="shared" si="42"/>
        <v>0.80316279405938928</v>
      </c>
      <c r="M93" s="13">
        <f t="shared" si="43"/>
        <v>0.69818890334931039</v>
      </c>
      <c r="N93" s="13">
        <f t="shared" si="33"/>
        <v>0.12483342458424837</v>
      </c>
      <c r="O93" s="13">
        <f t="shared" si="34"/>
        <v>0.53116789155287913</v>
      </c>
      <c r="P93" s="12">
        <f t="shared" si="35"/>
        <v>1</v>
      </c>
      <c r="Q93" s="13">
        <f t="shared" si="36"/>
        <v>0.53116789155287913</v>
      </c>
      <c r="R93" s="13">
        <f t="shared" si="37"/>
        <v>0.28213932901673117</v>
      </c>
      <c r="T93" s="12">
        <f t="shared" si="38"/>
        <v>0</v>
      </c>
    </row>
    <row r="94" spans="1:25" x14ac:dyDescent="0.3">
      <c r="A94" s="23"/>
      <c r="B94" s="12">
        <v>4</v>
      </c>
      <c r="C94" s="12">
        <v>5</v>
      </c>
      <c r="D94" s="12">
        <v>3.5</v>
      </c>
      <c r="E94" s="12">
        <v>1.6</v>
      </c>
      <c r="F94" s="12">
        <v>0.6</v>
      </c>
      <c r="G94" s="12">
        <v>0</v>
      </c>
      <c r="I94" s="13">
        <f t="shared" si="39"/>
        <v>0.32179488779956483</v>
      </c>
      <c r="J94" s="13">
        <f t="shared" si="40"/>
        <v>-0.19188487123839387</v>
      </c>
      <c r="K94" s="13">
        <f t="shared" si="41"/>
        <v>-0.16763045084795364</v>
      </c>
      <c r="L94" s="13">
        <f t="shared" si="42"/>
        <v>0.80316279405938928</v>
      </c>
      <c r="M94" s="13">
        <f t="shared" si="43"/>
        <v>0.69818890334931039</v>
      </c>
      <c r="N94" s="13">
        <f t="shared" si="33"/>
        <v>0.47963776614436709</v>
      </c>
      <c r="O94" s="13">
        <f t="shared" si="34"/>
        <v>0.61766233487156008</v>
      </c>
      <c r="P94" s="12">
        <f t="shared" si="35"/>
        <v>1</v>
      </c>
      <c r="Q94" s="13">
        <f t="shared" si="36"/>
        <v>0.61766233487156008</v>
      </c>
      <c r="R94" s="13">
        <f t="shared" si="37"/>
        <v>0.38150675991898725</v>
      </c>
      <c r="T94" s="12">
        <f t="shared" si="38"/>
        <v>0</v>
      </c>
    </row>
    <row r="95" spans="1:25" x14ac:dyDescent="0.3">
      <c r="A95" s="23"/>
      <c r="B95" s="12">
        <v>5</v>
      </c>
      <c r="C95" s="12">
        <v>5.0999999999999996</v>
      </c>
      <c r="D95" s="12">
        <v>3.8</v>
      </c>
      <c r="E95" s="12">
        <v>1.9</v>
      </c>
      <c r="F95" s="12">
        <v>0.4</v>
      </c>
      <c r="G95" s="12">
        <v>0</v>
      </c>
      <c r="I95" s="13">
        <f t="shared" si="39"/>
        <v>0.32179488779956483</v>
      </c>
      <c r="J95" s="13">
        <f t="shared" si="40"/>
        <v>-0.19188487123839387</v>
      </c>
      <c r="K95" s="13">
        <f t="shared" si="41"/>
        <v>-0.16763045084795364</v>
      </c>
      <c r="L95" s="13">
        <f t="shared" si="42"/>
        <v>0.80316279405938928</v>
      </c>
      <c r="M95" s="13">
        <f t="shared" si="43"/>
        <v>0.69818890334931039</v>
      </c>
      <c r="N95" s="13">
        <f t="shared" si="33"/>
        <v>0.51147120131409585</v>
      </c>
      <c r="O95" s="13">
        <f t="shared" si="34"/>
        <v>0.62515129502349875</v>
      </c>
      <c r="P95" s="12">
        <f t="shared" si="35"/>
        <v>1</v>
      </c>
      <c r="Q95" s="13">
        <f t="shared" si="36"/>
        <v>0.62515129502349875</v>
      </c>
      <c r="R95" s="13">
        <f t="shared" si="37"/>
        <v>0.39081414166955758</v>
      </c>
      <c r="T95" s="12">
        <f t="shared" si="38"/>
        <v>0</v>
      </c>
    </row>
    <row r="96" spans="1:25" x14ac:dyDescent="0.3">
      <c r="A96" s="23"/>
      <c r="B96" s="12">
        <v>6</v>
      </c>
      <c r="C96" s="12">
        <v>4.8</v>
      </c>
      <c r="D96" s="12">
        <v>3</v>
      </c>
      <c r="E96" s="12">
        <v>1.4</v>
      </c>
      <c r="F96" s="12">
        <v>0.3</v>
      </c>
      <c r="G96" s="12">
        <v>0</v>
      </c>
      <c r="I96" s="13">
        <f t="shared" si="39"/>
        <v>0.32179488779956483</v>
      </c>
      <c r="J96" s="13">
        <f t="shared" si="40"/>
        <v>-0.19188487123839387</v>
      </c>
      <c r="K96" s="13">
        <f t="shared" si="41"/>
        <v>-0.16763045084795364</v>
      </c>
      <c r="L96" s="13">
        <f t="shared" si="42"/>
        <v>0.80316279405938928</v>
      </c>
      <c r="M96" s="13">
        <f t="shared" si="43"/>
        <v>0.69818890334931039</v>
      </c>
      <c r="N96" s="13">
        <f t="shared" si="33"/>
        <v>0.23174073599935127</v>
      </c>
      <c r="O96" s="13">
        <f t="shared" si="34"/>
        <v>0.55767729075174888</v>
      </c>
      <c r="P96" s="12">
        <f t="shared" si="35"/>
        <v>1</v>
      </c>
      <c r="Q96" s="13">
        <f t="shared" si="36"/>
        <v>0.55767729075174888</v>
      </c>
      <c r="R96" s="13">
        <f t="shared" si="37"/>
        <v>0.31100396062021063</v>
      </c>
      <c r="T96" s="12">
        <f t="shared" si="38"/>
        <v>0</v>
      </c>
    </row>
    <row r="97" spans="1:20" x14ac:dyDescent="0.3">
      <c r="A97" s="23"/>
      <c r="B97" s="12">
        <v>7</v>
      </c>
      <c r="C97" s="12">
        <v>5.0999999999999996</v>
      </c>
      <c r="D97" s="12">
        <v>3.8</v>
      </c>
      <c r="E97" s="12">
        <v>1.6</v>
      </c>
      <c r="F97" s="12">
        <v>0.2</v>
      </c>
      <c r="G97" s="12">
        <v>0</v>
      </c>
      <c r="I97" s="13">
        <f t="shared" si="39"/>
        <v>0.32179488779956483</v>
      </c>
      <c r="J97" s="13">
        <f t="shared" si="40"/>
        <v>-0.19188487123839387</v>
      </c>
      <c r="K97" s="13">
        <f t="shared" si="41"/>
        <v>-0.16763045084795364</v>
      </c>
      <c r="L97" s="13">
        <f t="shared" si="42"/>
        <v>0.80316279405938928</v>
      </c>
      <c r="M97" s="13">
        <f t="shared" si="43"/>
        <v>0.69818890334931039</v>
      </c>
      <c r="N97" s="13">
        <f t="shared" si="33"/>
        <v>0.13088458242641729</v>
      </c>
      <c r="O97" s="13">
        <f t="shared" si="34"/>
        <v>0.53267451394298337</v>
      </c>
      <c r="P97" s="12">
        <f t="shared" si="35"/>
        <v>1</v>
      </c>
      <c r="Q97" s="13">
        <f t="shared" si="36"/>
        <v>0.53267451394298337</v>
      </c>
      <c r="R97" s="13">
        <f t="shared" si="37"/>
        <v>0.28374213780439361</v>
      </c>
      <c r="T97" s="12">
        <f t="shared" si="38"/>
        <v>0</v>
      </c>
    </row>
    <row r="98" spans="1:20" x14ac:dyDescent="0.3">
      <c r="A98" s="23"/>
      <c r="B98" s="12">
        <v>8</v>
      </c>
      <c r="C98" s="12">
        <v>4.5999999999999996</v>
      </c>
      <c r="D98" s="12">
        <v>3.2</v>
      </c>
      <c r="E98" s="12">
        <v>1.4</v>
      </c>
      <c r="F98" s="12">
        <v>0.2</v>
      </c>
      <c r="G98" s="12">
        <v>0</v>
      </c>
      <c r="I98" s="13">
        <f t="shared" si="39"/>
        <v>0.32179488779956483</v>
      </c>
      <c r="J98" s="13">
        <f t="shared" si="40"/>
        <v>-0.19188487123839387</v>
      </c>
      <c r="K98" s="13">
        <f t="shared" si="41"/>
        <v>-0.16763045084795364</v>
      </c>
      <c r="L98" s="13">
        <f t="shared" si="42"/>
        <v>0.80316279405938928</v>
      </c>
      <c r="M98" s="13">
        <f t="shared" si="43"/>
        <v>0.69818890334931039</v>
      </c>
      <c r="N98" s="13">
        <f t="shared" si="33"/>
        <v>0.16677272974250809</v>
      </c>
      <c r="O98" s="13">
        <f t="shared" si="34"/>
        <v>0.54159681558149408</v>
      </c>
      <c r="P98" s="12">
        <f t="shared" si="35"/>
        <v>1</v>
      </c>
      <c r="Q98" s="13">
        <f t="shared" si="36"/>
        <v>0.54159681558149408</v>
      </c>
      <c r="R98" s="13">
        <f t="shared" si="37"/>
        <v>0.29332711064801492</v>
      </c>
      <c r="T98" s="12">
        <f t="shared" si="38"/>
        <v>0</v>
      </c>
    </row>
    <row r="99" spans="1:20" x14ac:dyDescent="0.3">
      <c r="A99" s="23"/>
      <c r="B99" s="12">
        <v>9</v>
      </c>
      <c r="C99" s="12">
        <v>5.3</v>
      </c>
      <c r="D99" s="12">
        <v>3.7</v>
      </c>
      <c r="E99" s="12">
        <v>1.5</v>
      </c>
      <c r="F99" s="12">
        <v>0.2</v>
      </c>
      <c r="G99" s="12">
        <v>0</v>
      </c>
      <c r="I99" s="13">
        <f t="shared" si="39"/>
        <v>0.32179488779956483</v>
      </c>
      <c r="J99" s="13">
        <f t="shared" si="40"/>
        <v>-0.19188487123839387</v>
      </c>
      <c r="K99" s="13">
        <f t="shared" si="41"/>
        <v>-0.16763045084795364</v>
      </c>
      <c r="L99" s="13">
        <f t="shared" si="42"/>
        <v>0.80316279405938928</v>
      </c>
      <c r="M99" s="13">
        <f t="shared" si="43"/>
        <v>0.69818890334931039</v>
      </c>
      <c r="N99" s="13">
        <f t="shared" si="33"/>
        <v>2.8954373857594778E-2</v>
      </c>
      <c r="O99" s="13">
        <f t="shared" si="34"/>
        <v>0.5072380877970778</v>
      </c>
      <c r="P99" s="12">
        <f t="shared" si="35"/>
        <v>1</v>
      </c>
      <c r="Q99" s="13">
        <f t="shared" si="36"/>
        <v>0.5072380877970778</v>
      </c>
      <c r="R99" s="13">
        <f t="shared" si="37"/>
        <v>0.257290477712036</v>
      </c>
      <c r="T99" s="12">
        <f t="shared" si="38"/>
        <v>0</v>
      </c>
    </row>
    <row r="100" spans="1:20" x14ac:dyDescent="0.3">
      <c r="A100" s="23"/>
      <c r="B100" s="12">
        <v>10</v>
      </c>
      <c r="C100" s="12">
        <v>5</v>
      </c>
      <c r="D100" s="12">
        <v>3.3</v>
      </c>
      <c r="E100" s="12">
        <v>1.4</v>
      </c>
      <c r="F100" s="12">
        <v>0.2</v>
      </c>
      <c r="G100" s="12">
        <v>0</v>
      </c>
      <c r="I100" s="13">
        <f t="shared" si="39"/>
        <v>0.32179488779956483</v>
      </c>
      <c r="J100" s="13">
        <f t="shared" si="40"/>
        <v>-0.19188487123839387</v>
      </c>
      <c r="K100" s="13">
        <f t="shared" si="41"/>
        <v>-0.16763045084795364</v>
      </c>
      <c r="L100" s="13">
        <f t="shared" si="42"/>
        <v>0.80316279405938928</v>
      </c>
      <c r="M100" s="13">
        <f t="shared" si="43"/>
        <v>0.69818890334931039</v>
      </c>
      <c r="N100" s="13">
        <f t="shared" si="33"/>
        <v>7.3255736162355561E-2</v>
      </c>
      <c r="O100" s="13">
        <f t="shared" si="34"/>
        <v>0.51830574843758581</v>
      </c>
      <c r="P100" s="12">
        <f t="shared" si="35"/>
        <v>1</v>
      </c>
      <c r="Q100" s="13">
        <f t="shared" si="36"/>
        <v>0.51830574843758581</v>
      </c>
      <c r="R100" s="13">
        <f t="shared" si="37"/>
        <v>0.26864084886344597</v>
      </c>
      <c r="T100" s="12">
        <f t="shared" si="38"/>
        <v>0</v>
      </c>
    </row>
    <row r="101" spans="1:20" x14ac:dyDescent="0.3">
      <c r="A101" s="23"/>
      <c r="B101" s="12">
        <v>11</v>
      </c>
      <c r="C101" s="12">
        <v>5.5</v>
      </c>
      <c r="D101" s="12">
        <v>2.6</v>
      </c>
      <c r="E101" s="12">
        <v>4.4000000000000004</v>
      </c>
      <c r="F101" s="12">
        <v>1.2</v>
      </c>
      <c r="G101" s="12">
        <v>1</v>
      </c>
      <c r="I101" s="13">
        <f t="shared" si="39"/>
        <v>0.32179488779956483</v>
      </c>
      <c r="J101" s="13">
        <f t="shared" si="40"/>
        <v>-0.19188487123839387</v>
      </c>
      <c r="K101" s="13">
        <f t="shared" si="41"/>
        <v>-0.16763045084795364</v>
      </c>
      <c r="L101" s="13">
        <f t="shared" si="42"/>
        <v>0.80316279405938928</v>
      </c>
      <c r="M101" s="13">
        <f t="shared" si="43"/>
        <v>0.69818890334931039</v>
      </c>
      <c r="N101" s="13">
        <f t="shared" si="33"/>
        <v>3.2023319016642047</v>
      </c>
      <c r="O101" s="13">
        <f t="shared" si="34"/>
        <v>0.96092193654766145</v>
      </c>
      <c r="P101" s="12">
        <f t="shared" si="35"/>
        <v>1</v>
      </c>
      <c r="Q101" s="13">
        <f t="shared" si="36"/>
        <v>-3.9078063452338552E-2</v>
      </c>
      <c r="R101" s="13">
        <f t="shared" si="37"/>
        <v>1.5270950431849981E-3</v>
      </c>
      <c r="T101" s="12">
        <f t="shared" si="38"/>
        <v>1</v>
      </c>
    </row>
    <row r="102" spans="1:20" x14ac:dyDescent="0.3">
      <c r="A102" s="23"/>
      <c r="B102" s="12">
        <v>12</v>
      </c>
      <c r="C102" s="12">
        <v>6.1</v>
      </c>
      <c r="D102" s="12">
        <v>3</v>
      </c>
      <c r="E102" s="12">
        <v>4.5999999999999996</v>
      </c>
      <c r="F102" s="12">
        <v>1.4</v>
      </c>
      <c r="G102" s="12">
        <v>1</v>
      </c>
      <c r="I102" s="13">
        <f t="shared" si="39"/>
        <v>0.32179488779956483</v>
      </c>
      <c r="J102" s="13">
        <f t="shared" si="40"/>
        <v>-0.19188487123839387</v>
      </c>
      <c r="K102" s="13">
        <f t="shared" si="41"/>
        <v>-0.16763045084795364</v>
      </c>
      <c r="L102" s="13">
        <f t="shared" si="42"/>
        <v>0.80316279405938928</v>
      </c>
      <c r="M102" s="13">
        <f t="shared" si="43"/>
        <v>0.69818890334931039</v>
      </c>
      <c r="N102" s="13">
        <f t="shared" si="33"/>
        <v>3.320419138063726</v>
      </c>
      <c r="O102" s="13">
        <f t="shared" si="34"/>
        <v>0.96512270277151191</v>
      </c>
      <c r="P102" s="12">
        <f t="shared" si="35"/>
        <v>1</v>
      </c>
      <c r="Q102" s="13">
        <f t="shared" si="36"/>
        <v>-3.4877297228488091E-2</v>
      </c>
      <c r="R102" s="13">
        <f t="shared" si="37"/>
        <v>1.216425861964303E-3</v>
      </c>
      <c r="T102" s="12">
        <f t="shared" si="38"/>
        <v>1</v>
      </c>
    </row>
    <row r="103" spans="1:20" x14ac:dyDescent="0.3">
      <c r="A103" s="23"/>
      <c r="B103" s="12">
        <v>13</v>
      </c>
      <c r="C103" s="12">
        <v>5.8</v>
      </c>
      <c r="D103" s="12">
        <v>2.6</v>
      </c>
      <c r="E103" s="12">
        <v>4</v>
      </c>
      <c r="F103" s="12">
        <v>1.2</v>
      </c>
      <c r="G103" s="12">
        <v>1</v>
      </c>
      <c r="I103" s="13">
        <f t="shared" si="39"/>
        <v>0.32179488779956483</v>
      </c>
      <c r="J103" s="13">
        <f t="shared" si="40"/>
        <v>-0.19188487123839387</v>
      </c>
      <c r="K103" s="13">
        <f t="shared" si="41"/>
        <v>-0.16763045084795364</v>
      </c>
      <c r="L103" s="13">
        <f t="shared" si="42"/>
        <v>0.80316279405938928</v>
      </c>
      <c r="M103" s="13">
        <f t="shared" si="43"/>
        <v>0.69818890334931039</v>
      </c>
      <c r="N103" s="13">
        <f t="shared" si="33"/>
        <v>2.8235013226689305</v>
      </c>
      <c r="O103" s="13">
        <f t="shared" si="34"/>
        <v>0.94393265799549797</v>
      </c>
      <c r="P103" s="12">
        <f t="shared" si="35"/>
        <v>1</v>
      </c>
      <c r="Q103" s="13">
        <f t="shared" si="36"/>
        <v>-5.606734200450203E-2</v>
      </c>
      <c r="R103" s="13">
        <f t="shared" si="37"/>
        <v>3.1435468394497975E-3</v>
      </c>
      <c r="T103" s="12">
        <f t="shared" si="38"/>
        <v>1</v>
      </c>
    </row>
    <row r="104" spans="1:20" x14ac:dyDescent="0.3">
      <c r="A104" s="23"/>
      <c r="B104" s="12">
        <v>14</v>
      </c>
      <c r="C104" s="12">
        <v>5</v>
      </c>
      <c r="D104" s="12">
        <v>2.2999999999999998</v>
      </c>
      <c r="E104" s="12">
        <v>3.3</v>
      </c>
      <c r="F104" s="12">
        <v>1</v>
      </c>
      <c r="G104" s="12">
        <v>1</v>
      </c>
      <c r="I104" s="13">
        <f t="shared" si="39"/>
        <v>0.32179488779956483</v>
      </c>
      <c r="J104" s="13">
        <f t="shared" si="40"/>
        <v>-0.19188487123839387</v>
      </c>
      <c r="K104" s="13">
        <f t="shared" si="41"/>
        <v>-0.16763045084795364</v>
      </c>
      <c r="L104" s="13">
        <f t="shared" si="42"/>
        <v>0.80316279405938928</v>
      </c>
      <c r="M104" s="13">
        <f t="shared" si="43"/>
        <v>0.69818890334931039</v>
      </c>
      <c r="N104" s="13">
        <f t="shared" si="33"/>
        <v>2.325446618402597</v>
      </c>
      <c r="O104" s="13">
        <f t="shared" si="34"/>
        <v>0.91096270397890078</v>
      </c>
      <c r="P104" s="12">
        <f t="shared" si="35"/>
        <v>1</v>
      </c>
      <c r="Q104" s="13">
        <f t="shared" si="36"/>
        <v>-8.9037296021099221E-2</v>
      </c>
      <c r="R104" s="13">
        <f t="shared" si="37"/>
        <v>7.9276400827488509E-3</v>
      </c>
      <c r="T104" s="12">
        <f t="shared" si="38"/>
        <v>1</v>
      </c>
    </row>
    <row r="105" spans="1:20" x14ac:dyDescent="0.3">
      <c r="A105" s="23"/>
      <c r="B105" s="12">
        <v>15</v>
      </c>
      <c r="C105" s="12">
        <v>5.6</v>
      </c>
      <c r="D105" s="12">
        <v>2.7</v>
      </c>
      <c r="E105" s="12">
        <v>4.2</v>
      </c>
      <c r="F105" s="12">
        <v>1.3</v>
      </c>
      <c r="G105" s="12">
        <v>1</v>
      </c>
      <c r="I105" s="13">
        <f t="shared" si="39"/>
        <v>0.32179488779956483</v>
      </c>
      <c r="J105" s="13">
        <f t="shared" si="40"/>
        <v>-0.19188487123839387</v>
      </c>
      <c r="K105" s="13">
        <f t="shared" si="41"/>
        <v>-0.16763045084795364</v>
      </c>
      <c r="L105" s="13">
        <f t="shared" si="42"/>
        <v>0.80316279405938928</v>
      </c>
      <c r="M105" s="13">
        <f t="shared" si="43"/>
        <v>0.69818890334931039</v>
      </c>
      <c r="N105" s="13">
        <f t="shared" si="33"/>
        <v>3.0755667009786229</v>
      </c>
      <c r="O105" s="13">
        <f t="shared" si="34"/>
        <v>0.95587356866237705</v>
      </c>
      <c r="P105" s="12">
        <f t="shared" si="35"/>
        <v>1</v>
      </c>
      <c r="Q105" s="13">
        <f t="shared" si="36"/>
        <v>-4.4126431337622951E-2</v>
      </c>
      <c r="R105" s="13">
        <f t="shared" si="37"/>
        <v>1.9471419425939529E-3</v>
      </c>
      <c r="T105" s="12">
        <f t="shared" si="38"/>
        <v>1</v>
      </c>
    </row>
    <row r="106" spans="1:20" x14ac:dyDescent="0.3">
      <c r="A106" s="23"/>
      <c r="B106" s="12">
        <v>16</v>
      </c>
      <c r="C106" s="12">
        <v>5.7</v>
      </c>
      <c r="D106" s="12">
        <v>3</v>
      </c>
      <c r="E106" s="12">
        <v>4.2</v>
      </c>
      <c r="F106" s="12">
        <v>1.2</v>
      </c>
      <c r="G106" s="12">
        <v>1</v>
      </c>
      <c r="I106" s="13">
        <f t="shared" si="39"/>
        <v>0.32179488779956483</v>
      </c>
      <c r="J106" s="13">
        <f t="shared" si="40"/>
        <v>-0.19188487123839387</v>
      </c>
      <c r="K106" s="13">
        <f t="shared" si="41"/>
        <v>-0.16763045084795364</v>
      </c>
      <c r="L106" s="13">
        <f t="shared" si="42"/>
        <v>0.80316279405938928</v>
      </c>
      <c r="M106" s="13">
        <f t="shared" si="43"/>
        <v>0.69818890334931039</v>
      </c>
      <c r="N106" s="13">
        <f t="shared" si="33"/>
        <v>2.9362701882654667</v>
      </c>
      <c r="O106" s="13">
        <f t="shared" si="34"/>
        <v>0.94961055300785269</v>
      </c>
      <c r="P106" s="12">
        <f t="shared" si="35"/>
        <v>1</v>
      </c>
      <c r="Q106" s="13">
        <f t="shared" si="36"/>
        <v>-5.0389446992147313E-2</v>
      </c>
      <c r="R106" s="13">
        <f t="shared" si="37"/>
        <v>2.5390963681744239E-3</v>
      </c>
      <c r="T106" s="12">
        <f t="shared" si="38"/>
        <v>1</v>
      </c>
    </row>
    <row r="107" spans="1:20" x14ac:dyDescent="0.3">
      <c r="A107" s="23"/>
      <c r="B107" s="12">
        <v>17</v>
      </c>
      <c r="C107" s="12">
        <v>5.7</v>
      </c>
      <c r="D107" s="12">
        <v>2.9</v>
      </c>
      <c r="E107" s="12">
        <v>4.2</v>
      </c>
      <c r="F107" s="12">
        <v>1.3</v>
      </c>
      <c r="G107" s="12">
        <v>1</v>
      </c>
      <c r="I107" s="13">
        <f t="shared" si="39"/>
        <v>0.32179488779956483</v>
      </c>
      <c r="J107" s="13">
        <f t="shared" si="40"/>
        <v>-0.19188487123839387</v>
      </c>
      <c r="K107" s="13">
        <f t="shared" si="41"/>
        <v>-0.16763045084795364</v>
      </c>
      <c r="L107" s="13">
        <f t="shared" si="42"/>
        <v>0.80316279405938928</v>
      </c>
      <c r="M107" s="13">
        <f t="shared" si="43"/>
        <v>0.69818890334931039</v>
      </c>
      <c r="N107" s="13">
        <f t="shared" si="33"/>
        <v>3.0228521236851931</v>
      </c>
      <c r="O107" s="13">
        <f t="shared" si="34"/>
        <v>0.95359589753423568</v>
      </c>
      <c r="P107" s="12">
        <f t="shared" si="35"/>
        <v>1</v>
      </c>
      <c r="Q107" s="13">
        <f t="shared" si="36"/>
        <v>-4.6404102465764319E-2</v>
      </c>
      <c r="R107" s="13">
        <f t="shared" si="37"/>
        <v>2.153340725653154E-3</v>
      </c>
      <c r="T107" s="12">
        <f t="shared" si="38"/>
        <v>1</v>
      </c>
    </row>
    <row r="108" spans="1:20" x14ac:dyDescent="0.3">
      <c r="A108" s="23"/>
      <c r="B108" s="12">
        <v>18</v>
      </c>
      <c r="C108" s="12">
        <v>6.2</v>
      </c>
      <c r="D108" s="12">
        <v>2.9</v>
      </c>
      <c r="E108" s="12">
        <v>4.3</v>
      </c>
      <c r="F108" s="12">
        <v>1.3</v>
      </c>
      <c r="G108" s="12">
        <v>1</v>
      </c>
      <c r="I108" s="13">
        <f t="shared" si="39"/>
        <v>0.32179488779956483</v>
      </c>
      <c r="J108" s="13">
        <f t="shared" si="40"/>
        <v>-0.19188487123839387</v>
      </c>
      <c r="K108" s="13">
        <f t="shared" si="41"/>
        <v>-0.16763045084795364</v>
      </c>
      <c r="L108" s="13">
        <f t="shared" si="42"/>
        <v>0.80316279405938928</v>
      </c>
      <c r="M108" s="13">
        <f t="shared" si="43"/>
        <v>0.69818890334931039</v>
      </c>
      <c r="N108" s="13">
        <f t="shared" si="33"/>
        <v>3.0072259674719342</v>
      </c>
      <c r="O108" s="13">
        <f t="shared" si="34"/>
        <v>0.95289950639610532</v>
      </c>
      <c r="P108" s="12">
        <f t="shared" si="35"/>
        <v>1</v>
      </c>
      <c r="Q108" s="13">
        <f t="shared" si="36"/>
        <v>-4.7100493603894678E-2</v>
      </c>
      <c r="R108" s="13">
        <f t="shared" si="37"/>
        <v>2.2184564977305236E-3</v>
      </c>
      <c r="T108" s="12">
        <f t="shared" si="38"/>
        <v>1</v>
      </c>
    </row>
    <row r="109" spans="1:20" x14ac:dyDescent="0.3">
      <c r="A109" s="23"/>
      <c r="B109" s="12">
        <v>19</v>
      </c>
      <c r="C109" s="12">
        <v>5.0999999999999996</v>
      </c>
      <c r="D109" s="12">
        <v>2.5</v>
      </c>
      <c r="E109" s="12">
        <v>3</v>
      </c>
      <c r="F109" s="12">
        <v>1.1000000000000001</v>
      </c>
      <c r="G109" s="12">
        <v>1</v>
      </c>
      <c r="I109" s="13">
        <f t="shared" si="39"/>
        <v>0.32179488779956483</v>
      </c>
      <c r="J109" s="13">
        <f t="shared" si="40"/>
        <v>-0.19188487123839387</v>
      </c>
      <c r="K109" s="13">
        <f t="shared" si="41"/>
        <v>-0.16763045084795364</v>
      </c>
      <c r="L109" s="13">
        <f t="shared" si="42"/>
        <v>0.80316279405938928</v>
      </c>
      <c r="M109" s="13">
        <f t="shared" si="43"/>
        <v>0.69818890334931039</v>
      </c>
      <c r="N109" s="13">
        <f t="shared" si="33"/>
        <v>2.1016020932262811</v>
      </c>
      <c r="O109" s="13">
        <f t="shared" si="34"/>
        <v>0.89105879629176654</v>
      </c>
      <c r="P109" s="12">
        <f t="shared" si="35"/>
        <v>1</v>
      </c>
      <c r="Q109" s="13">
        <f t="shared" si="36"/>
        <v>-0.10894120370823346</v>
      </c>
      <c r="R109" s="13">
        <f t="shared" si="37"/>
        <v>1.186818586539882E-2</v>
      </c>
      <c r="T109" s="12">
        <f t="shared" si="38"/>
        <v>1</v>
      </c>
    </row>
    <row r="110" spans="1:20" x14ac:dyDescent="0.3">
      <c r="A110" s="23"/>
      <c r="B110" s="12">
        <v>20</v>
      </c>
      <c r="C110" s="12">
        <v>5.7</v>
      </c>
      <c r="D110" s="12">
        <v>2.8</v>
      </c>
      <c r="E110" s="12">
        <v>4.0999999999999996</v>
      </c>
      <c r="F110" s="12">
        <v>1.3</v>
      </c>
      <c r="G110" s="12">
        <v>1</v>
      </c>
      <c r="I110" s="13">
        <f t="shared" si="39"/>
        <v>0.32179488779956483</v>
      </c>
      <c r="J110" s="13">
        <f t="shared" si="40"/>
        <v>-0.19188487123839387</v>
      </c>
      <c r="K110" s="13">
        <f t="shared" si="41"/>
        <v>-0.16763045084795364</v>
      </c>
      <c r="L110" s="13">
        <f t="shared" si="42"/>
        <v>0.80316279405938928</v>
      </c>
      <c r="M110" s="13">
        <f t="shared" si="43"/>
        <v>0.69818890334931039</v>
      </c>
      <c r="N110" s="13">
        <f t="shared" si="33"/>
        <v>2.9592988893640486</v>
      </c>
      <c r="O110" s="13">
        <f t="shared" si="34"/>
        <v>0.95070114430873087</v>
      </c>
      <c r="P110" s="12">
        <f t="shared" si="35"/>
        <v>1</v>
      </c>
      <c r="Q110" s="13">
        <f t="shared" si="36"/>
        <v>-4.9298855691269128E-2</v>
      </c>
      <c r="R110" s="13">
        <f t="shared" si="37"/>
        <v>2.4303771724685785E-3</v>
      </c>
      <c r="T110" s="12">
        <f t="shared" si="38"/>
        <v>1</v>
      </c>
    </row>
    <row r="111" spans="1:20" x14ac:dyDescent="0.3">
      <c r="Q111" s="15" t="s">
        <v>74</v>
      </c>
      <c r="R111" s="16">
        <f>AVERAGE(R91:R110)</f>
        <v>0.15501014204339694</v>
      </c>
      <c r="T111" s="17">
        <f>AVERAGE(T91:T110)</f>
        <v>0.5</v>
      </c>
    </row>
    <row r="113" spans="1:10" x14ac:dyDescent="0.3">
      <c r="A113" s="2" t="s">
        <v>78</v>
      </c>
      <c r="I113" s="2" t="s">
        <v>79</v>
      </c>
    </row>
    <row r="114" spans="1:10" x14ac:dyDescent="0.3">
      <c r="C114" s="7" t="s">
        <v>52</v>
      </c>
      <c r="I114" s="10" t="s">
        <v>80</v>
      </c>
      <c r="J114" s="10" t="s">
        <v>81</v>
      </c>
    </row>
    <row r="115" spans="1:10" ht="28.8" x14ac:dyDescent="0.3">
      <c r="C115" s="10" t="s">
        <v>82</v>
      </c>
      <c r="D115" s="10" t="s">
        <v>83</v>
      </c>
      <c r="I115" s="4" t="s">
        <v>72</v>
      </c>
      <c r="J115" s="18">
        <f>(C116+D117)/SUM(C116:D117)*100</f>
        <v>50</v>
      </c>
    </row>
    <row r="116" spans="1:10" ht="28.8" x14ac:dyDescent="0.3">
      <c r="A116" s="10" t="s">
        <v>84</v>
      </c>
      <c r="B116" s="10" t="s">
        <v>82</v>
      </c>
      <c r="C116" s="12">
        <f>COUNTIFS($G$91:$G$110,0,$P$91:$P$110,0)</f>
        <v>0</v>
      </c>
      <c r="D116" s="12">
        <f>COUNTIFS($G$91:$G$110,0,$P$91:$P$110,1)</f>
        <v>10</v>
      </c>
      <c r="I116" s="4" t="s">
        <v>85</v>
      </c>
      <c r="J116" s="18">
        <f>IFERROR(D117/(D117+D116)*100,0)</f>
        <v>50</v>
      </c>
    </row>
    <row r="117" spans="1:10" ht="43.2" x14ac:dyDescent="0.3">
      <c r="B117" s="10" t="s">
        <v>83</v>
      </c>
      <c r="C117" s="12">
        <f>COUNTIFS($G$91:$G$110,1,$P$91:$P$110,0)</f>
        <v>0</v>
      </c>
      <c r="D117" s="12">
        <f>COUNTIFS($G$91:$G$110,1,$P$91:$P$110,1)</f>
        <v>10</v>
      </c>
      <c r="I117" s="4" t="s">
        <v>86</v>
      </c>
      <c r="J117" s="18">
        <f>IFERROR(D117/(D117+C117)*100,0)</f>
        <v>100</v>
      </c>
    </row>
    <row r="118" spans="1:10" x14ac:dyDescent="0.3">
      <c r="I118" s="4" t="s">
        <v>87</v>
      </c>
      <c r="J118" s="18">
        <f>IFERROR(2*(J116*J117)/(J116+J117),0)</f>
        <v>66.666666666666671</v>
      </c>
    </row>
    <row r="119" spans="1:10" x14ac:dyDescent="0.3">
      <c r="I119" s="8" t="s">
        <v>88</v>
      </c>
    </row>
  </sheetData>
  <mergeCells count="14">
    <mergeCell ref="I2:J2"/>
    <mergeCell ref="K2:M2"/>
    <mergeCell ref="I3:M3"/>
    <mergeCell ref="P3:P4"/>
    <mergeCell ref="Q3:Q4"/>
    <mergeCell ref="A91:A110"/>
    <mergeCell ref="R3:R4"/>
    <mergeCell ref="A5:A84"/>
    <mergeCell ref="I88:J88"/>
    <mergeCell ref="K88:M88"/>
    <mergeCell ref="I89:M89"/>
    <mergeCell ref="P89:P90"/>
    <mergeCell ref="Q89:Q90"/>
    <mergeCell ref="R89:R9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19"/>
  <sheetViews>
    <sheetView zoomScaleNormal="100" workbookViewId="0">
      <pane ySplit="4" topLeftCell="A10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.5546875" customWidth="1"/>
    <col min="3" max="6" width="9" customWidth="1"/>
    <col min="7" max="7" width="12.109375" bestFit="1" customWidth="1"/>
    <col min="8" max="8" width="2.44140625" customWidth="1"/>
    <col min="9" max="15" width="11.44140625" customWidth="1"/>
    <col min="16" max="16" width="10" customWidth="1"/>
    <col min="17" max="17" width="12" customWidth="1"/>
    <col min="18" max="18" width="17" customWidth="1"/>
    <col min="19" max="19" width="2.44140625" customWidth="1"/>
    <col min="20" max="24" width="11" customWidth="1"/>
    <col min="25" max="25" width="9" customWidth="1"/>
  </cols>
  <sheetData>
    <row r="1" spans="1:25" ht="15.6" x14ac:dyDescent="0.3">
      <c r="A1" s="1" t="s">
        <v>92</v>
      </c>
    </row>
    <row r="2" spans="1:25" x14ac:dyDescent="0.3">
      <c r="G2" s="9" t="s">
        <v>48</v>
      </c>
      <c r="I2" s="25" t="s">
        <v>16</v>
      </c>
      <c r="J2" s="25"/>
      <c r="K2" s="26">
        <f>'Konfigurasi Model'!$B$11</f>
        <v>0.1</v>
      </c>
      <c r="L2" s="26"/>
      <c r="M2" s="26"/>
    </row>
    <row r="3" spans="1:25" ht="15" customHeight="1" x14ac:dyDescent="0.3">
      <c r="G3" s="9" t="s">
        <v>49</v>
      </c>
      <c r="I3" s="24" t="s">
        <v>50</v>
      </c>
      <c r="J3" s="24"/>
      <c r="K3" s="24"/>
      <c r="L3" s="24"/>
      <c r="M3" s="24"/>
      <c r="N3" s="10" t="s">
        <v>51</v>
      </c>
      <c r="O3" s="10" t="s">
        <v>17</v>
      </c>
      <c r="P3" s="24" t="s">
        <v>52</v>
      </c>
      <c r="Q3" s="24" t="s">
        <v>20</v>
      </c>
      <c r="R3" s="24" t="s">
        <v>23</v>
      </c>
    </row>
    <row r="4" spans="1:25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  <c r="O4" s="10" t="s">
        <v>66</v>
      </c>
      <c r="P4" s="24"/>
      <c r="Q4" s="24"/>
      <c r="R4" s="24"/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0" t="s">
        <v>72</v>
      </c>
    </row>
    <row r="5" spans="1:25" x14ac:dyDescent="0.3">
      <c r="A5" s="23" t="s">
        <v>93</v>
      </c>
      <c r="B5" s="12">
        <v>1</v>
      </c>
      <c r="C5" s="12">
        <v>5.0999999999999996</v>
      </c>
      <c r="D5" s="12">
        <v>3.5</v>
      </c>
      <c r="E5" s="12">
        <v>1.4</v>
      </c>
      <c r="F5" s="12">
        <v>0.2</v>
      </c>
      <c r="G5" s="12">
        <v>0</v>
      </c>
      <c r="I5" s="13">
        <f>'Epoch 2'!I84</f>
        <v>0.32179488779956483</v>
      </c>
      <c r="J5" s="13">
        <f>'Epoch 2'!J84</f>
        <v>-0.19188487123839387</v>
      </c>
      <c r="K5" s="13">
        <f>'Epoch 2'!K84</f>
        <v>-0.16763045084795364</v>
      </c>
      <c r="L5" s="13">
        <f>'Epoch 2'!L84</f>
        <v>0.80316279405938928</v>
      </c>
      <c r="M5" s="13">
        <f>'Epoch 2'!M84</f>
        <v>0.69818890334931039</v>
      </c>
      <c r="N5" s="13">
        <f t="shared" ref="N5:N36" si="0">I5+J5*C5+K5*D5+L5*E5+M5*F5</f>
        <v>2.0541158868925241E-2</v>
      </c>
      <c r="O5" s="13">
        <f t="shared" ref="O5:O36" si="1">1/(1+EXP(-N5))</f>
        <v>0.5051351091598435</v>
      </c>
      <c r="P5" s="12">
        <f t="shared" ref="P5:P36" si="2">IF(O5&gt;0.5,1,0)</f>
        <v>1</v>
      </c>
      <c r="Q5" s="13">
        <f t="shared" ref="Q5:Q36" si="3">O5-G5</f>
        <v>0.5051351091598435</v>
      </c>
      <c r="R5" s="13">
        <f t="shared" ref="R5:R36" si="4">Q5^2</f>
        <v>0.25516147850592702</v>
      </c>
      <c r="T5" s="14">
        <f t="shared" ref="T5:T36" si="5">2*(O5-G5)*(1-O5)*O5</f>
        <v>0.25254091441489701</v>
      </c>
      <c r="U5" s="14">
        <f t="shared" ref="U5:U36" si="6">2*(O5-G5)*(1-O5)*O5*C5</f>
        <v>1.2879586635159748</v>
      </c>
      <c r="V5" s="14">
        <f t="shared" ref="V5:V36" si="7">2*(O5-G5)*(1-O5)*O5*D5</f>
        <v>0.88389320045213959</v>
      </c>
      <c r="W5" s="14">
        <f t="shared" ref="W5:W36" si="8">2*(O5-G5)*(1-O5)*O5*E5</f>
        <v>0.3535572801808558</v>
      </c>
      <c r="X5" s="14">
        <f t="shared" ref="X5:X36" si="9">2*(O5-G5)*(1-O5)*O5*F5</f>
        <v>5.0508182882979404E-2</v>
      </c>
      <c r="Y5" s="12">
        <f t="shared" ref="Y5:Y36" si="10">IF(P5=G5,1,0)</f>
        <v>0</v>
      </c>
    </row>
    <row r="6" spans="1:25" x14ac:dyDescent="0.3">
      <c r="A6" s="23"/>
      <c r="B6" s="12">
        <v>2</v>
      </c>
      <c r="C6" s="12">
        <v>4.9000000000000004</v>
      </c>
      <c r="D6" s="12">
        <v>3</v>
      </c>
      <c r="E6" s="12">
        <v>1.4</v>
      </c>
      <c r="F6" s="12">
        <v>0.2</v>
      </c>
      <c r="G6" s="12">
        <v>0</v>
      </c>
      <c r="I6" s="13">
        <f>I5-('Konfigurasi Model'!$B$11*T5)</f>
        <v>0.29654079635807512</v>
      </c>
      <c r="J6" s="13">
        <f>J5-('Konfigurasi Model'!$B$11*U5)</f>
        <v>-0.32068073758999138</v>
      </c>
      <c r="K6" s="13">
        <f>K5-('Konfigurasi Model'!$B$11*V5)</f>
        <v>-0.25601977089316763</v>
      </c>
      <c r="L6" s="13">
        <f>L5-('Konfigurasi Model'!$B$11*W5)</f>
        <v>0.76780706604130367</v>
      </c>
      <c r="M6" s="13">
        <f>M5-('Konfigurasi Model'!$B$11*X5)</f>
        <v>0.69313808506101249</v>
      </c>
      <c r="N6" s="13">
        <f t="shared" si="0"/>
        <v>-0.82929662104235802</v>
      </c>
      <c r="O6" s="13">
        <f t="shared" si="1"/>
        <v>0.30379381649557291</v>
      </c>
      <c r="P6" s="12">
        <f t="shared" si="2"/>
        <v>0</v>
      </c>
      <c r="Q6" s="13">
        <f t="shared" si="3"/>
        <v>0.30379381649557291</v>
      </c>
      <c r="R6" s="13">
        <f t="shared" si="4"/>
        <v>9.2290682940945834E-2</v>
      </c>
      <c r="T6" s="14">
        <f t="shared" si="5"/>
        <v>0.12850668828666606</v>
      </c>
      <c r="U6" s="14">
        <f t="shared" si="6"/>
        <v>0.62968277260466377</v>
      </c>
      <c r="V6" s="14">
        <f t="shared" si="7"/>
        <v>0.38552006485999818</v>
      </c>
      <c r="W6" s="14">
        <f t="shared" si="8"/>
        <v>0.17990936360133247</v>
      </c>
      <c r="X6" s="14">
        <f t="shared" si="9"/>
        <v>2.5701337657333213E-2</v>
      </c>
      <c r="Y6" s="12">
        <f t="shared" si="10"/>
        <v>1</v>
      </c>
    </row>
    <row r="7" spans="1:25" x14ac:dyDescent="0.3">
      <c r="A7" s="23"/>
      <c r="B7" s="12">
        <v>3</v>
      </c>
      <c r="C7" s="12">
        <v>4.7</v>
      </c>
      <c r="D7" s="12">
        <v>3.2</v>
      </c>
      <c r="E7" s="12">
        <v>1.3</v>
      </c>
      <c r="F7" s="12">
        <v>0.2</v>
      </c>
      <c r="G7" s="12">
        <v>0</v>
      </c>
      <c r="I7" s="13">
        <f>I6-('Konfigurasi Model'!$B$11*T6)</f>
        <v>0.28369012752940853</v>
      </c>
      <c r="J7" s="13">
        <f>J6-('Konfigurasi Model'!$B$11*U6)</f>
        <v>-0.38364901485045777</v>
      </c>
      <c r="K7" s="13">
        <f>K6-('Konfigurasi Model'!$B$11*V6)</f>
        <v>-0.29457177737916745</v>
      </c>
      <c r="L7" s="13">
        <f>L6-('Konfigurasi Model'!$B$11*W6)</f>
        <v>0.7498161296811704</v>
      </c>
      <c r="M7" s="13">
        <f>M6-('Konfigurasi Model'!$B$11*X6)</f>
        <v>0.69056795129527915</v>
      </c>
      <c r="N7" s="13">
        <f t="shared" si="0"/>
        <v>-1.3492153710365018</v>
      </c>
      <c r="O7" s="13">
        <f t="shared" si="1"/>
        <v>0.20599867863845145</v>
      </c>
      <c r="P7" s="12">
        <f t="shared" si="2"/>
        <v>0</v>
      </c>
      <c r="Q7" s="13">
        <f t="shared" si="3"/>
        <v>0.20599867863845145</v>
      </c>
      <c r="R7" s="13">
        <f t="shared" si="4"/>
        <v>4.2435455600787993E-2</v>
      </c>
      <c r="T7" s="14">
        <f t="shared" si="5"/>
        <v>6.7387615639209988E-2</v>
      </c>
      <c r="U7" s="14">
        <f t="shared" si="6"/>
        <v>0.31672179350428697</v>
      </c>
      <c r="V7" s="14">
        <f t="shared" si="7"/>
        <v>0.21564037004547199</v>
      </c>
      <c r="W7" s="14">
        <f t="shared" si="8"/>
        <v>8.7603900330972984E-2</v>
      </c>
      <c r="X7" s="14">
        <f t="shared" si="9"/>
        <v>1.3477523127841999E-2</v>
      </c>
      <c r="Y7" s="12">
        <f t="shared" si="10"/>
        <v>1</v>
      </c>
    </row>
    <row r="8" spans="1:25" x14ac:dyDescent="0.3">
      <c r="A8" s="23"/>
      <c r="B8" s="12">
        <v>4</v>
      </c>
      <c r="C8" s="12">
        <v>4.5999999999999996</v>
      </c>
      <c r="D8" s="12">
        <v>3.1</v>
      </c>
      <c r="E8" s="12">
        <v>1.5</v>
      </c>
      <c r="F8" s="12">
        <v>0.2</v>
      </c>
      <c r="G8" s="12">
        <v>0</v>
      </c>
      <c r="I8" s="13">
        <f>I7-('Konfigurasi Model'!$B$11*T7)</f>
        <v>0.27695136596548753</v>
      </c>
      <c r="J8" s="13">
        <f>J7-('Konfigurasi Model'!$B$11*U7)</f>
        <v>-0.41532119420088648</v>
      </c>
      <c r="K8" s="13">
        <f>K7-('Konfigurasi Model'!$B$11*V7)</f>
        <v>-0.31613581438371463</v>
      </c>
      <c r="L8" s="13">
        <f>L7-('Konfigurasi Model'!$B$11*W7)</f>
        <v>0.74105573964807314</v>
      </c>
      <c r="M8" s="13">
        <f>M7-('Konfigurasi Model'!$B$11*X7)</f>
        <v>0.68922019898249498</v>
      </c>
      <c r="N8" s="13">
        <f t="shared" si="0"/>
        <v>-1.3641195026794966</v>
      </c>
      <c r="O8" s="13">
        <f t="shared" si="1"/>
        <v>0.20357159085496551</v>
      </c>
      <c r="P8" s="12">
        <f t="shared" si="2"/>
        <v>0</v>
      </c>
      <c r="Q8" s="13">
        <f t="shared" si="3"/>
        <v>0.20357159085496551</v>
      </c>
      <c r="R8" s="13">
        <f t="shared" si="4"/>
        <v>4.144139260322148E-2</v>
      </c>
      <c r="T8" s="14">
        <f t="shared" si="5"/>
        <v>6.601020476747696E-2</v>
      </c>
      <c r="U8" s="14">
        <f t="shared" si="6"/>
        <v>0.30364694193039399</v>
      </c>
      <c r="V8" s="14">
        <f t="shared" si="7"/>
        <v>0.20463163477917859</v>
      </c>
      <c r="W8" s="14">
        <f t="shared" si="8"/>
        <v>9.901530715121544E-2</v>
      </c>
      <c r="X8" s="14">
        <f t="shared" si="9"/>
        <v>1.3202040953495392E-2</v>
      </c>
      <c r="Y8" s="12">
        <f t="shared" si="10"/>
        <v>1</v>
      </c>
    </row>
    <row r="9" spans="1:25" x14ac:dyDescent="0.3">
      <c r="A9" s="23"/>
      <c r="B9" s="12">
        <v>5</v>
      </c>
      <c r="C9" s="12">
        <v>5</v>
      </c>
      <c r="D9" s="12">
        <v>3.6</v>
      </c>
      <c r="E9" s="12">
        <v>1.4</v>
      </c>
      <c r="F9" s="12">
        <v>0.2</v>
      </c>
      <c r="G9" s="12">
        <v>0</v>
      </c>
      <c r="I9" s="13">
        <f>I8-('Konfigurasi Model'!$B$11*T8)</f>
        <v>0.27035034548873982</v>
      </c>
      <c r="J9" s="13">
        <f>J8-('Konfigurasi Model'!$B$11*U8)</f>
        <v>-0.44568588839392587</v>
      </c>
      <c r="K9" s="13">
        <f>K8-('Konfigurasi Model'!$B$11*V8)</f>
        <v>-0.33659897786163251</v>
      </c>
      <c r="L9" s="13">
        <f>L8-('Konfigurasi Model'!$B$11*W8)</f>
        <v>0.73115420893295158</v>
      </c>
      <c r="M9" s="13">
        <f>M8-('Konfigurasi Model'!$B$11*X8)</f>
        <v>0.68789999488714548</v>
      </c>
      <c r="N9" s="13">
        <f t="shared" si="0"/>
        <v>-2.0086395252992055</v>
      </c>
      <c r="O9" s="13">
        <f t="shared" si="1"/>
        <v>0.11829880736070053</v>
      </c>
      <c r="P9" s="12">
        <f t="shared" si="2"/>
        <v>0</v>
      </c>
      <c r="Q9" s="13">
        <f t="shared" si="3"/>
        <v>0.11829880736070053</v>
      </c>
      <c r="R9" s="13">
        <f t="shared" si="4"/>
        <v>1.3994607822964134E-2</v>
      </c>
      <c r="T9" s="14">
        <f t="shared" si="5"/>
        <v>2.4678124816053495E-2</v>
      </c>
      <c r="U9" s="14">
        <f t="shared" si="6"/>
        <v>0.12339062408026748</v>
      </c>
      <c r="V9" s="14">
        <f t="shared" si="7"/>
        <v>8.8841249337792583E-2</v>
      </c>
      <c r="W9" s="14">
        <f t="shared" si="8"/>
        <v>3.4549374742474888E-2</v>
      </c>
      <c r="X9" s="14">
        <f t="shared" si="9"/>
        <v>4.9356249632106991E-3</v>
      </c>
      <c r="Y9" s="12">
        <f t="shared" si="10"/>
        <v>1</v>
      </c>
    </row>
    <row r="10" spans="1:25" x14ac:dyDescent="0.3">
      <c r="A10" s="23"/>
      <c r="B10" s="12">
        <v>6</v>
      </c>
      <c r="C10" s="12">
        <v>5.4</v>
      </c>
      <c r="D10" s="12">
        <v>3.9</v>
      </c>
      <c r="E10" s="12">
        <v>1.7</v>
      </c>
      <c r="F10" s="12">
        <v>0.4</v>
      </c>
      <c r="G10" s="12">
        <v>0</v>
      </c>
      <c r="I10" s="13">
        <f>I9-('Konfigurasi Model'!$B$11*T9)</f>
        <v>0.26788253300713449</v>
      </c>
      <c r="J10" s="13">
        <f>J9-('Konfigurasi Model'!$B$11*U9)</f>
        <v>-0.4580249508019526</v>
      </c>
      <c r="K10" s="13">
        <f>K9-('Konfigurasi Model'!$B$11*V9)</f>
        <v>-0.34548310279541178</v>
      </c>
      <c r="L10" s="13">
        <f>L9-('Konfigurasi Model'!$B$11*W9)</f>
        <v>0.72769927145870406</v>
      </c>
      <c r="M10" s="13">
        <f>M9-('Konfigurasi Model'!$B$11*X9)</f>
        <v>0.68740643239082444</v>
      </c>
      <c r="N10" s="13">
        <f t="shared" si="0"/>
        <v>-2.040784967789389</v>
      </c>
      <c r="O10" s="13">
        <f t="shared" si="1"/>
        <v>0.11498682576635215</v>
      </c>
      <c r="P10" s="12">
        <f t="shared" si="2"/>
        <v>0</v>
      </c>
      <c r="Q10" s="13">
        <f t="shared" si="3"/>
        <v>0.11498682576635215</v>
      </c>
      <c r="R10" s="13">
        <f t="shared" si="4"/>
        <v>1.3221970099821427E-2</v>
      </c>
      <c r="T10" s="14">
        <f t="shared" si="5"/>
        <v>2.3403235455330684E-2</v>
      </c>
      <c r="U10" s="14">
        <f t="shared" si="6"/>
        <v>0.1263774714587857</v>
      </c>
      <c r="V10" s="14">
        <f t="shared" si="7"/>
        <v>9.1272618275789669E-2</v>
      </c>
      <c r="W10" s="14">
        <f t="shared" si="8"/>
        <v>3.9785500274062163E-2</v>
      </c>
      <c r="X10" s="14">
        <f t="shared" si="9"/>
        <v>9.3612941821322737E-3</v>
      </c>
      <c r="Y10" s="12">
        <f t="shared" si="10"/>
        <v>1</v>
      </c>
    </row>
    <row r="11" spans="1:25" x14ac:dyDescent="0.3">
      <c r="A11" s="23"/>
      <c r="B11" s="12">
        <v>7</v>
      </c>
      <c r="C11" s="12">
        <v>4.5999999999999996</v>
      </c>
      <c r="D11" s="12">
        <v>3.4</v>
      </c>
      <c r="E11" s="12">
        <v>1.4</v>
      </c>
      <c r="F11" s="12">
        <v>0.3</v>
      </c>
      <c r="G11" s="12">
        <v>0</v>
      </c>
      <c r="I11" s="13">
        <f>I10-('Konfigurasi Model'!$B$11*T10)</f>
        <v>0.26554220946160145</v>
      </c>
      <c r="J11" s="13">
        <f>J10-('Konfigurasi Model'!$B$11*U10)</f>
        <v>-0.47066269794783117</v>
      </c>
      <c r="K11" s="13">
        <f>K10-('Konfigurasi Model'!$B$11*V10)</f>
        <v>-0.35461036462299073</v>
      </c>
      <c r="L11" s="13">
        <f>L10-('Konfigurasi Model'!$B$11*W10)</f>
        <v>0.72372072143129784</v>
      </c>
      <c r="M11" s="13">
        <f>M10-('Konfigurasi Model'!$B$11*X10)</f>
        <v>0.68647030297261125</v>
      </c>
      <c r="N11" s="13">
        <f t="shared" si="0"/>
        <v>-1.8860313399209898</v>
      </c>
      <c r="O11" s="13">
        <f t="shared" si="1"/>
        <v>0.1316976361144907</v>
      </c>
      <c r="P11" s="12">
        <f t="shared" si="2"/>
        <v>0</v>
      </c>
      <c r="Q11" s="13">
        <f t="shared" si="3"/>
        <v>0.1316976361144907</v>
      </c>
      <c r="R11" s="13">
        <f t="shared" si="4"/>
        <v>1.7344267358144805E-2</v>
      </c>
      <c r="T11" s="14">
        <f t="shared" si="5"/>
        <v>3.0120136693878825E-2</v>
      </c>
      <c r="U11" s="14">
        <f t="shared" si="6"/>
        <v>0.13855262879184257</v>
      </c>
      <c r="V11" s="14">
        <f t="shared" si="7"/>
        <v>0.10240846475918799</v>
      </c>
      <c r="W11" s="14">
        <f t="shared" si="8"/>
        <v>4.2168191371430352E-2</v>
      </c>
      <c r="X11" s="14">
        <f t="shared" si="9"/>
        <v>9.0360410081636467E-3</v>
      </c>
      <c r="Y11" s="12">
        <f t="shared" si="10"/>
        <v>1</v>
      </c>
    </row>
    <row r="12" spans="1:25" x14ac:dyDescent="0.3">
      <c r="A12" s="23"/>
      <c r="B12" s="12">
        <v>8</v>
      </c>
      <c r="C12" s="12">
        <v>5</v>
      </c>
      <c r="D12" s="12">
        <v>3.4</v>
      </c>
      <c r="E12" s="12">
        <v>1.5</v>
      </c>
      <c r="F12" s="12">
        <v>0.2</v>
      </c>
      <c r="G12" s="12">
        <v>0</v>
      </c>
      <c r="I12" s="13">
        <f>I11-('Konfigurasi Model'!$B$11*T11)</f>
        <v>0.26253019579221359</v>
      </c>
      <c r="J12" s="13">
        <f>J11-('Konfigurasi Model'!$B$11*U11)</f>
        <v>-0.48451796082701543</v>
      </c>
      <c r="K12" s="13">
        <f>K11-('Konfigurasi Model'!$B$11*V11)</f>
        <v>-0.3648512110989095</v>
      </c>
      <c r="L12" s="13">
        <f>L11-('Konfigurasi Model'!$B$11*W11)</f>
        <v>0.71950390229415484</v>
      </c>
      <c r="M12" s="13">
        <f>M11-('Konfigurasi Model'!$B$11*X11)</f>
        <v>0.68556669887179489</v>
      </c>
      <c r="N12" s="13">
        <f t="shared" si="0"/>
        <v>-2.1841845328635645</v>
      </c>
      <c r="O12" s="13">
        <f t="shared" si="1"/>
        <v>0.10117974083456695</v>
      </c>
      <c r="P12" s="12">
        <f t="shared" si="2"/>
        <v>0</v>
      </c>
      <c r="Q12" s="13">
        <f t="shared" si="3"/>
        <v>0.10117974083456695</v>
      </c>
      <c r="R12" s="13">
        <f t="shared" si="4"/>
        <v>1.0237339955350134E-2</v>
      </c>
      <c r="T12" s="14">
        <f t="shared" si="5"/>
        <v>1.84030571036649E-2</v>
      </c>
      <c r="U12" s="14">
        <f t="shared" si="6"/>
        <v>9.2015285518324497E-2</v>
      </c>
      <c r="V12" s="14">
        <f t="shared" si="7"/>
        <v>6.2570394152460657E-2</v>
      </c>
      <c r="W12" s="14">
        <f t="shared" si="8"/>
        <v>2.7604585655497352E-2</v>
      </c>
      <c r="X12" s="14">
        <f t="shared" si="9"/>
        <v>3.68061142073298E-3</v>
      </c>
      <c r="Y12" s="12">
        <f t="shared" si="10"/>
        <v>1</v>
      </c>
    </row>
    <row r="13" spans="1:25" x14ac:dyDescent="0.3">
      <c r="A13" s="23"/>
      <c r="B13" s="12">
        <v>9</v>
      </c>
      <c r="C13" s="12">
        <v>4.4000000000000004</v>
      </c>
      <c r="D13" s="12">
        <v>2.9</v>
      </c>
      <c r="E13" s="12">
        <v>1.4</v>
      </c>
      <c r="F13" s="12">
        <v>0.2</v>
      </c>
      <c r="G13" s="12">
        <v>0</v>
      </c>
      <c r="I13" s="13">
        <f>I12-('Konfigurasi Model'!$B$11*T12)</f>
        <v>0.26068989008184712</v>
      </c>
      <c r="J13" s="13">
        <f>J12-('Konfigurasi Model'!$B$11*U12)</f>
        <v>-0.49371948937884785</v>
      </c>
      <c r="K13" s="13">
        <f>K12-('Konfigurasi Model'!$B$11*V12)</f>
        <v>-0.37110825051415558</v>
      </c>
      <c r="L13" s="13">
        <f>L12-('Konfigurasi Model'!$B$11*W12)</f>
        <v>0.7167434437286051</v>
      </c>
      <c r="M13" s="13">
        <f>M12-('Konfigurasi Model'!$B$11*X12)</f>
        <v>0.68519863772972156</v>
      </c>
      <c r="N13" s="13">
        <f t="shared" si="0"/>
        <v>-1.8474092409101432</v>
      </c>
      <c r="O13" s="13">
        <f t="shared" si="1"/>
        <v>0.13617736885582882</v>
      </c>
      <c r="P13" s="12">
        <f t="shared" si="2"/>
        <v>0</v>
      </c>
      <c r="Q13" s="13">
        <f t="shared" si="3"/>
        <v>0.13617736885582882</v>
      </c>
      <c r="R13" s="13">
        <f t="shared" si="4"/>
        <v>1.8544275788496458E-2</v>
      </c>
      <c r="T13" s="14">
        <f t="shared" si="5"/>
        <v>3.2037930208564318E-2</v>
      </c>
      <c r="U13" s="14">
        <f t="shared" si="6"/>
        <v>0.14096689291768302</v>
      </c>
      <c r="V13" s="14">
        <f t="shared" si="7"/>
        <v>9.2909997604836522E-2</v>
      </c>
      <c r="W13" s="14">
        <f t="shared" si="8"/>
        <v>4.4853102291990042E-2</v>
      </c>
      <c r="X13" s="14">
        <f t="shared" si="9"/>
        <v>6.4075860417128639E-3</v>
      </c>
      <c r="Y13" s="12">
        <f t="shared" si="10"/>
        <v>1</v>
      </c>
    </row>
    <row r="14" spans="1:25" x14ac:dyDescent="0.3">
      <c r="A14" s="23"/>
      <c r="B14" s="12">
        <v>10</v>
      </c>
      <c r="C14" s="12">
        <v>4.9000000000000004</v>
      </c>
      <c r="D14" s="12">
        <v>3.1</v>
      </c>
      <c r="E14" s="12">
        <v>1.5</v>
      </c>
      <c r="F14" s="12">
        <v>0.1</v>
      </c>
      <c r="G14" s="12">
        <v>0</v>
      </c>
      <c r="I14" s="13">
        <f>I13-('Konfigurasi Model'!$B$11*T13)</f>
        <v>0.25748609706099068</v>
      </c>
      <c r="J14" s="13">
        <f>J13-('Konfigurasi Model'!$B$11*U13)</f>
        <v>-0.50781617867061613</v>
      </c>
      <c r="K14" s="13">
        <f>K13-('Konfigurasi Model'!$B$11*V13)</f>
        <v>-0.38039925027463922</v>
      </c>
      <c r="L14" s="13">
        <f>L13-('Konfigurasi Model'!$B$11*W13)</f>
        <v>0.71225813349940614</v>
      </c>
      <c r="M14" s="13">
        <f>M13-('Konfigurasi Model'!$B$11*X13)</f>
        <v>0.68455787912555033</v>
      </c>
      <c r="N14" s="13">
        <f t="shared" si="0"/>
        <v>-2.2732078661147463</v>
      </c>
      <c r="O14" s="13">
        <f t="shared" si="1"/>
        <v>9.336631499393902E-2</v>
      </c>
      <c r="P14" s="12">
        <f t="shared" si="2"/>
        <v>0</v>
      </c>
      <c r="Q14" s="13">
        <f t="shared" si="3"/>
        <v>9.336631499393902E-2</v>
      </c>
      <c r="R14" s="13">
        <f t="shared" si="4"/>
        <v>8.7172687755474425E-3</v>
      </c>
      <c r="T14" s="14">
        <f t="shared" si="5"/>
        <v>1.5806739026325702E-2</v>
      </c>
      <c r="U14" s="14">
        <f t="shared" si="6"/>
        <v>7.7453021228995944E-2</v>
      </c>
      <c r="V14" s="14">
        <f t="shared" si="7"/>
        <v>4.9000890981609681E-2</v>
      </c>
      <c r="W14" s="14">
        <f t="shared" si="8"/>
        <v>2.3710108539488552E-2</v>
      </c>
      <c r="X14" s="14">
        <f t="shared" si="9"/>
        <v>1.5806739026325704E-3</v>
      </c>
      <c r="Y14" s="12">
        <f t="shared" si="10"/>
        <v>1</v>
      </c>
    </row>
    <row r="15" spans="1:25" x14ac:dyDescent="0.3">
      <c r="A15" s="23"/>
      <c r="B15" s="12">
        <v>11</v>
      </c>
      <c r="C15" s="12">
        <v>5.4</v>
      </c>
      <c r="D15" s="12">
        <v>3.7</v>
      </c>
      <c r="E15" s="12">
        <v>1.5</v>
      </c>
      <c r="F15" s="12">
        <v>0.2</v>
      </c>
      <c r="G15" s="12">
        <v>0</v>
      </c>
      <c r="I15" s="13">
        <f>I14-('Konfigurasi Model'!$B$11*T14)</f>
        <v>0.25590542315835813</v>
      </c>
      <c r="J15" s="13">
        <f>J14-('Konfigurasi Model'!$B$11*U14)</f>
        <v>-0.51556148079351571</v>
      </c>
      <c r="K15" s="13">
        <f>K14-('Konfigurasi Model'!$B$11*V14)</f>
        <v>-0.3852993393728002</v>
      </c>
      <c r="L15" s="13">
        <f>L14-('Konfigurasi Model'!$B$11*W14)</f>
        <v>0.70988712264545728</v>
      </c>
      <c r="M15" s="13">
        <f>M14-('Konfigurasi Model'!$B$11*X14)</f>
        <v>0.68439981173528708</v>
      </c>
      <c r="N15" s="13">
        <f t="shared" si="0"/>
        <v>-2.7520234824907446</v>
      </c>
      <c r="O15" s="13">
        <f t="shared" si="1"/>
        <v>5.9972473156250802E-2</v>
      </c>
      <c r="P15" s="12">
        <f t="shared" si="2"/>
        <v>0</v>
      </c>
      <c r="Q15" s="13">
        <f t="shared" si="3"/>
        <v>5.9972473156250802E-2</v>
      </c>
      <c r="R15" s="13">
        <f t="shared" si="4"/>
        <v>3.5966975364772232E-3</v>
      </c>
      <c r="T15" s="14">
        <f t="shared" si="5"/>
        <v>6.7619893800393797E-3</v>
      </c>
      <c r="U15" s="14">
        <f t="shared" si="6"/>
        <v>3.6514742652212655E-2</v>
      </c>
      <c r="V15" s="14">
        <f t="shared" si="7"/>
        <v>2.5019360706145705E-2</v>
      </c>
      <c r="W15" s="14">
        <f t="shared" si="8"/>
        <v>1.014298407005907E-2</v>
      </c>
      <c r="X15" s="14">
        <f t="shared" si="9"/>
        <v>1.352397876007876E-3</v>
      </c>
      <c r="Y15" s="12">
        <f t="shared" si="10"/>
        <v>1</v>
      </c>
    </row>
    <row r="16" spans="1:25" x14ac:dyDescent="0.3">
      <c r="A16" s="23"/>
      <c r="B16" s="12">
        <v>12</v>
      </c>
      <c r="C16" s="12">
        <v>4.8</v>
      </c>
      <c r="D16" s="12">
        <v>3.4</v>
      </c>
      <c r="E16" s="12">
        <v>1.6</v>
      </c>
      <c r="F16" s="12">
        <v>0.2</v>
      </c>
      <c r="G16" s="12">
        <v>0</v>
      </c>
      <c r="I16" s="13">
        <f>I15-('Konfigurasi Model'!$B$11*T15)</f>
        <v>0.25522922422035421</v>
      </c>
      <c r="J16" s="13">
        <f>J15-('Konfigurasi Model'!$B$11*U15)</f>
        <v>-0.51921295505873699</v>
      </c>
      <c r="K16" s="13">
        <f>K15-('Konfigurasi Model'!$B$11*V15)</f>
        <v>-0.38780127544341475</v>
      </c>
      <c r="L16" s="13">
        <f>L15-('Konfigurasi Model'!$B$11*W15)</f>
        <v>0.70887282423845133</v>
      </c>
      <c r="M16" s="13">
        <f>M15-('Konfigurasi Model'!$B$11*X15)</f>
        <v>0.68426457194768631</v>
      </c>
      <c r="N16" s="13">
        <f t="shared" si="0"/>
        <v>-2.2844678633981341</v>
      </c>
      <c r="O16" s="13">
        <f t="shared" si="1"/>
        <v>9.2417521224577484E-2</v>
      </c>
      <c r="P16" s="12">
        <f t="shared" si="2"/>
        <v>0</v>
      </c>
      <c r="Q16" s="13">
        <f t="shared" si="3"/>
        <v>9.2417521224577484E-2</v>
      </c>
      <c r="R16" s="13">
        <f t="shared" si="4"/>
        <v>8.5409982292952297E-3</v>
      </c>
      <c r="T16" s="14">
        <f t="shared" si="5"/>
        <v>1.5503320688320518E-2</v>
      </c>
      <c r="U16" s="14">
        <f t="shared" si="6"/>
        <v>7.4415939303938486E-2</v>
      </c>
      <c r="V16" s="14">
        <f t="shared" si="7"/>
        <v>5.2711290340289763E-2</v>
      </c>
      <c r="W16" s="14">
        <f t="shared" si="8"/>
        <v>2.4805313101312829E-2</v>
      </c>
      <c r="X16" s="14">
        <f t="shared" si="9"/>
        <v>3.1006641376641036E-3</v>
      </c>
      <c r="Y16" s="12">
        <f t="shared" si="10"/>
        <v>1</v>
      </c>
    </row>
    <row r="17" spans="1:25" x14ac:dyDescent="0.3">
      <c r="A17" s="23"/>
      <c r="B17" s="12">
        <v>13</v>
      </c>
      <c r="C17" s="12">
        <v>4.8</v>
      </c>
      <c r="D17" s="12">
        <v>3</v>
      </c>
      <c r="E17" s="12">
        <v>1.4</v>
      </c>
      <c r="F17" s="12">
        <v>0.1</v>
      </c>
      <c r="G17" s="12">
        <v>0</v>
      </c>
      <c r="I17" s="13">
        <f>I16-('Konfigurasi Model'!$B$11*T16)</f>
        <v>0.25367889215152217</v>
      </c>
      <c r="J17" s="13">
        <f>J16-('Konfigurasi Model'!$B$11*U16)</f>
        <v>-0.52665454898913089</v>
      </c>
      <c r="K17" s="13">
        <f>K16-('Konfigurasi Model'!$B$11*V16)</f>
        <v>-0.39307240447744374</v>
      </c>
      <c r="L17" s="13">
        <f>L16-('Konfigurasi Model'!$B$11*W16)</f>
        <v>0.70639229292832006</v>
      </c>
      <c r="M17" s="13">
        <f>M16-('Konfigurasi Model'!$B$11*X16)</f>
        <v>0.6839545055339199</v>
      </c>
      <c r="N17" s="13">
        <f t="shared" si="0"/>
        <v>-2.3961354957755971</v>
      </c>
      <c r="O17" s="13">
        <f t="shared" si="1"/>
        <v>8.3467859349992124E-2</v>
      </c>
      <c r="P17" s="12">
        <f t="shared" si="2"/>
        <v>0</v>
      </c>
      <c r="Q17" s="13">
        <f t="shared" si="3"/>
        <v>8.3467859349992124E-2</v>
      </c>
      <c r="R17" s="13">
        <f t="shared" si="4"/>
        <v>6.9668835444700672E-3</v>
      </c>
      <c r="T17" s="14">
        <f t="shared" si="5"/>
        <v>1.277074537734493E-2</v>
      </c>
      <c r="U17" s="14">
        <f t="shared" si="6"/>
        <v>6.1299577811255661E-2</v>
      </c>
      <c r="V17" s="14">
        <f t="shared" si="7"/>
        <v>3.8312236132034785E-2</v>
      </c>
      <c r="W17" s="14">
        <f t="shared" si="8"/>
        <v>1.7879043528282901E-2</v>
      </c>
      <c r="X17" s="14">
        <f t="shared" si="9"/>
        <v>1.277074537734493E-3</v>
      </c>
      <c r="Y17" s="12">
        <f t="shared" si="10"/>
        <v>1</v>
      </c>
    </row>
    <row r="18" spans="1:25" x14ac:dyDescent="0.3">
      <c r="A18" s="23"/>
      <c r="B18" s="12">
        <v>14</v>
      </c>
      <c r="C18" s="12">
        <v>4.3</v>
      </c>
      <c r="D18" s="12">
        <v>3</v>
      </c>
      <c r="E18" s="12">
        <v>1.1000000000000001</v>
      </c>
      <c r="F18" s="12">
        <v>0.1</v>
      </c>
      <c r="G18" s="12">
        <v>0</v>
      </c>
      <c r="I18" s="13">
        <f>I17-('Konfigurasi Model'!$B$11*T17)</f>
        <v>0.25240181761378766</v>
      </c>
      <c r="J18" s="13">
        <f>J17-('Konfigurasi Model'!$B$11*U17)</f>
        <v>-0.53278450677025646</v>
      </c>
      <c r="K18" s="13">
        <f>K17-('Konfigurasi Model'!$B$11*V17)</f>
        <v>-0.39690362809064722</v>
      </c>
      <c r="L18" s="13">
        <f>L17-('Konfigurasi Model'!$B$11*W17)</f>
        <v>0.70460438857549179</v>
      </c>
      <c r="M18" s="13">
        <f>M17-('Konfigurasi Model'!$B$11*X17)</f>
        <v>0.68382679808014646</v>
      </c>
      <c r="N18" s="13">
        <f t="shared" si="0"/>
        <v>-2.385834938529201</v>
      </c>
      <c r="O18" s="13">
        <f t="shared" si="1"/>
        <v>8.425925050755606E-2</v>
      </c>
      <c r="P18" s="12">
        <f t="shared" si="2"/>
        <v>0</v>
      </c>
      <c r="Q18" s="13">
        <f t="shared" si="3"/>
        <v>8.425925050755606E-2</v>
      </c>
      <c r="R18" s="13">
        <f t="shared" si="4"/>
        <v>7.0996212960950864E-3</v>
      </c>
      <c r="T18" s="14">
        <f t="shared" si="5"/>
        <v>1.3002825053597259E-2</v>
      </c>
      <c r="U18" s="14">
        <f t="shared" si="6"/>
        <v>5.5912147730468216E-2</v>
      </c>
      <c r="V18" s="14">
        <f t="shared" si="7"/>
        <v>3.9008475160791777E-2</v>
      </c>
      <c r="W18" s="14">
        <f t="shared" si="8"/>
        <v>1.4303107558956987E-2</v>
      </c>
      <c r="X18" s="14">
        <f t="shared" si="9"/>
        <v>1.3002825053597261E-3</v>
      </c>
      <c r="Y18" s="12">
        <f t="shared" si="10"/>
        <v>1</v>
      </c>
    </row>
    <row r="19" spans="1:25" x14ac:dyDescent="0.3">
      <c r="A19" s="23"/>
      <c r="B19" s="12">
        <v>15</v>
      </c>
      <c r="C19" s="12">
        <v>5.8</v>
      </c>
      <c r="D19" s="12">
        <v>4</v>
      </c>
      <c r="E19" s="12">
        <v>1.2</v>
      </c>
      <c r="F19" s="12">
        <v>0.2</v>
      </c>
      <c r="G19" s="12">
        <v>0</v>
      </c>
      <c r="I19" s="13">
        <f>I18-('Konfigurasi Model'!$B$11*T18)</f>
        <v>0.25110153510842792</v>
      </c>
      <c r="J19" s="13">
        <f>J18-('Konfigurasi Model'!$B$11*U18)</f>
        <v>-0.53837572154330327</v>
      </c>
      <c r="K19" s="13">
        <f>K18-('Konfigurasi Model'!$B$11*V18)</f>
        <v>-0.40080447560672638</v>
      </c>
      <c r="L19" s="13">
        <f>L18-('Konfigurasi Model'!$B$11*W18)</f>
        <v>0.70317407781959607</v>
      </c>
      <c r="M19" s="13">
        <f>M18-('Konfigurasi Model'!$B$11*X18)</f>
        <v>0.68369676982961047</v>
      </c>
      <c r="N19" s="13">
        <f t="shared" si="0"/>
        <v>-3.4941473049201992</v>
      </c>
      <c r="O19" s="13">
        <f t="shared" si="1"/>
        <v>2.9479217160381939E-2</v>
      </c>
      <c r="P19" s="12">
        <f t="shared" si="2"/>
        <v>0</v>
      </c>
      <c r="Q19" s="13">
        <f t="shared" si="3"/>
        <v>2.9479217160381939E-2</v>
      </c>
      <c r="R19" s="13">
        <f t="shared" si="4"/>
        <v>8.6902424438895702E-4</v>
      </c>
      <c r="T19" s="14">
        <f t="shared" si="5"/>
        <v>1.6868121799419563E-3</v>
      </c>
      <c r="U19" s="14">
        <f t="shared" si="6"/>
        <v>9.7835106436633471E-3</v>
      </c>
      <c r="V19" s="14">
        <f t="shared" si="7"/>
        <v>6.7472487197678252E-3</v>
      </c>
      <c r="W19" s="14">
        <f t="shared" si="8"/>
        <v>2.0241746159303476E-3</v>
      </c>
      <c r="X19" s="14">
        <f t="shared" si="9"/>
        <v>3.3736243598839129E-4</v>
      </c>
      <c r="Y19" s="12">
        <f t="shared" si="10"/>
        <v>1</v>
      </c>
    </row>
    <row r="20" spans="1:25" x14ac:dyDescent="0.3">
      <c r="A20" s="23"/>
      <c r="B20" s="12">
        <v>16</v>
      </c>
      <c r="C20" s="12">
        <v>5.7</v>
      </c>
      <c r="D20" s="12">
        <v>4.4000000000000004</v>
      </c>
      <c r="E20" s="12">
        <v>1.5</v>
      </c>
      <c r="F20" s="12">
        <v>0.4</v>
      </c>
      <c r="G20" s="12">
        <v>0</v>
      </c>
      <c r="I20" s="13">
        <f>I19-('Konfigurasi Model'!$B$11*T19)</f>
        <v>0.25093285389043374</v>
      </c>
      <c r="J20" s="13">
        <f>J19-('Konfigurasi Model'!$B$11*U19)</f>
        <v>-0.53935407260766965</v>
      </c>
      <c r="K20" s="13">
        <f>K19-('Konfigurasi Model'!$B$11*V19)</f>
        <v>-0.40147920047870317</v>
      </c>
      <c r="L20" s="13">
        <f>L19-('Konfigurasi Model'!$B$11*W19)</f>
        <v>0.70297166035800307</v>
      </c>
      <c r="M20" s="13">
        <f>M19-('Konfigurasi Model'!$B$11*X19)</f>
        <v>0.68366303358601166</v>
      </c>
      <c r="N20" s="13">
        <f t="shared" si="0"/>
        <v>-3.2619711381081684</v>
      </c>
      <c r="O20" s="13">
        <f t="shared" si="1"/>
        <v>3.6899095893119641E-2</v>
      </c>
      <c r="P20" s="12">
        <f t="shared" si="2"/>
        <v>0</v>
      </c>
      <c r="Q20" s="13">
        <f t="shared" si="3"/>
        <v>3.6899095893119641E-2</v>
      </c>
      <c r="R20" s="13">
        <f t="shared" si="4"/>
        <v>1.3615432777296388E-3</v>
      </c>
      <c r="T20" s="14">
        <f t="shared" si="5"/>
        <v>2.6226071235241209E-3</v>
      </c>
      <c r="U20" s="14">
        <f t="shared" si="6"/>
        <v>1.494886060408749E-2</v>
      </c>
      <c r="V20" s="14">
        <f t="shared" si="7"/>
        <v>1.1539471343506132E-2</v>
      </c>
      <c r="W20" s="14">
        <f t="shared" si="8"/>
        <v>3.9339106852861816E-3</v>
      </c>
      <c r="X20" s="14">
        <f t="shared" si="9"/>
        <v>1.0490428494096483E-3</v>
      </c>
      <c r="Y20" s="12">
        <f t="shared" si="10"/>
        <v>1</v>
      </c>
    </row>
    <row r="21" spans="1:25" x14ac:dyDescent="0.3">
      <c r="A21" s="23"/>
      <c r="B21" s="12">
        <v>17</v>
      </c>
      <c r="C21" s="12">
        <v>5.4</v>
      </c>
      <c r="D21" s="12">
        <v>3.9</v>
      </c>
      <c r="E21" s="12">
        <v>1.3</v>
      </c>
      <c r="F21" s="12">
        <v>0.4</v>
      </c>
      <c r="G21" s="12">
        <v>0</v>
      </c>
      <c r="I21" s="13">
        <f>I20-('Konfigurasi Model'!$B$11*T20)</f>
        <v>0.25067059317808132</v>
      </c>
      <c r="J21" s="13">
        <f>J20-('Konfigurasi Model'!$B$11*U20)</f>
        <v>-0.54084895866807836</v>
      </c>
      <c r="K21" s="13">
        <f>K20-('Konfigurasi Model'!$B$11*V20)</f>
        <v>-0.4026331476130538</v>
      </c>
      <c r="L21" s="13">
        <f>L20-('Konfigurasi Model'!$B$11*W20)</f>
        <v>0.70257826928947442</v>
      </c>
      <c r="M21" s="13">
        <f>M20-('Konfigurasi Model'!$B$11*X20)</f>
        <v>0.68355812930107074</v>
      </c>
      <c r="N21" s="13">
        <f t="shared" si="0"/>
        <v>-3.0534080575237068</v>
      </c>
      <c r="O21" s="13">
        <f t="shared" si="1"/>
        <v>4.5070565752999212E-2</v>
      </c>
      <c r="P21" s="12">
        <f t="shared" si="2"/>
        <v>0</v>
      </c>
      <c r="Q21" s="13">
        <f t="shared" si="3"/>
        <v>4.5070565752999212E-2</v>
      </c>
      <c r="R21" s="13">
        <f t="shared" si="4"/>
        <v>2.0313558972954253E-3</v>
      </c>
      <c r="T21" s="14">
        <f t="shared" si="5"/>
        <v>3.8796030755172584E-3</v>
      </c>
      <c r="U21" s="14">
        <f t="shared" si="6"/>
        <v>2.0949856607793197E-2</v>
      </c>
      <c r="V21" s="14">
        <f t="shared" si="7"/>
        <v>1.5130451994517307E-2</v>
      </c>
      <c r="W21" s="14">
        <f t="shared" si="8"/>
        <v>5.0434839981724358E-3</v>
      </c>
      <c r="X21" s="14">
        <f t="shared" si="9"/>
        <v>1.5518412302069034E-3</v>
      </c>
      <c r="Y21" s="12">
        <f t="shared" si="10"/>
        <v>1</v>
      </c>
    </row>
    <row r="22" spans="1:25" x14ac:dyDescent="0.3">
      <c r="A22" s="23"/>
      <c r="B22" s="12">
        <v>18</v>
      </c>
      <c r="C22" s="12">
        <v>5.0999999999999996</v>
      </c>
      <c r="D22" s="12">
        <v>3.5</v>
      </c>
      <c r="E22" s="12">
        <v>1.4</v>
      </c>
      <c r="F22" s="12">
        <v>0.3</v>
      </c>
      <c r="G22" s="12">
        <v>0</v>
      </c>
      <c r="I22" s="13">
        <f>I21-('Konfigurasi Model'!$B$11*T21)</f>
        <v>0.2502826328705296</v>
      </c>
      <c r="J22" s="13">
        <f>J21-('Konfigurasi Model'!$B$11*U21)</f>
        <v>-0.54294394432885773</v>
      </c>
      <c r="K22" s="13">
        <f>K21-('Konfigurasi Model'!$B$11*V21)</f>
        <v>-0.40414619281250552</v>
      </c>
      <c r="L22" s="13">
        <f>L21-('Konfigurasi Model'!$B$11*W21)</f>
        <v>0.70207392088965714</v>
      </c>
      <c r="M22" s="13">
        <f>M21-('Konfigurasi Model'!$B$11*X21)</f>
        <v>0.68340294517805</v>
      </c>
      <c r="N22" s="13">
        <f t="shared" si="0"/>
        <v>-2.7453187852514791</v>
      </c>
      <c r="O22" s="13">
        <f t="shared" si="1"/>
        <v>6.0351572682159883E-2</v>
      </c>
      <c r="P22" s="12">
        <f t="shared" si="2"/>
        <v>0</v>
      </c>
      <c r="Q22" s="13">
        <f t="shared" si="3"/>
        <v>6.0351572682159883E-2</v>
      </c>
      <c r="R22" s="13">
        <f t="shared" si="4"/>
        <v>3.6423123252100273E-3</v>
      </c>
      <c r="T22" s="14">
        <f t="shared" si="5"/>
        <v>6.8449860963679743E-3</v>
      </c>
      <c r="U22" s="14">
        <f t="shared" si="6"/>
        <v>3.4909429091476665E-2</v>
      </c>
      <c r="V22" s="14">
        <f t="shared" si="7"/>
        <v>2.3957451337287911E-2</v>
      </c>
      <c r="W22" s="14">
        <f t="shared" si="8"/>
        <v>9.5829805349151639E-3</v>
      </c>
      <c r="X22" s="14">
        <f t="shared" si="9"/>
        <v>2.0534958289103924E-3</v>
      </c>
      <c r="Y22" s="12">
        <f t="shared" si="10"/>
        <v>1</v>
      </c>
    </row>
    <row r="23" spans="1:25" x14ac:dyDescent="0.3">
      <c r="A23" s="23"/>
      <c r="B23" s="12">
        <v>19</v>
      </c>
      <c r="C23" s="12">
        <v>5.7</v>
      </c>
      <c r="D23" s="12">
        <v>3.8</v>
      </c>
      <c r="E23" s="12">
        <v>1.7</v>
      </c>
      <c r="F23" s="12">
        <v>0.3</v>
      </c>
      <c r="G23" s="12">
        <v>0</v>
      </c>
      <c r="I23" s="13">
        <f>I22-('Konfigurasi Model'!$B$11*T22)</f>
        <v>0.24959813426089281</v>
      </c>
      <c r="J23" s="13">
        <f>J22-('Konfigurasi Model'!$B$11*U22)</f>
        <v>-0.54643488723800537</v>
      </c>
      <c r="K23" s="13">
        <f>K22-('Konfigurasi Model'!$B$11*V22)</f>
        <v>-0.40654193794623433</v>
      </c>
      <c r="L23" s="13">
        <f>L22-('Konfigurasi Model'!$B$11*W22)</f>
        <v>0.70111562283616558</v>
      </c>
      <c r="M23" s="13">
        <f>M22-('Konfigurasi Model'!$B$11*X22)</f>
        <v>0.68319759559515891</v>
      </c>
      <c r="N23" s="13">
        <f t="shared" si="0"/>
        <v>-3.0130842496913992</v>
      </c>
      <c r="O23" s="13">
        <f t="shared" si="1"/>
        <v>4.683825847959646E-2</v>
      </c>
      <c r="P23" s="12">
        <f t="shared" si="2"/>
        <v>0</v>
      </c>
      <c r="Q23" s="13">
        <f t="shared" si="3"/>
        <v>4.683825847959646E-2</v>
      </c>
      <c r="R23" s="13">
        <f t="shared" si="4"/>
        <v>2.1938224574014897E-3</v>
      </c>
      <c r="T23" s="14">
        <f t="shared" si="5"/>
        <v>4.1821352681667501E-3</v>
      </c>
      <c r="U23" s="14">
        <f t="shared" si="6"/>
        <v>2.3838171028550476E-2</v>
      </c>
      <c r="V23" s="14">
        <f t="shared" si="7"/>
        <v>1.5892114019033649E-2</v>
      </c>
      <c r="W23" s="14">
        <f t="shared" si="8"/>
        <v>7.1096299558834749E-3</v>
      </c>
      <c r="X23" s="14">
        <f t="shared" si="9"/>
        <v>1.2546405804500251E-3</v>
      </c>
      <c r="Y23" s="12">
        <f t="shared" si="10"/>
        <v>1</v>
      </c>
    </row>
    <row r="24" spans="1:25" x14ac:dyDescent="0.3">
      <c r="A24" s="23"/>
      <c r="B24" s="12">
        <v>20</v>
      </c>
      <c r="C24" s="12">
        <v>5.0999999999999996</v>
      </c>
      <c r="D24" s="12">
        <v>3.8</v>
      </c>
      <c r="E24" s="12">
        <v>1.5</v>
      </c>
      <c r="F24" s="12">
        <v>0.3</v>
      </c>
      <c r="G24" s="12">
        <v>0</v>
      </c>
      <c r="I24" s="13">
        <f>I23-('Konfigurasi Model'!$B$11*T23)</f>
        <v>0.24917992073407613</v>
      </c>
      <c r="J24" s="13">
        <f>J23-('Konfigurasi Model'!$B$11*U23)</f>
        <v>-0.54881870434086044</v>
      </c>
      <c r="K24" s="13">
        <f>K23-('Konfigurasi Model'!$B$11*V23)</f>
        <v>-0.40813114934813771</v>
      </c>
      <c r="L24" s="13">
        <f>L23-('Konfigurasi Model'!$B$11*W23)</f>
        <v>0.7004046598405772</v>
      </c>
      <c r="M24" s="13">
        <f>M23-('Konfigurasi Model'!$B$11*X23)</f>
        <v>0.68307213153711388</v>
      </c>
      <c r="N24" s="13">
        <f t="shared" si="0"/>
        <v>-2.8451652097052351</v>
      </c>
      <c r="O24" s="13">
        <f t="shared" si="1"/>
        <v>5.4931772417953807E-2</v>
      </c>
      <c r="P24" s="12">
        <f t="shared" si="2"/>
        <v>0</v>
      </c>
      <c r="Q24" s="13">
        <f t="shared" si="3"/>
        <v>5.4931772417953807E-2</v>
      </c>
      <c r="R24" s="13">
        <f t="shared" si="4"/>
        <v>3.0174996209778706E-3</v>
      </c>
      <c r="T24" s="14">
        <f t="shared" si="5"/>
        <v>5.7034860370541052E-3</v>
      </c>
      <c r="U24" s="14">
        <f t="shared" si="6"/>
        <v>2.9087778788975935E-2</v>
      </c>
      <c r="V24" s="14">
        <f t="shared" si="7"/>
        <v>2.16732469408056E-2</v>
      </c>
      <c r="W24" s="14">
        <f t="shared" si="8"/>
        <v>8.5552290555811587E-3</v>
      </c>
      <c r="X24" s="14">
        <f t="shared" si="9"/>
        <v>1.7110458111162315E-3</v>
      </c>
      <c r="Y24" s="12">
        <f t="shared" si="10"/>
        <v>1</v>
      </c>
    </row>
    <row r="25" spans="1:25" x14ac:dyDescent="0.3">
      <c r="A25" s="23"/>
      <c r="B25" s="12">
        <v>21</v>
      </c>
      <c r="C25" s="12">
        <v>7</v>
      </c>
      <c r="D25" s="12">
        <v>3.2</v>
      </c>
      <c r="E25" s="12">
        <v>4.7</v>
      </c>
      <c r="F25" s="12">
        <v>1.4</v>
      </c>
      <c r="G25" s="12">
        <v>1</v>
      </c>
      <c r="I25" s="13">
        <f>I24-('Konfigurasi Model'!$B$11*T24)</f>
        <v>0.24860957213037072</v>
      </c>
      <c r="J25" s="13">
        <f>J24-('Konfigurasi Model'!$B$11*U24)</f>
        <v>-0.55172748221975798</v>
      </c>
      <c r="K25" s="13">
        <f>K24-('Konfigurasi Model'!$B$11*V24)</f>
        <v>-0.41029847404221825</v>
      </c>
      <c r="L25" s="13">
        <f>L24-('Konfigurasi Model'!$B$11*W24)</f>
        <v>0.69954913693501908</v>
      </c>
      <c r="M25" s="13">
        <f>M24-('Konfigurasi Model'!$B$11*X24)</f>
        <v>0.6829010269560023</v>
      </c>
      <c r="N25" s="13">
        <f t="shared" si="0"/>
        <v>-0.68249553901004067</v>
      </c>
      <c r="O25" s="13">
        <f t="shared" si="1"/>
        <v>0.33570455193129567</v>
      </c>
      <c r="P25" s="12">
        <f t="shared" si="2"/>
        <v>0</v>
      </c>
      <c r="Q25" s="13">
        <f t="shared" si="3"/>
        <v>-0.66429544806870433</v>
      </c>
      <c r="R25" s="13">
        <f t="shared" si="4"/>
        <v>0.44128844232480063</v>
      </c>
      <c r="T25" s="14">
        <f t="shared" si="5"/>
        <v>-0.2962850776062132</v>
      </c>
      <c r="U25" s="14">
        <f t="shared" si="6"/>
        <v>-2.0739955432434924</v>
      </c>
      <c r="V25" s="14">
        <f t="shared" si="7"/>
        <v>-0.94811224833988228</v>
      </c>
      <c r="W25" s="14">
        <f t="shared" si="8"/>
        <v>-1.392539864749202</v>
      </c>
      <c r="X25" s="14">
        <f t="shared" si="9"/>
        <v>-0.41479910864869846</v>
      </c>
      <c r="Y25" s="12">
        <f t="shared" si="10"/>
        <v>0</v>
      </c>
    </row>
    <row r="26" spans="1:25" x14ac:dyDescent="0.3">
      <c r="A26" s="23"/>
      <c r="B26" s="12">
        <v>22</v>
      </c>
      <c r="C26" s="12">
        <v>6.4</v>
      </c>
      <c r="D26" s="12">
        <v>3.2</v>
      </c>
      <c r="E26" s="12">
        <v>4.5</v>
      </c>
      <c r="F26" s="12">
        <v>1.5</v>
      </c>
      <c r="G26" s="12">
        <v>1</v>
      </c>
      <c r="I26" s="13">
        <f>I25-('Konfigurasi Model'!$B$11*T25)</f>
        <v>0.27823807989099203</v>
      </c>
      <c r="J26" s="13">
        <f>J25-('Konfigurasi Model'!$B$11*U25)</f>
        <v>-0.34432792789540873</v>
      </c>
      <c r="K26" s="13">
        <f>K25-('Konfigurasi Model'!$B$11*V25)</f>
        <v>-0.31548724920823001</v>
      </c>
      <c r="L26" s="13">
        <f>L25-('Konfigurasi Model'!$B$11*W25)</f>
        <v>0.83880312340993934</v>
      </c>
      <c r="M26" s="13">
        <f>M25-('Konfigurasi Model'!$B$11*X25)</f>
        <v>0.7243809378208721</v>
      </c>
      <c r="N26" s="13">
        <f t="shared" si="0"/>
        <v>1.9261656059700754</v>
      </c>
      <c r="O26" s="13">
        <f t="shared" si="1"/>
        <v>0.8728244027133768</v>
      </c>
      <c r="P26" s="12">
        <f t="shared" si="2"/>
        <v>1</v>
      </c>
      <c r="Q26" s="13">
        <f t="shared" si="3"/>
        <v>-0.1271755972866232</v>
      </c>
      <c r="R26" s="13">
        <f t="shared" si="4"/>
        <v>1.6173632545209361E-2</v>
      </c>
      <c r="T26" s="14">
        <f t="shared" si="5"/>
        <v>-2.8233482331955984E-2</v>
      </c>
      <c r="U26" s="14">
        <f t="shared" si="6"/>
        <v>-0.1806942869245183</v>
      </c>
      <c r="V26" s="14">
        <f t="shared" si="7"/>
        <v>-9.0347143462259152E-2</v>
      </c>
      <c r="W26" s="14">
        <f t="shared" si="8"/>
        <v>-0.12705067049380192</v>
      </c>
      <c r="X26" s="14">
        <f t="shared" si="9"/>
        <v>-4.2350223497933978E-2</v>
      </c>
      <c r="Y26" s="12">
        <f t="shared" si="10"/>
        <v>1</v>
      </c>
    </row>
    <row r="27" spans="1:25" x14ac:dyDescent="0.3">
      <c r="A27" s="23"/>
      <c r="B27" s="12">
        <v>23</v>
      </c>
      <c r="C27" s="12">
        <v>6.9</v>
      </c>
      <c r="D27" s="12">
        <v>3.1</v>
      </c>
      <c r="E27" s="12">
        <v>4.9000000000000004</v>
      </c>
      <c r="F27" s="12">
        <v>1.5</v>
      </c>
      <c r="G27" s="12">
        <v>1</v>
      </c>
      <c r="I27" s="13">
        <f>I26-('Konfigurasi Model'!$B$11*T26)</f>
        <v>0.28106142812418761</v>
      </c>
      <c r="J27" s="13">
        <f>J26-('Konfigurasi Model'!$B$11*U26)</f>
        <v>-0.32625849920295691</v>
      </c>
      <c r="K27" s="13">
        <f>K26-('Konfigurasi Model'!$B$11*V26)</f>
        <v>-0.30645253486200408</v>
      </c>
      <c r="L27" s="13">
        <f>L26-('Konfigurasi Model'!$B$11*W26)</f>
        <v>0.85150819045931958</v>
      </c>
      <c r="M27" s="13">
        <f>M26-('Konfigurasi Model'!$B$11*X26)</f>
        <v>0.72861596017066554</v>
      </c>
      <c r="N27" s="13">
        <f t="shared" si="0"/>
        <v>2.3451889990582369</v>
      </c>
      <c r="O27" s="13">
        <f t="shared" si="1"/>
        <v>0.91255106312676504</v>
      </c>
      <c r="P27" s="12">
        <f t="shared" si="2"/>
        <v>1</v>
      </c>
      <c r="Q27" s="13">
        <f t="shared" si="3"/>
        <v>-8.7448936873234961E-2</v>
      </c>
      <c r="R27" s="13">
        <f t="shared" si="4"/>
        <v>7.6473165602590331E-3</v>
      </c>
      <c r="T27" s="14">
        <f t="shared" si="5"/>
        <v>-1.3957133714262594E-2</v>
      </c>
      <c r="U27" s="14">
        <f t="shared" si="6"/>
        <v>-9.6304222628411901E-2</v>
      </c>
      <c r="V27" s="14">
        <f t="shared" si="7"/>
        <v>-4.3267114514214042E-2</v>
      </c>
      <c r="W27" s="14">
        <f t="shared" si="8"/>
        <v>-6.8389955199886707E-2</v>
      </c>
      <c r="X27" s="14">
        <f t="shared" si="9"/>
        <v>-2.0935700571393892E-2</v>
      </c>
      <c r="Y27" s="12">
        <f t="shared" si="10"/>
        <v>1</v>
      </c>
    </row>
    <row r="28" spans="1:25" x14ac:dyDescent="0.3">
      <c r="A28" s="23"/>
      <c r="B28" s="12">
        <v>24</v>
      </c>
      <c r="C28" s="12">
        <v>5.5</v>
      </c>
      <c r="D28" s="12">
        <v>2.2999999999999998</v>
      </c>
      <c r="E28" s="12">
        <v>4</v>
      </c>
      <c r="F28" s="12">
        <v>1.3</v>
      </c>
      <c r="G28" s="12">
        <v>1</v>
      </c>
      <c r="I28" s="13">
        <f>I27-('Konfigurasi Model'!$B$11*T27)</f>
        <v>0.28245714149561385</v>
      </c>
      <c r="J28" s="13">
        <f>J27-('Konfigurasi Model'!$B$11*U27)</f>
        <v>-0.31662807694011574</v>
      </c>
      <c r="K28" s="13">
        <f>K27-('Konfigurasi Model'!$B$11*V27)</f>
        <v>-0.30212582341058269</v>
      </c>
      <c r="L28" s="13">
        <f>L27-('Konfigurasi Model'!$B$11*W27)</f>
        <v>0.85834718597930826</v>
      </c>
      <c r="M28" s="13">
        <f>M27-('Konfigurasi Model'!$B$11*X27)</f>
        <v>0.73070953022780494</v>
      </c>
      <c r="N28" s="13">
        <f t="shared" si="0"/>
        <v>2.2294244576940163</v>
      </c>
      <c r="O28" s="13">
        <f t="shared" si="1"/>
        <v>0.90286089387139312</v>
      </c>
      <c r="P28" s="12">
        <f t="shared" si="2"/>
        <v>1</v>
      </c>
      <c r="Q28" s="13">
        <f t="shared" si="3"/>
        <v>-9.7139106128606878E-2</v>
      </c>
      <c r="R28" s="13">
        <f t="shared" si="4"/>
        <v>9.4360059394647498E-3</v>
      </c>
      <c r="T28" s="14">
        <f t="shared" si="5"/>
        <v>-1.7038801514161837E-2</v>
      </c>
      <c r="U28" s="14">
        <f t="shared" si="6"/>
        <v>-9.3713408327890102E-2</v>
      </c>
      <c r="V28" s="14">
        <f t="shared" si="7"/>
        <v>-3.9189243482572224E-2</v>
      </c>
      <c r="W28" s="14">
        <f t="shared" si="8"/>
        <v>-6.8155206056647349E-2</v>
      </c>
      <c r="X28" s="14">
        <f t="shared" si="9"/>
        <v>-2.215044196841039E-2</v>
      </c>
      <c r="Y28" s="12">
        <f t="shared" si="10"/>
        <v>1</v>
      </c>
    </row>
    <row r="29" spans="1:25" x14ac:dyDescent="0.3">
      <c r="A29" s="23"/>
      <c r="B29" s="12">
        <v>25</v>
      </c>
      <c r="C29" s="12">
        <v>6.5</v>
      </c>
      <c r="D29" s="12">
        <v>2.8</v>
      </c>
      <c r="E29" s="12">
        <v>4.5999999999999996</v>
      </c>
      <c r="F29" s="12">
        <v>1.5</v>
      </c>
      <c r="G29" s="12">
        <v>1</v>
      </c>
      <c r="I29" s="13">
        <f>I28-('Konfigurasi Model'!$B$11*T28)</f>
        <v>0.28416102164703005</v>
      </c>
      <c r="J29" s="13">
        <f>J28-('Konfigurasi Model'!$B$11*U28)</f>
        <v>-0.30725673610732673</v>
      </c>
      <c r="K29" s="13">
        <f>K28-('Konfigurasi Model'!$B$11*V28)</f>
        <v>-0.29820689906232545</v>
      </c>
      <c r="L29" s="13">
        <f>L28-('Konfigurasi Model'!$B$11*W28)</f>
        <v>0.86516270658497296</v>
      </c>
      <c r="M29" s="13">
        <f>M28-('Konfigurasi Model'!$B$11*X28)</f>
        <v>0.73292457442464598</v>
      </c>
      <c r="N29" s="13">
        <f t="shared" si="0"/>
        <v>2.5311482315027396</v>
      </c>
      <c r="O29" s="13">
        <f t="shared" si="1"/>
        <v>0.92629678275289495</v>
      </c>
      <c r="P29" s="12">
        <f t="shared" si="2"/>
        <v>1</v>
      </c>
      <c r="Q29" s="13">
        <f t="shared" si="3"/>
        <v>-7.3703217247105046E-2</v>
      </c>
      <c r="R29" s="13">
        <f t="shared" si="4"/>
        <v>5.4321642325739624E-3</v>
      </c>
      <c r="T29" s="14">
        <f t="shared" si="5"/>
        <v>-1.006359250403722E-2</v>
      </c>
      <c r="U29" s="14">
        <f t="shared" si="6"/>
        <v>-6.5413351276241927E-2</v>
      </c>
      <c r="V29" s="14">
        <f t="shared" si="7"/>
        <v>-2.8178059011304213E-2</v>
      </c>
      <c r="W29" s="14">
        <f t="shared" si="8"/>
        <v>-4.6292525518571208E-2</v>
      </c>
      <c r="X29" s="14">
        <f t="shared" si="9"/>
        <v>-1.509538875605583E-2</v>
      </c>
      <c r="Y29" s="12">
        <f t="shared" si="10"/>
        <v>1</v>
      </c>
    </row>
    <row r="30" spans="1:25" x14ac:dyDescent="0.3">
      <c r="A30" s="23"/>
      <c r="B30" s="12">
        <v>26</v>
      </c>
      <c r="C30" s="12">
        <v>5.7</v>
      </c>
      <c r="D30" s="12">
        <v>2.8</v>
      </c>
      <c r="E30" s="12">
        <v>4.5</v>
      </c>
      <c r="F30" s="12">
        <v>1.3</v>
      </c>
      <c r="G30" s="12">
        <v>1</v>
      </c>
      <c r="I30" s="13">
        <f>I29-('Konfigurasi Model'!$B$11*T29)</f>
        <v>0.28516738089743376</v>
      </c>
      <c r="J30" s="13">
        <f>J29-('Konfigurasi Model'!$B$11*U29)</f>
        <v>-0.30071540097970256</v>
      </c>
      <c r="K30" s="13">
        <f>K29-('Konfigurasi Model'!$B$11*V29)</f>
        <v>-0.29538909316119505</v>
      </c>
      <c r="L30" s="13">
        <f>L29-('Konfigurasi Model'!$B$11*W29)</f>
        <v>0.86979195913683005</v>
      </c>
      <c r="M30" s="13">
        <f>M29-('Konfigurasi Model'!$B$11*X29)</f>
        <v>0.73443411330025155</v>
      </c>
      <c r="N30" s="13">
        <f t="shared" si="0"/>
        <v>2.6128282978678454</v>
      </c>
      <c r="O30" s="13">
        <f t="shared" si="1"/>
        <v>0.93168263766019943</v>
      </c>
      <c r="P30" s="12">
        <f t="shared" si="2"/>
        <v>1</v>
      </c>
      <c r="Q30" s="13">
        <f t="shared" si="3"/>
        <v>-6.8317362339800569E-2</v>
      </c>
      <c r="R30" s="13">
        <f t="shared" si="4"/>
        <v>4.667261997067601E-3</v>
      </c>
      <c r="T30" s="14">
        <f t="shared" si="5"/>
        <v>-8.6968139361583048E-3</v>
      </c>
      <c r="U30" s="14">
        <f t="shared" si="6"/>
        <v>-4.9571839436102341E-2</v>
      </c>
      <c r="V30" s="14">
        <f t="shared" si="7"/>
        <v>-2.4351079021243251E-2</v>
      </c>
      <c r="W30" s="14">
        <f t="shared" si="8"/>
        <v>-3.913566271271237E-2</v>
      </c>
      <c r="X30" s="14">
        <f t="shared" si="9"/>
        <v>-1.1305858117005796E-2</v>
      </c>
      <c r="Y30" s="12">
        <f t="shared" si="10"/>
        <v>1</v>
      </c>
    </row>
    <row r="31" spans="1:25" x14ac:dyDescent="0.3">
      <c r="A31" s="23"/>
      <c r="B31" s="12">
        <v>27</v>
      </c>
      <c r="C31" s="12">
        <v>6.3</v>
      </c>
      <c r="D31" s="12">
        <v>3.3</v>
      </c>
      <c r="E31" s="12">
        <v>4.7</v>
      </c>
      <c r="F31" s="12">
        <v>1.6</v>
      </c>
      <c r="G31" s="12">
        <v>1</v>
      </c>
      <c r="I31" s="13">
        <f>I30-('Konfigurasi Model'!$B$11*T30)</f>
        <v>0.28603706229104958</v>
      </c>
      <c r="J31" s="13">
        <f>J30-('Konfigurasi Model'!$B$11*U30)</f>
        <v>-0.29575821703609234</v>
      </c>
      <c r="K31" s="13">
        <f>K30-('Konfigurasi Model'!$B$11*V30)</f>
        <v>-0.29295398525907074</v>
      </c>
      <c r="L31" s="13">
        <f>L30-('Konfigurasi Model'!$B$11*W30)</f>
        <v>0.87370552540810131</v>
      </c>
      <c r="M31" s="13">
        <f>M30-('Konfigurasi Model'!$B$11*X30)</f>
        <v>0.7355646991119521</v>
      </c>
      <c r="N31" s="13">
        <f t="shared" si="0"/>
        <v>2.7393316316059342</v>
      </c>
      <c r="O31" s="13">
        <f t="shared" si="1"/>
        <v>0.93930800520624225</v>
      </c>
      <c r="P31" s="12">
        <f t="shared" si="2"/>
        <v>1</v>
      </c>
      <c r="Q31" s="13">
        <f t="shared" si="3"/>
        <v>-6.0691994793757753E-2</v>
      </c>
      <c r="R31" s="13">
        <f t="shared" si="4"/>
        <v>3.683518232045518E-3</v>
      </c>
      <c r="T31" s="14">
        <f t="shared" si="5"/>
        <v>-6.9199163253669989E-3</v>
      </c>
      <c r="U31" s="14">
        <f t="shared" si="6"/>
        <v>-4.3595472849812092E-2</v>
      </c>
      <c r="V31" s="14">
        <f t="shared" si="7"/>
        <v>-2.2835723873711095E-2</v>
      </c>
      <c r="W31" s="14">
        <f t="shared" si="8"/>
        <v>-3.2523606729224899E-2</v>
      </c>
      <c r="X31" s="14">
        <f t="shared" si="9"/>
        <v>-1.10718661205872E-2</v>
      </c>
      <c r="Y31" s="12">
        <f t="shared" si="10"/>
        <v>1</v>
      </c>
    </row>
    <row r="32" spans="1:25" x14ac:dyDescent="0.3">
      <c r="A32" s="23"/>
      <c r="B32" s="12">
        <v>28</v>
      </c>
      <c r="C32" s="12">
        <v>4.9000000000000004</v>
      </c>
      <c r="D32" s="12">
        <v>2.4</v>
      </c>
      <c r="E32" s="12">
        <v>3.3</v>
      </c>
      <c r="F32" s="12">
        <v>1</v>
      </c>
      <c r="G32" s="12">
        <v>1</v>
      </c>
      <c r="I32" s="13">
        <f>I31-('Konfigurasi Model'!$B$11*T31)</f>
        <v>0.28672905392358627</v>
      </c>
      <c r="J32" s="13">
        <f>J31-('Konfigurasi Model'!$B$11*U31)</f>
        <v>-0.29139866975111112</v>
      </c>
      <c r="K32" s="13">
        <f>K31-('Konfigurasi Model'!$B$11*V31)</f>
        <v>-0.29067041287169965</v>
      </c>
      <c r="L32" s="13">
        <f>L31-('Konfigurasi Model'!$B$11*W31)</f>
        <v>0.87695788608102376</v>
      </c>
      <c r="M32" s="13">
        <f>M31-('Konfigurasi Model'!$B$11*X31)</f>
        <v>0.73667188572401088</v>
      </c>
      <c r="N32" s="13">
        <f t="shared" si="0"/>
        <v>1.7918994910424519</v>
      </c>
      <c r="O32" s="13">
        <f t="shared" si="1"/>
        <v>0.85716000181375551</v>
      </c>
      <c r="P32" s="12">
        <f t="shared" si="2"/>
        <v>1</v>
      </c>
      <c r="Q32" s="13">
        <f t="shared" si="3"/>
        <v>-0.14283999818624449</v>
      </c>
      <c r="R32" s="13">
        <f t="shared" si="4"/>
        <v>2.0403265081846329E-2</v>
      </c>
      <c r="T32" s="14">
        <f t="shared" si="5"/>
        <v>-3.4977725469123866E-2</v>
      </c>
      <c r="U32" s="14">
        <f t="shared" si="6"/>
        <v>-0.17139085479870694</v>
      </c>
      <c r="V32" s="14">
        <f t="shared" si="7"/>
        <v>-8.3946541125897278E-2</v>
      </c>
      <c r="W32" s="14">
        <f t="shared" si="8"/>
        <v>-0.11542649404810876</v>
      </c>
      <c r="X32" s="14">
        <f t="shared" si="9"/>
        <v>-3.4977725469123866E-2</v>
      </c>
      <c r="Y32" s="12">
        <f t="shared" si="10"/>
        <v>1</v>
      </c>
    </row>
    <row r="33" spans="1:25" x14ac:dyDescent="0.3">
      <c r="A33" s="23"/>
      <c r="B33" s="12">
        <v>29</v>
      </c>
      <c r="C33" s="12">
        <v>6.6</v>
      </c>
      <c r="D33" s="12">
        <v>2.9</v>
      </c>
      <c r="E33" s="12">
        <v>4.5999999999999996</v>
      </c>
      <c r="F33" s="12">
        <v>1.3</v>
      </c>
      <c r="G33" s="12">
        <v>1</v>
      </c>
      <c r="I33" s="13">
        <f>I32-('Konfigurasi Model'!$B$11*T32)</f>
        <v>0.29022682647049869</v>
      </c>
      <c r="J33" s="13">
        <f>J32-('Konfigurasi Model'!$B$11*U32)</f>
        <v>-0.27425958427124042</v>
      </c>
      <c r="K33" s="13">
        <f>K32-('Konfigurasi Model'!$B$11*V32)</f>
        <v>-0.28227575875910993</v>
      </c>
      <c r="L33" s="13">
        <f>L32-('Konfigurasi Model'!$B$11*W32)</f>
        <v>0.88850053548583463</v>
      </c>
      <c r="M33" s="13">
        <f>M32-('Konfigurasi Model'!$B$11*X32)</f>
        <v>0.74016965827092329</v>
      </c>
      <c r="N33" s="13">
        <f t="shared" si="0"/>
        <v>2.7108368888659324</v>
      </c>
      <c r="O33" s="13">
        <f t="shared" si="1"/>
        <v>0.93766308355308137</v>
      </c>
      <c r="P33" s="12">
        <f t="shared" si="2"/>
        <v>1</v>
      </c>
      <c r="Q33" s="13">
        <f t="shared" si="3"/>
        <v>-6.2336916446918633E-2</v>
      </c>
      <c r="R33" s="13">
        <f t="shared" si="4"/>
        <v>3.8858911521101147E-3</v>
      </c>
      <c r="T33" s="14">
        <f t="shared" si="5"/>
        <v>-7.2873133600784125E-3</v>
      </c>
      <c r="U33" s="14">
        <f t="shared" si="6"/>
        <v>-4.809626817651752E-2</v>
      </c>
      <c r="V33" s="14">
        <f t="shared" si="7"/>
        <v>-2.1133208744227396E-2</v>
      </c>
      <c r="W33" s="14">
        <f t="shared" si="8"/>
        <v>-3.3521641456360697E-2</v>
      </c>
      <c r="X33" s="14">
        <f t="shared" si="9"/>
        <v>-9.4735073681019369E-3</v>
      </c>
      <c r="Y33" s="12">
        <f t="shared" si="10"/>
        <v>1</v>
      </c>
    </row>
    <row r="34" spans="1:25" x14ac:dyDescent="0.3">
      <c r="A34" s="23"/>
      <c r="B34" s="12">
        <v>30</v>
      </c>
      <c r="C34" s="12">
        <v>5.2</v>
      </c>
      <c r="D34" s="12">
        <v>2.7</v>
      </c>
      <c r="E34" s="12">
        <v>3.9</v>
      </c>
      <c r="F34" s="12">
        <v>1.4</v>
      </c>
      <c r="G34" s="12">
        <v>1</v>
      </c>
      <c r="I34" s="13">
        <f>I33-('Konfigurasi Model'!$B$11*T33)</f>
        <v>0.2909555578065065</v>
      </c>
      <c r="J34" s="13">
        <f>J33-('Konfigurasi Model'!$B$11*U33)</f>
        <v>-0.26944995745358868</v>
      </c>
      <c r="K34" s="13">
        <f>K33-('Konfigurasi Model'!$B$11*V33)</f>
        <v>-0.2801624378846872</v>
      </c>
      <c r="L34" s="13">
        <f>L33-('Konfigurasi Model'!$B$11*W33)</f>
        <v>0.89185269963147074</v>
      </c>
      <c r="M34" s="13">
        <f>M33-('Konfigurasi Model'!$B$11*X33)</f>
        <v>0.74111700900773347</v>
      </c>
      <c r="N34" s="13">
        <f t="shared" si="0"/>
        <v>2.6491665379327527</v>
      </c>
      <c r="O34" s="13">
        <f t="shared" si="1"/>
        <v>0.93395960193833782</v>
      </c>
      <c r="P34" s="12">
        <f t="shared" si="2"/>
        <v>1</v>
      </c>
      <c r="Q34" s="13">
        <f t="shared" si="3"/>
        <v>-6.6040398061662176E-2</v>
      </c>
      <c r="R34" s="13">
        <f t="shared" si="4"/>
        <v>4.3613341761427936E-3</v>
      </c>
      <c r="T34" s="14">
        <f t="shared" si="5"/>
        <v>-8.1466198621407849E-3</v>
      </c>
      <c r="U34" s="14">
        <f t="shared" si="6"/>
        <v>-4.2362423283132083E-2</v>
      </c>
      <c r="V34" s="14">
        <f t="shared" si="7"/>
        <v>-2.1995873627780122E-2</v>
      </c>
      <c r="W34" s="14">
        <f t="shared" si="8"/>
        <v>-3.1771817462349063E-2</v>
      </c>
      <c r="X34" s="14">
        <f t="shared" si="9"/>
        <v>-1.1405267806997098E-2</v>
      </c>
      <c r="Y34" s="12">
        <f t="shared" si="10"/>
        <v>1</v>
      </c>
    </row>
    <row r="35" spans="1:25" x14ac:dyDescent="0.3">
      <c r="A35" s="23"/>
      <c r="B35" s="12">
        <v>31</v>
      </c>
      <c r="C35" s="12">
        <v>5</v>
      </c>
      <c r="D35" s="12">
        <v>2</v>
      </c>
      <c r="E35" s="12">
        <v>3.5</v>
      </c>
      <c r="F35" s="12">
        <v>1</v>
      </c>
      <c r="G35" s="12">
        <v>1</v>
      </c>
      <c r="I35" s="13">
        <f>I34-('Konfigurasi Model'!$B$11*T34)</f>
        <v>0.29177021979272061</v>
      </c>
      <c r="J35" s="13">
        <f>J34-('Konfigurasi Model'!$B$11*U34)</f>
        <v>-0.26521371512527547</v>
      </c>
      <c r="K35" s="13">
        <f>K34-('Konfigurasi Model'!$B$11*V34)</f>
        <v>-0.27796285052190917</v>
      </c>
      <c r="L35" s="13">
        <f>L34-('Konfigurasi Model'!$B$11*W34)</f>
        <v>0.89502988137770567</v>
      </c>
      <c r="M35" s="13">
        <f>M34-('Konfigurasi Model'!$B$11*X34)</f>
        <v>0.74225753578843323</v>
      </c>
      <c r="N35" s="13">
        <f t="shared" si="0"/>
        <v>2.2846380637329275</v>
      </c>
      <c r="O35" s="13">
        <f t="shared" si="1"/>
        <v>0.90759675359742908</v>
      </c>
      <c r="P35" s="12">
        <f t="shared" si="2"/>
        <v>1</v>
      </c>
      <c r="Q35" s="13">
        <f t="shared" si="3"/>
        <v>-9.2403246402570915E-2</v>
      </c>
      <c r="R35" s="13">
        <f t="shared" si="4"/>
        <v>8.5383599457342346E-3</v>
      </c>
      <c r="T35" s="14">
        <f t="shared" si="5"/>
        <v>-1.5498775535589425E-2</v>
      </c>
      <c r="U35" s="14">
        <f t="shared" si="6"/>
        <v>-7.7493877677947118E-2</v>
      </c>
      <c r="V35" s="14">
        <f t="shared" si="7"/>
        <v>-3.0997551071178849E-2</v>
      </c>
      <c r="W35" s="14">
        <f t="shared" si="8"/>
        <v>-5.4245714374562985E-2</v>
      </c>
      <c r="X35" s="14">
        <f t="shared" si="9"/>
        <v>-1.5498775535589425E-2</v>
      </c>
      <c r="Y35" s="12">
        <f t="shared" si="10"/>
        <v>1</v>
      </c>
    </row>
    <row r="36" spans="1:25" x14ac:dyDescent="0.3">
      <c r="A36" s="23"/>
      <c r="B36" s="12">
        <v>32</v>
      </c>
      <c r="C36" s="12">
        <v>5.9</v>
      </c>
      <c r="D36" s="12">
        <v>3</v>
      </c>
      <c r="E36" s="12">
        <v>4.2</v>
      </c>
      <c r="F36" s="12">
        <v>1.5</v>
      </c>
      <c r="G36" s="12">
        <v>1</v>
      </c>
      <c r="I36" s="13">
        <f>I35-('Konfigurasi Model'!$B$11*T35)</f>
        <v>0.29332009734627956</v>
      </c>
      <c r="J36" s="13">
        <f>J35-('Konfigurasi Model'!$B$11*U35)</f>
        <v>-0.25746432735748076</v>
      </c>
      <c r="K36" s="13">
        <f>K35-('Konfigurasi Model'!$B$11*V35)</f>
        <v>-0.27486309541479126</v>
      </c>
      <c r="L36" s="13">
        <f>L35-('Konfigurasi Model'!$B$11*W35)</f>
        <v>0.90045445281516201</v>
      </c>
      <c r="M36" s="13">
        <f>M35-('Konfigurasi Model'!$B$11*X35)</f>
        <v>0.74380741334199219</v>
      </c>
      <c r="N36" s="13">
        <f t="shared" si="0"/>
        <v>2.8473111015294377</v>
      </c>
      <c r="O36" s="13">
        <f t="shared" si="1"/>
        <v>0.94517952365754188</v>
      </c>
      <c r="P36" s="12">
        <f t="shared" si="2"/>
        <v>1</v>
      </c>
      <c r="Q36" s="13">
        <f t="shared" si="3"/>
        <v>-5.4820476342458124E-2</v>
      </c>
      <c r="R36" s="13">
        <f t="shared" si="4"/>
        <v>3.0052846264140109E-3</v>
      </c>
      <c r="T36" s="14">
        <f t="shared" si="5"/>
        <v>-5.6810669832986571E-3</v>
      </c>
      <c r="U36" s="14">
        <f t="shared" si="6"/>
        <v>-3.351829520146208E-2</v>
      </c>
      <c r="V36" s="14">
        <f t="shared" si="7"/>
        <v>-1.7043200949895972E-2</v>
      </c>
      <c r="W36" s="14">
        <f t="shared" si="8"/>
        <v>-2.3860481329854362E-2</v>
      </c>
      <c r="X36" s="14">
        <f t="shared" si="9"/>
        <v>-8.5216004749479862E-3</v>
      </c>
      <c r="Y36" s="12">
        <f t="shared" si="10"/>
        <v>1</v>
      </c>
    </row>
    <row r="37" spans="1:25" x14ac:dyDescent="0.3">
      <c r="A37" s="23"/>
      <c r="B37" s="12">
        <v>33</v>
      </c>
      <c r="C37" s="12">
        <v>6</v>
      </c>
      <c r="D37" s="12">
        <v>2.2000000000000002</v>
      </c>
      <c r="E37" s="12">
        <v>4</v>
      </c>
      <c r="F37" s="12">
        <v>1</v>
      </c>
      <c r="G37" s="12">
        <v>1</v>
      </c>
      <c r="I37" s="13">
        <f>I36-('Konfigurasi Model'!$B$11*T36)</f>
        <v>0.29388820404460941</v>
      </c>
      <c r="J37" s="13">
        <f>J36-('Konfigurasi Model'!$B$11*U36)</f>
        <v>-0.25411249783733453</v>
      </c>
      <c r="K37" s="13">
        <f>K36-('Konfigurasi Model'!$B$11*V36)</f>
        <v>-0.27315877531980165</v>
      </c>
      <c r="L37" s="13">
        <f>L36-('Konfigurasi Model'!$B$11*W36)</f>
        <v>0.9028405009481475</v>
      </c>
      <c r="M37" s="13">
        <f>M36-('Konfigurasi Model'!$B$11*X36)</f>
        <v>0.74465957338948696</v>
      </c>
      <c r="N37" s="13">
        <f t="shared" ref="N37:N68" si="11">I37+J37*C37+K37*D37+L37*E37+M37*F37</f>
        <v>2.5242854884991157</v>
      </c>
      <c r="O37" s="13">
        <f t="shared" ref="O37:O68" si="12">1/(1+EXP(-N37))</f>
        <v>0.92582688318385942</v>
      </c>
      <c r="P37" s="12">
        <f t="shared" ref="P37:P68" si="13">IF(O37&gt;0.5,1,0)</f>
        <v>1</v>
      </c>
      <c r="Q37" s="13">
        <f t="shared" ref="Q37:Q68" si="14">O37-G37</f>
        <v>-7.4173116816140583E-2</v>
      </c>
      <c r="R37" s="13">
        <f t="shared" ref="R37:R68" si="15">Q37^2</f>
        <v>5.5016512582208368E-3</v>
      </c>
      <c r="T37" s="14">
        <f t="shared" ref="T37:T68" si="16">2*(O37-G37)*(1-O37)*O37</f>
        <v>-1.0187153273526312E-2</v>
      </c>
      <c r="U37" s="14">
        <f t="shared" ref="U37:U68" si="17">2*(O37-G37)*(1-O37)*O37*C37</f>
        <v>-6.1122919641157875E-2</v>
      </c>
      <c r="V37" s="14">
        <f t="shared" ref="V37:V68" si="18">2*(O37-G37)*(1-O37)*O37*D37</f>
        <v>-2.2411737201757889E-2</v>
      </c>
      <c r="W37" s="14">
        <f t="shared" ref="W37:W68" si="19">2*(O37-G37)*(1-O37)*O37*E37</f>
        <v>-4.0748613094105247E-2</v>
      </c>
      <c r="X37" s="14">
        <f t="shared" ref="X37:X68" si="20">2*(O37-G37)*(1-O37)*O37*F37</f>
        <v>-1.0187153273526312E-2</v>
      </c>
      <c r="Y37" s="12">
        <f t="shared" ref="Y37:Y68" si="21">IF(P37=G37,1,0)</f>
        <v>1</v>
      </c>
    </row>
    <row r="38" spans="1:25" x14ac:dyDescent="0.3">
      <c r="A38" s="23"/>
      <c r="B38" s="12">
        <v>34</v>
      </c>
      <c r="C38" s="12">
        <v>6.1</v>
      </c>
      <c r="D38" s="12">
        <v>2.9</v>
      </c>
      <c r="E38" s="12">
        <v>4.7</v>
      </c>
      <c r="F38" s="12">
        <v>1.4</v>
      </c>
      <c r="G38" s="12">
        <v>1</v>
      </c>
      <c r="I38" s="13">
        <f>I37-('Konfigurasi Model'!$B$11*T37)</f>
        <v>0.29490691937196206</v>
      </c>
      <c r="J38" s="13">
        <f>J37-('Konfigurasi Model'!$B$11*U37)</f>
        <v>-0.24800020587321875</v>
      </c>
      <c r="K38" s="13">
        <f>K37-('Konfigurasi Model'!$B$11*V37)</f>
        <v>-0.27091760159962586</v>
      </c>
      <c r="L38" s="13">
        <f>L37-('Konfigurasi Model'!$B$11*W37)</f>
        <v>0.90691536225755798</v>
      </c>
      <c r="M38" s="13">
        <f>M37-('Konfigurasi Model'!$B$11*X37)</f>
        <v>0.74567828871683961</v>
      </c>
      <c r="N38" s="13">
        <f t="shared" si="11"/>
        <v>3.3028964257205109</v>
      </c>
      <c r="O38" s="13">
        <f t="shared" si="12"/>
        <v>0.96452804160676409</v>
      </c>
      <c r="P38" s="12">
        <f t="shared" si="13"/>
        <v>1</v>
      </c>
      <c r="Q38" s="13">
        <f t="shared" si="14"/>
        <v>-3.5471958393235914E-2</v>
      </c>
      <c r="R38" s="13">
        <f t="shared" si="15"/>
        <v>1.2582598322514599E-3</v>
      </c>
      <c r="T38" s="14">
        <f t="shared" si="16"/>
        <v>-2.4272537836679121E-3</v>
      </c>
      <c r="U38" s="14">
        <f t="shared" si="17"/>
        <v>-1.4806248080374264E-2</v>
      </c>
      <c r="V38" s="14">
        <f t="shared" si="18"/>
        <v>-7.0390359726369449E-3</v>
      </c>
      <c r="W38" s="14">
        <f t="shared" si="19"/>
        <v>-1.1408092783239187E-2</v>
      </c>
      <c r="X38" s="14">
        <f t="shared" si="20"/>
        <v>-3.3981552971350769E-3</v>
      </c>
      <c r="Y38" s="12">
        <f t="shared" si="21"/>
        <v>1</v>
      </c>
    </row>
    <row r="39" spans="1:25" x14ac:dyDescent="0.3">
      <c r="A39" s="23"/>
      <c r="B39" s="12">
        <v>35</v>
      </c>
      <c r="C39" s="12">
        <v>5.6</v>
      </c>
      <c r="D39" s="12">
        <v>2.9</v>
      </c>
      <c r="E39" s="12">
        <v>3.6</v>
      </c>
      <c r="F39" s="12">
        <v>1.3</v>
      </c>
      <c r="G39" s="12">
        <v>1</v>
      </c>
      <c r="I39" s="13">
        <f>I38-('Konfigurasi Model'!$B$11*T38)</f>
        <v>0.29514964475032884</v>
      </c>
      <c r="J39" s="13">
        <f>J38-('Konfigurasi Model'!$B$11*U38)</f>
        <v>-0.24651958106518132</v>
      </c>
      <c r="K39" s="13">
        <f>K38-('Konfigurasi Model'!$B$11*V38)</f>
        <v>-0.27021369800236217</v>
      </c>
      <c r="L39" s="13">
        <f>L38-('Konfigurasi Model'!$B$11*W38)</f>
        <v>0.90805617153588192</v>
      </c>
      <c r="M39" s="13">
        <f>M38-('Konfigurasi Model'!$B$11*X38)</f>
        <v>0.74601810424655313</v>
      </c>
      <c r="N39" s="13">
        <f t="shared" si="11"/>
        <v>2.3698460196281577</v>
      </c>
      <c r="O39" s="13">
        <f t="shared" si="12"/>
        <v>0.91449882149639217</v>
      </c>
      <c r="P39" s="12">
        <f t="shared" si="13"/>
        <v>1</v>
      </c>
      <c r="Q39" s="13">
        <f t="shared" si="14"/>
        <v>-8.5501178503607833E-2</v>
      </c>
      <c r="R39" s="13">
        <f t="shared" si="15"/>
        <v>7.3104515255058098E-3</v>
      </c>
      <c r="T39" s="14">
        <f t="shared" si="16"/>
        <v>-1.3370798609363131E-2</v>
      </c>
      <c r="U39" s="14">
        <f t="shared" si="17"/>
        <v>-7.4876472212433529E-2</v>
      </c>
      <c r="V39" s="14">
        <f t="shared" si="18"/>
        <v>-3.8775315967153078E-2</v>
      </c>
      <c r="W39" s="14">
        <f t="shared" si="19"/>
        <v>-4.813487499370727E-2</v>
      </c>
      <c r="X39" s="14">
        <f t="shared" si="20"/>
        <v>-1.7382038192172072E-2</v>
      </c>
      <c r="Y39" s="12">
        <f t="shared" si="21"/>
        <v>1</v>
      </c>
    </row>
    <row r="40" spans="1:25" x14ac:dyDescent="0.3">
      <c r="A40" s="23"/>
      <c r="B40" s="12">
        <v>36</v>
      </c>
      <c r="C40" s="12">
        <v>6.7</v>
      </c>
      <c r="D40" s="12">
        <v>3.1</v>
      </c>
      <c r="E40" s="12">
        <v>4.4000000000000004</v>
      </c>
      <c r="F40" s="12">
        <v>1.4</v>
      </c>
      <c r="G40" s="12">
        <v>1</v>
      </c>
      <c r="I40" s="13">
        <f>I39-('Konfigurasi Model'!$B$11*T39)</f>
        <v>0.29648672461126513</v>
      </c>
      <c r="J40" s="13">
        <f>J39-('Konfigurasi Model'!$B$11*U39)</f>
        <v>-0.23903193384393798</v>
      </c>
      <c r="K40" s="13">
        <f>K39-('Konfigurasi Model'!$B$11*V39)</f>
        <v>-0.26633616640564683</v>
      </c>
      <c r="L40" s="13">
        <f>L39-('Konfigurasi Model'!$B$11*W39)</f>
        <v>0.91286965903525263</v>
      </c>
      <c r="M40" s="13">
        <f>M39-('Konfigurasi Model'!$B$11*X39)</f>
        <v>0.74775630806577031</v>
      </c>
      <c r="N40" s="13">
        <f t="shared" si="11"/>
        <v>2.9328159830465657</v>
      </c>
      <c r="O40" s="13">
        <f t="shared" si="12"/>
        <v>0.94944501114728885</v>
      </c>
      <c r="P40" s="12">
        <f t="shared" si="13"/>
        <v>1</v>
      </c>
      <c r="Q40" s="13">
        <f t="shared" si="14"/>
        <v>-5.0554988852711147E-2</v>
      </c>
      <c r="R40" s="13">
        <f t="shared" si="15"/>
        <v>2.5558068978977482E-3</v>
      </c>
      <c r="T40" s="14">
        <f t="shared" si="16"/>
        <v>-4.8531962173296904E-3</v>
      </c>
      <c r="U40" s="14">
        <f t="shared" si="17"/>
        <v>-3.2516414656108925E-2</v>
      </c>
      <c r="V40" s="14">
        <f t="shared" si="18"/>
        <v>-1.5044908273722041E-2</v>
      </c>
      <c r="W40" s="14">
        <f t="shared" si="19"/>
        <v>-2.135406335625064E-2</v>
      </c>
      <c r="X40" s="14">
        <f t="shared" si="20"/>
        <v>-6.7944747042615666E-3</v>
      </c>
      <c r="Y40" s="12">
        <f t="shared" si="21"/>
        <v>1</v>
      </c>
    </row>
    <row r="41" spans="1:25" x14ac:dyDescent="0.3">
      <c r="A41" s="23"/>
      <c r="B41" s="12">
        <v>37</v>
      </c>
      <c r="C41" s="12">
        <v>5.6</v>
      </c>
      <c r="D41" s="12">
        <v>3</v>
      </c>
      <c r="E41" s="12">
        <v>4.5</v>
      </c>
      <c r="F41" s="12">
        <v>1.5</v>
      </c>
      <c r="G41" s="12">
        <v>1</v>
      </c>
      <c r="I41" s="13">
        <f>I40-('Konfigurasi Model'!$B$11*T40)</f>
        <v>0.29697204423299811</v>
      </c>
      <c r="J41" s="13">
        <f>J40-('Konfigurasi Model'!$B$11*U40)</f>
        <v>-0.23578029237832709</v>
      </c>
      <c r="K41" s="13">
        <f>K40-('Konfigurasi Model'!$B$11*V40)</f>
        <v>-0.26483167557827464</v>
      </c>
      <c r="L41" s="13">
        <f>L40-('Konfigurasi Model'!$B$11*W40)</f>
        <v>0.91500506537087767</v>
      </c>
      <c r="M41" s="13">
        <f>M40-('Konfigurasi Model'!$B$11*X40)</f>
        <v>0.74843575553619646</v>
      </c>
      <c r="N41" s="13">
        <f t="shared" si="11"/>
        <v>3.4222838076527866</v>
      </c>
      <c r="O41" s="13">
        <f t="shared" si="12"/>
        <v>0.96839374762488972</v>
      </c>
      <c r="P41" s="12">
        <f t="shared" si="13"/>
        <v>1</v>
      </c>
      <c r="Q41" s="13">
        <f t="shared" si="14"/>
        <v>-3.1606252375110278E-2</v>
      </c>
      <c r="R41" s="13">
        <f t="shared" si="15"/>
        <v>9.9895518919916409E-4</v>
      </c>
      <c r="T41" s="14">
        <f t="shared" si="16"/>
        <v>-1.9347639187558185E-3</v>
      </c>
      <c r="U41" s="14">
        <f t="shared" si="17"/>
        <v>-1.0834677945032583E-2</v>
      </c>
      <c r="V41" s="14">
        <f t="shared" si="18"/>
        <v>-5.8042917562674554E-3</v>
      </c>
      <c r="W41" s="14">
        <f t="shared" si="19"/>
        <v>-8.7064376344011835E-3</v>
      </c>
      <c r="X41" s="14">
        <f t="shared" si="20"/>
        <v>-2.9021458781337277E-3</v>
      </c>
      <c r="Y41" s="12">
        <f t="shared" si="21"/>
        <v>1</v>
      </c>
    </row>
    <row r="42" spans="1:25" x14ac:dyDescent="0.3">
      <c r="A42" s="23"/>
      <c r="B42" s="12">
        <v>38</v>
      </c>
      <c r="C42" s="12">
        <v>5.8</v>
      </c>
      <c r="D42" s="12">
        <v>2.7</v>
      </c>
      <c r="E42" s="12">
        <v>4.0999999999999996</v>
      </c>
      <c r="F42" s="12">
        <v>1</v>
      </c>
      <c r="G42" s="12">
        <v>1</v>
      </c>
      <c r="I42" s="13">
        <f>I41-('Konfigurasi Model'!$B$11*T41)</f>
        <v>0.29716552062487367</v>
      </c>
      <c r="J42" s="13">
        <f>J41-('Konfigurasi Model'!$B$11*U41)</f>
        <v>-0.23469682458382385</v>
      </c>
      <c r="K42" s="13">
        <f>K41-('Konfigurasi Model'!$B$11*V41)</f>
        <v>-0.26425124640264791</v>
      </c>
      <c r="L42" s="13">
        <f>L41-('Konfigurasi Model'!$B$11*W41)</f>
        <v>0.91587570913431782</v>
      </c>
      <c r="M42" s="13">
        <f>M41-('Konfigurasi Model'!$B$11*X41)</f>
        <v>0.74872597012400988</v>
      </c>
      <c r="N42" s="13">
        <f t="shared" si="11"/>
        <v>2.7262619503262586</v>
      </c>
      <c r="O42" s="13">
        <f t="shared" si="12"/>
        <v>0.93855863063369849</v>
      </c>
      <c r="P42" s="12">
        <f t="shared" si="13"/>
        <v>1</v>
      </c>
      <c r="Q42" s="13">
        <f t="shared" si="14"/>
        <v>-6.1441369366301513E-2</v>
      </c>
      <c r="R42" s="13">
        <f t="shared" si="15"/>
        <v>3.7750418696062939E-3</v>
      </c>
      <c r="T42" s="14">
        <f t="shared" si="16"/>
        <v>-7.0861962554451203E-3</v>
      </c>
      <c r="U42" s="14">
        <f t="shared" si="17"/>
        <v>-4.1099938281581698E-2</v>
      </c>
      <c r="V42" s="14">
        <f t="shared" si="18"/>
        <v>-1.9132729889701827E-2</v>
      </c>
      <c r="W42" s="14">
        <f t="shared" si="19"/>
        <v>-2.905340464732499E-2</v>
      </c>
      <c r="X42" s="14">
        <f t="shared" si="20"/>
        <v>-7.0861962554451203E-3</v>
      </c>
      <c r="Y42" s="12">
        <f t="shared" si="21"/>
        <v>1</v>
      </c>
    </row>
    <row r="43" spans="1:25" x14ac:dyDescent="0.3">
      <c r="A43" s="23"/>
      <c r="B43" s="12">
        <v>39</v>
      </c>
      <c r="C43" s="12">
        <v>6.2</v>
      </c>
      <c r="D43" s="12">
        <v>2.2000000000000002</v>
      </c>
      <c r="E43" s="12">
        <v>4.5</v>
      </c>
      <c r="F43" s="12">
        <v>1.5</v>
      </c>
      <c r="G43" s="12">
        <v>1</v>
      </c>
      <c r="I43" s="13">
        <f>I42-('Konfigurasi Model'!$B$11*T42)</f>
        <v>0.2978741402504182</v>
      </c>
      <c r="J43" s="13">
        <f>J42-('Konfigurasi Model'!$B$11*U42)</f>
        <v>-0.23058683075566569</v>
      </c>
      <c r="K43" s="13">
        <f>K42-('Konfigurasi Model'!$B$11*V42)</f>
        <v>-0.26233797341367771</v>
      </c>
      <c r="L43" s="13">
        <f>L42-('Konfigurasi Model'!$B$11*W42)</f>
        <v>0.91878104959905027</v>
      </c>
      <c r="M43" s="13">
        <f>M42-('Konfigurasi Model'!$B$11*X42)</f>
        <v>0.74943458974955435</v>
      </c>
      <c r="N43" s="13">
        <f t="shared" si="11"/>
        <v>3.549758855875258</v>
      </c>
      <c r="O43" s="13">
        <f t="shared" si="12"/>
        <v>0.9720708801190141</v>
      </c>
      <c r="P43" s="12">
        <f t="shared" si="13"/>
        <v>1</v>
      </c>
      <c r="Q43" s="13">
        <f t="shared" si="14"/>
        <v>-2.7929119880985898E-2</v>
      </c>
      <c r="R43" s="13">
        <f t="shared" si="15"/>
        <v>7.8003573732648177E-4</v>
      </c>
      <c r="T43" s="14">
        <f t="shared" si="16"/>
        <v>-1.5165000514144745E-3</v>
      </c>
      <c r="U43" s="14">
        <f t="shared" si="17"/>
        <v>-9.4023003187697421E-3</v>
      </c>
      <c r="V43" s="14">
        <f t="shared" si="18"/>
        <v>-3.3363001131118441E-3</v>
      </c>
      <c r="W43" s="14">
        <f t="shared" si="19"/>
        <v>-6.824250231365135E-3</v>
      </c>
      <c r="X43" s="14">
        <f t="shared" si="20"/>
        <v>-2.2747500771217117E-3</v>
      </c>
      <c r="Y43" s="12">
        <f t="shared" si="21"/>
        <v>1</v>
      </c>
    </row>
    <row r="44" spans="1:25" x14ac:dyDescent="0.3">
      <c r="A44" s="23"/>
      <c r="B44" s="12">
        <v>40</v>
      </c>
      <c r="C44" s="12">
        <v>5.6</v>
      </c>
      <c r="D44" s="12">
        <v>2.5</v>
      </c>
      <c r="E44" s="12">
        <v>3.9</v>
      </c>
      <c r="F44" s="12">
        <v>1.1000000000000001</v>
      </c>
      <c r="G44" s="12">
        <v>1</v>
      </c>
      <c r="I44" s="13">
        <f>I43-('Konfigurasi Model'!$B$11*T43)</f>
        <v>0.29802579025555964</v>
      </c>
      <c r="J44" s="13">
        <f>J43-('Konfigurasi Model'!$B$11*U43)</f>
        <v>-0.2296466007237887</v>
      </c>
      <c r="K44" s="13">
        <f>K43-('Konfigurasi Model'!$B$11*V43)</f>
        <v>-0.2620043434023665</v>
      </c>
      <c r="L44" s="13">
        <f>L43-('Konfigurasi Model'!$B$11*W43)</f>
        <v>0.9194634746221868</v>
      </c>
      <c r="M44" s="13">
        <f>M43-('Konfigurasi Model'!$B$11*X43)</f>
        <v>0.74966206475726649</v>
      </c>
      <c r="N44" s="13">
        <f t="shared" si="11"/>
        <v>2.7675297899559483</v>
      </c>
      <c r="O44" s="13">
        <f t="shared" si="12"/>
        <v>0.94089576539006525</v>
      </c>
      <c r="P44" s="12">
        <f t="shared" si="13"/>
        <v>1</v>
      </c>
      <c r="Q44" s="13">
        <f t="shared" si="14"/>
        <v>-5.9104234609934747E-2</v>
      </c>
      <c r="R44" s="13">
        <f t="shared" si="15"/>
        <v>3.4933105488262083E-3</v>
      </c>
      <c r="T44" s="14">
        <f t="shared" si="16"/>
        <v>-6.5736822051660482E-3</v>
      </c>
      <c r="U44" s="14">
        <f t="shared" si="17"/>
        <v>-3.6812620348929868E-2</v>
      </c>
      <c r="V44" s="14">
        <f t="shared" si="18"/>
        <v>-1.643420551291512E-2</v>
      </c>
      <c r="W44" s="14">
        <f t="shared" si="19"/>
        <v>-2.5637360600147586E-2</v>
      </c>
      <c r="X44" s="14">
        <f t="shared" si="20"/>
        <v>-7.2310504256826533E-3</v>
      </c>
      <c r="Y44" s="12">
        <f t="shared" si="21"/>
        <v>1</v>
      </c>
    </row>
    <row r="45" spans="1:25" x14ac:dyDescent="0.3">
      <c r="A45" s="23"/>
      <c r="B45" s="12">
        <v>41</v>
      </c>
      <c r="C45" s="12">
        <v>5.4</v>
      </c>
      <c r="D45" s="12">
        <v>3.4</v>
      </c>
      <c r="E45" s="12">
        <v>1.7</v>
      </c>
      <c r="F45" s="12">
        <v>0.2</v>
      </c>
      <c r="G45" s="12">
        <v>0</v>
      </c>
      <c r="I45" s="13">
        <f>I44-('Konfigurasi Model'!$B$11*T44)</f>
        <v>0.29868315847607624</v>
      </c>
      <c r="J45" s="13">
        <f>J44-('Konfigurasi Model'!$B$11*U44)</f>
        <v>-0.22596533868889571</v>
      </c>
      <c r="K45" s="13">
        <f>K44-('Konfigurasi Model'!$B$11*V44)</f>
        <v>-0.26036092285107498</v>
      </c>
      <c r="L45" s="13">
        <f>L44-('Konfigurasi Model'!$B$11*W44)</f>
        <v>0.92202721068220161</v>
      </c>
      <c r="M45" s="13">
        <f>M44-('Konfigurasi Model'!$B$11*X44)</f>
        <v>0.75038516979983472</v>
      </c>
      <c r="N45" s="13">
        <f t="shared" si="11"/>
        <v>-8.9233516017905745E-2</v>
      </c>
      <c r="O45" s="13">
        <f t="shared" si="12"/>
        <v>0.47770641198091218</v>
      </c>
      <c r="P45" s="12">
        <f t="shared" si="13"/>
        <v>0</v>
      </c>
      <c r="Q45" s="13">
        <f t="shared" si="14"/>
        <v>0.47770641198091218</v>
      </c>
      <c r="R45" s="13">
        <f t="shared" si="15"/>
        <v>0.22820341604767699</v>
      </c>
      <c r="T45" s="14">
        <f t="shared" si="16"/>
        <v>0.2383783619315078</v>
      </c>
      <c r="U45" s="14">
        <f t="shared" si="17"/>
        <v>1.2872431544301421</v>
      </c>
      <c r="V45" s="14">
        <f t="shared" si="18"/>
        <v>0.81048643056712655</v>
      </c>
      <c r="W45" s="14">
        <f t="shared" si="19"/>
        <v>0.40524321528356327</v>
      </c>
      <c r="X45" s="14">
        <f t="shared" si="20"/>
        <v>4.7675672386301562E-2</v>
      </c>
      <c r="Y45" s="12">
        <f t="shared" si="21"/>
        <v>1</v>
      </c>
    </row>
    <row r="46" spans="1:25" x14ac:dyDescent="0.3">
      <c r="A46" s="23"/>
      <c r="B46" s="12">
        <v>42</v>
      </c>
      <c r="C46" s="12">
        <v>5.0999999999999996</v>
      </c>
      <c r="D46" s="12">
        <v>3.7</v>
      </c>
      <c r="E46" s="12">
        <v>1.5</v>
      </c>
      <c r="F46" s="12">
        <v>0.4</v>
      </c>
      <c r="G46" s="12">
        <v>0</v>
      </c>
      <c r="I46" s="13">
        <f>I45-('Konfigurasi Model'!$B$11*T45)</f>
        <v>0.27484532228292546</v>
      </c>
      <c r="J46" s="13">
        <f>J45-('Konfigurasi Model'!$B$11*U45)</f>
        <v>-0.35468965413190989</v>
      </c>
      <c r="K46" s="13">
        <f>K45-('Konfigurasi Model'!$B$11*V45)</f>
        <v>-0.34140956590778765</v>
      </c>
      <c r="L46" s="13">
        <f>L45-('Konfigurasi Model'!$B$11*W45)</f>
        <v>0.88150288915384523</v>
      </c>
      <c r="M46" s="13">
        <f>M45-('Konfigurasi Model'!$B$11*X45)</f>
        <v>0.74561760256120457</v>
      </c>
      <c r="N46" s="13">
        <f t="shared" si="11"/>
        <v>-1.1767859328933792</v>
      </c>
      <c r="O46" s="13">
        <f t="shared" si="12"/>
        <v>0.23563058609130969</v>
      </c>
      <c r="P46" s="12">
        <f t="shared" si="13"/>
        <v>0</v>
      </c>
      <c r="Q46" s="13">
        <f t="shared" si="14"/>
        <v>0.23563058609130969</v>
      </c>
      <c r="R46" s="13">
        <f t="shared" si="15"/>
        <v>5.5521773101734104E-2</v>
      </c>
      <c r="T46" s="14">
        <f t="shared" si="16"/>
        <v>8.4878290329887557E-2</v>
      </c>
      <c r="U46" s="14">
        <f t="shared" si="17"/>
        <v>0.43287928068242654</v>
      </c>
      <c r="V46" s="14">
        <f t="shared" si="18"/>
        <v>0.314049674220584</v>
      </c>
      <c r="W46" s="14">
        <f t="shared" si="19"/>
        <v>0.12731743549483132</v>
      </c>
      <c r="X46" s="14">
        <f t="shared" si="20"/>
        <v>3.3951316131955026E-2</v>
      </c>
      <c r="Y46" s="12">
        <f t="shared" si="21"/>
        <v>1</v>
      </c>
    </row>
    <row r="47" spans="1:25" x14ac:dyDescent="0.3">
      <c r="A47" s="23"/>
      <c r="B47" s="12">
        <v>43</v>
      </c>
      <c r="C47" s="12">
        <v>4.5999999999999996</v>
      </c>
      <c r="D47" s="12">
        <v>3.6</v>
      </c>
      <c r="E47" s="12">
        <v>1</v>
      </c>
      <c r="F47" s="12">
        <v>0.2</v>
      </c>
      <c r="G47" s="12">
        <v>0</v>
      </c>
      <c r="I47" s="13">
        <f>I46-('Konfigurasi Model'!$B$11*T46)</f>
        <v>0.26635749324993668</v>
      </c>
      <c r="J47" s="13">
        <f>J46-('Konfigurasi Model'!$B$11*U46)</f>
        <v>-0.39797758220015256</v>
      </c>
      <c r="K47" s="13">
        <f>K46-('Konfigurasi Model'!$B$11*V46)</f>
        <v>-0.37281453332984604</v>
      </c>
      <c r="L47" s="13">
        <f>L46-('Konfigurasi Model'!$B$11*W46)</f>
        <v>0.86877114560436208</v>
      </c>
      <c r="M47" s="13">
        <f>M46-('Konfigurasi Model'!$B$11*X46)</f>
        <v>0.74222247094800908</v>
      </c>
      <c r="N47" s="13">
        <f t="shared" si="11"/>
        <v>-1.8892560650642469</v>
      </c>
      <c r="O47" s="13">
        <f t="shared" si="12"/>
        <v>0.13132931569476849</v>
      </c>
      <c r="P47" s="12">
        <f t="shared" si="13"/>
        <v>0</v>
      </c>
      <c r="Q47" s="13">
        <f t="shared" si="14"/>
        <v>0.13132931569476849</v>
      </c>
      <c r="R47" s="13">
        <f t="shared" si="15"/>
        <v>1.7247389160856167E-2</v>
      </c>
      <c r="T47" s="14">
        <f t="shared" si="16"/>
        <v>2.9964602689679119E-2</v>
      </c>
      <c r="U47" s="14">
        <f t="shared" si="17"/>
        <v>0.13783717237252394</v>
      </c>
      <c r="V47" s="14">
        <f t="shared" si="18"/>
        <v>0.10787256968284484</v>
      </c>
      <c r="W47" s="14">
        <f t="shared" si="19"/>
        <v>2.9964602689679119E-2</v>
      </c>
      <c r="X47" s="14">
        <f t="shared" si="20"/>
        <v>5.992920537935824E-3</v>
      </c>
      <c r="Y47" s="12">
        <f t="shared" si="21"/>
        <v>1</v>
      </c>
    </row>
    <row r="48" spans="1:25" x14ac:dyDescent="0.3">
      <c r="A48" s="23"/>
      <c r="B48" s="12">
        <v>44</v>
      </c>
      <c r="C48" s="12">
        <v>5.0999999999999996</v>
      </c>
      <c r="D48" s="12">
        <v>3.3</v>
      </c>
      <c r="E48" s="12">
        <v>1.7</v>
      </c>
      <c r="F48" s="12">
        <v>0.5</v>
      </c>
      <c r="G48" s="12">
        <v>0</v>
      </c>
      <c r="I48" s="13">
        <f>I47-('Konfigurasi Model'!$B$11*T47)</f>
        <v>0.26336103298096875</v>
      </c>
      <c r="J48" s="13">
        <f>J47-('Konfigurasi Model'!$B$11*U47)</f>
        <v>-0.41176129943740497</v>
      </c>
      <c r="K48" s="13">
        <f>K47-('Konfigurasi Model'!$B$11*V47)</f>
        <v>-0.38360179029813052</v>
      </c>
      <c r="L48" s="13">
        <f>L47-('Konfigurasi Model'!$B$11*W47)</f>
        <v>0.86577468533539415</v>
      </c>
      <c r="M48" s="13">
        <f>M47-('Konfigurasi Model'!$B$11*X47)</f>
        <v>0.74162317889421547</v>
      </c>
      <c r="N48" s="13">
        <f t="shared" si="11"/>
        <v>-1.2598789476163494</v>
      </c>
      <c r="O48" s="13">
        <f t="shared" si="12"/>
        <v>0.22099473141776943</v>
      </c>
      <c r="P48" s="12">
        <f t="shared" si="13"/>
        <v>0</v>
      </c>
      <c r="Q48" s="13">
        <f t="shared" si="14"/>
        <v>0.22099473141776943</v>
      </c>
      <c r="R48" s="13">
        <f t="shared" si="15"/>
        <v>4.8838671314412045E-2</v>
      </c>
      <c r="T48" s="14">
        <f t="shared" si="16"/>
        <v>7.609116452896568E-2</v>
      </c>
      <c r="U48" s="14">
        <f t="shared" si="17"/>
        <v>0.38806493909772494</v>
      </c>
      <c r="V48" s="14">
        <f t="shared" si="18"/>
        <v>0.25110084294558671</v>
      </c>
      <c r="W48" s="14">
        <f t="shared" si="19"/>
        <v>0.12935497969924165</v>
      </c>
      <c r="X48" s="14">
        <f t="shared" si="20"/>
        <v>3.804558226448284E-2</v>
      </c>
      <c r="Y48" s="12">
        <f t="shared" si="21"/>
        <v>1</v>
      </c>
    </row>
    <row r="49" spans="1:25" x14ac:dyDescent="0.3">
      <c r="A49" s="23"/>
      <c r="B49" s="12">
        <v>45</v>
      </c>
      <c r="C49" s="12">
        <v>4.8</v>
      </c>
      <c r="D49" s="12">
        <v>3.4</v>
      </c>
      <c r="E49" s="12">
        <v>1.9</v>
      </c>
      <c r="F49" s="12">
        <v>0.2</v>
      </c>
      <c r="G49" s="12">
        <v>0</v>
      </c>
      <c r="I49" s="13">
        <f>I48-('Konfigurasi Model'!$B$11*T48)</f>
        <v>0.25575191652807217</v>
      </c>
      <c r="J49" s="13">
        <f>J48-('Konfigurasi Model'!$B$11*U48)</f>
        <v>-0.45056779334717745</v>
      </c>
      <c r="K49" s="13">
        <f>K48-('Konfigurasi Model'!$B$11*V48)</f>
        <v>-0.40871187459268921</v>
      </c>
      <c r="L49" s="13">
        <f>L48-('Konfigurasi Model'!$B$11*W48)</f>
        <v>0.85283918736546993</v>
      </c>
      <c r="M49" s="13">
        <f>M48-('Konfigurasi Model'!$B$11*X48)</f>
        <v>0.73781862066776716</v>
      </c>
      <c r="N49" s="13">
        <f t="shared" si="11"/>
        <v>-1.5286356850255765</v>
      </c>
      <c r="O49" s="13">
        <f t="shared" si="12"/>
        <v>0.178193389050472</v>
      </c>
      <c r="P49" s="12">
        <f t="shared" si="13"/>
        <v>0</v>
      </c>
      <c r="Q49" s="13">
        <f t="shared" si="14"/>
        <v>0.178193389050472</v>
      </c>
      <c r="R49" s="13">
        <f t="shared" si="15"/>
        <v>3.1752883901292876E-2</v>
      </c>
      <c r="T49" s="14">
        <f t="shared" si="16"/>
        <v>5.218945981359064E-2</v>
      </c>
      <c r="U49" s="14">
        <f t="shared" si="17"/>
        <v>0.25050940710523506</v>
      </c>
      <c r="V49" s="14">
        <f t="shared" si="18"/>
        <v>0.17744416336620816</v>
      </c>
      <c r="W49" s="14">
        <f t="shared" si="19"/>
        <v>9.9159973645822214E-2</v>
      </c>
      <c r="X49" s="14">
        <f t="shared" si="20"/>
        <v>1.0437891962718129E-2</v>
      </c>
      <c r="Y49" s="12">
        <f t="shared" si="21"/>
        <v>1</v>
      </c>
    </row>
    <row r="50" spans="1:25" x14ac:dyDescent="0.3">
      <c r="A50" s="23"/>
      <c r="B50" s="12">
        <v>46</v>
      </c>
      <c r="C50" s="12">
        <v>5</v>
      </c>
      <c r="D50" s="12">
        <v>3</v>
      </c>
      <c r="E50" s="12">
        <v>1.6</v>
      </c>
      <c r="F50" s="12">
        <v>0.2</v>
      </c>
      <c r="G50" s="12">
        <v>0</v>
      </c>
      <c r="I50" s="13">
        <f>I49-('Konfigurasi Model'!$B$11*T49)</f>
        <v>0.25053297054671309</v>
      </c>
      <c r="J50" s="13">
        <f>J49-('Konfigurasi Model'!$B$11*U49)</f>
        <v>-0.47561873405770094</v>
      </c>
      <c r="K50" s="13">
        <f>K49-('Konfigurasi Model'!$B$11*V49)</f>
        <v>-0.42645629092931003</v>
      </c>
      <c r="L50" s="13">
        <f>L49-('Konfigurasi Model'!$B$11*W49)</f>
        <v>0.84292319000088767</v>
      </c>
      <c r="M50" s="13">
        <f>M49-('Konfigurasi Model'!$B$11*X49)</f>
        <v>0.73677483147149536</v>
      </c>
      <c r="N50" s="13">
        <f t="shared" si="11"/>
        <v>-1.9108975022340025</v>
      </c>
      <c r="O50" s="13">
        <f t="shared" si="12"/>
        <v>0.12888005601542513</v>
      </c>
      <c r="P50" s="12">
        <f t="shared" si="13"/>
        <v>0</v>
      </c>
      <c r="Q50" s="13">
        <f t="shared" si="14"/>
        <v>0.12888005601542513</v>
      </c>
      <c r="R50" s="13">
        <f t="shared" si="15"/>
        <v>1.6610068838539119E-2</v>
      </c>
      <c r="T50" s="14">
        <f t="shared" si="16"/>
        <v>2.8938724472416261E-2</v>
      </c>
      <c r="U50" s="14">
        <f t="shared" si="17"/>
        <v>0.1446936223620813</v>
      </c>
      <c r="V50" s="14">
        <f t="shared" si="18"/>
        <v>8.6816173417248788E-2</v>
      </c>
      <c r="W50" s="14">
        <f t="shared" si="19"/>
        <v>4.6301959155866018E-2</v>
      </c>
      <c r="X50" s="14">
        <f t="shared" si="20"/>
        <v>5.7877448944832523E-3</v>
      </c>
      <c r="Y50" s="12">
        <f t="shared" si="21"/>
        <v>1</v>
      </c>
    </row>
    <row r="51" spans="1:25" x14ac:dyDescent="0.3">
      <c r="A51" s="23"/>
      <c r="B51" s="12">
        <v>47</v>
      </c>
      <c r="C51" s="12">
        <v>5</v>
      </c>
      <c r="D51" s="12">
        <v>3.4</v>
      </c>
      <c r="E51" s="12">
        <v>1.6</v>
      </c>
      <c r="F51" s="12">
        <v>0.4</v>
      </c>
      <c r="G51" s="12">
        <v>0</v>
      </c>
      <c r="I51" s="13">
        <f>I50-('Konfigurasi Model'!$B$11*T50)</f>
        <v>0.24763909809947146</v>
      </c>
      <c r="J51" s="13">
        <f>J50-('Konfigurasi Model'!$B$11*U50)</f>
        <v>-0.49008809629390909</v>
      </c>
      <c r="K51" s="13">
        <f>K50-('Konfigurasi Model'!$B$11*V50)</f>
        <v>-0.43513790827103493</v>
      </c>
      <c r="L51" s="13">
        <f>L50-('Konfigurasi Model'!$B$11*W50)</f>
        <v>0.83829299408530111</v>
      </c>
      <c r="M51" s="13">
        <f>M50-('Konfigurasi Model'!$B$11*X50)</f>
        <v>0.73619605698204704</v>
      </c>
      <c r="N51" s="13">
        <f t="shared" si="11"/>
        <v>-2.046523058162292</v>
      </c>
      <c r="O51" s="13">
        <f t="shared" si="12"/>
        <v>0.11440417863399947</v>
      </c>
      <c r="P51" s="12">
        <f t="shared" si="13"/>
        <v>0</v>
      </c>
      <c r="Q51" s="13">
        <f t="shared" si="14"/>
        <v>0.11440417863399947</v>
      </c>
      <c r="R51" s="13">
        <f t="shared" si="15"/>
        <v>1.3088316088920061E-2</v>
      </c>
      <c r="T51" s="14">
        <f t="shared" si="16"/>
        <v>2.3181916074130005E-2</v>
      </c>
      <c r="U51" s="14">
        <f t="shared" si="17"/>
        <v>0.11590958037065002</v>
      </c>
      <c r="V51" s="14">
        <f t="shared" si="18"/>
        <v>7.881851465204201E-2</v>
      </c>
      <c r="W51" s="14">
        <f t="shared" si="19"/>
        <v>3.7091065718608006E-2</v>
      </c>
      <c r="X51" s="14">
        <f t="shared" si="20"/>
        <v>9.2727664296520015E-3</v>
      </c>
      <c r="Y51" s="12">
        <f t="shared" si="21"/>
        <v>1</v>
      </c>
    </row>
    <row r="52" spans="1:25" x14ac:dyDescent="0.3">
      <c r="A52" s="23"/>
      <c r="B52" s="12">
        <v>48</v>
      </c>
      <c r="C52" s="12">
        <v>5.2</v>
      </c>
      <c r="D52" s="12">
        <v>3.5</v>
      </c>
      <c r="E52" s="12">
        <v>1.5</v>
      </c>
      <c r="F52" s="12">
        <v>0.2</v>
      </c>
      <c r="G52" s="12">
        <v>0</v>
      </c>
      <c r="I52" s="13">
        <f>I51-('Konfigurasi Model'!$B$11*T51)</f>
        <v>0.24532090649205845</v>
      </c>
      <c r="J52" s="13">
        <f>J51-('Konfigurasi Model'!$B$11*U51)</f>
        <v>-0.50167905433097415</v>
      </c>
      <c r="K52" s="13">
        <f>K51-('Konfigurasi Model'!$B$11*V51)</f>
        <v>-0.44301975973623914</v>
      </c>
      <c r="L52" s="13">
        <f>L51-('Konfigurasi Model'!$B$11*W51)</f>
        <v>0.83458388751344026</v>
      </c>
      <c r="M52" s="13">
        <f>M51-('Konfigurasi Model'!$B$11*X51)</f>
        <v>0.73526878033908183</v>
      </c>
      <c r="N52" s="13">
        <f t="shared" si="11"/>
        <v>-2.5150497477678675</v>
      </c>
      <c r="O52" s="13">
        <f t="shared" si="12"/>
        <v>7.4809848296191889E-2</v>
      </c>
      <c r="P52" s="12">
        <f t="shared" si="13"/>
        <v>0</v>
      </c>
      <c r="Q52" s="13">
        <f t="shared" si="14"/>
        <v>7.4809848296191889E-2</v>
      </c>
      <c r="R52" s="13">
        <f t="shared" si="15"/>
        <v>5.5965134020992445E-3</v>
      </c>
      <c r="T52" s="14">
        <f t="shared" si="16"/>
        <v>1.0355678167001191E-2</v>
      </c>
      <c r="U52" s="14">
        <f t="shared" si="17"/>
        <v>5.3849526468406191E-2</v>
      </c>
      <c r="V52" s="14">
        <f t="shared" si="18"/>
        <v>3.6244873584504164E-2</v>
      </c>
      <c r="W52" s="14">
        <f t="shared" si="19"/>
        <v>1.5533517250501786E-2</v>
      </c>
      <c r="X52" s="14">
        <f t="shared" si="20"/>
        <v>2.0711356334002381E-3</v>
      </c>
      <c r="Y52" s="12">
        <f t="shared" si="21"/>
        <v>1</v>
      </c>
    </row>
    <row r="53" spans="1:25" x14ac:dyDescent="0.3">
      <c r="A53" s="23"/>
      <c r="B53" s="12">
        <v>49</v>
      </c>
      <c r="C53" s="12">
        <v>5.2</v>
      </c>
      <c r="D53" s="12">
        <v>3.4</v>
      </c>
      <c r="E53" s="12">
        <v>1.4</v>
      </c>
      <c r="F53" s="12">
        <v>0.2</v>
      </c>
      <c r="G53" s="12">
        <v>0</v>
      </c>
      <c r="I53" s="13">
        <f>I52-('Konfigurasi Model'!$B$11*T52)</f>
        <v>0.24428533867535834</v>
      </c>
      <c r="J53" s="13">
        <f>J52-('Konfigurasi Model'!$B$11*U52)</f>
        <v>-0.50706400697781473</v>
      </c>
      <c r="K53" s="13">
        <f>K52-('Konfigurasi Model'!$B$11*V52)</f>
        <v>-0.44664424709468953</v>
      </c>
      <c r="L53" s="13">
        <f>L52-('Konfigurasi Model'!$B$11*W52)</f>
        <v>0.83303053578839004</v>
      </c>
      <c r="M53" s="13">
        <f>M52-('Konfigurasi Model'!$B$11*X52)</f>
        <v>0.73506166677574181</v>
      </c>
      <c r="N53" s="13">
        <f t="shared" si="11"/>
        <v>-2.5977828542723276</v>
      </c>
      <c r="O53" s="13">
        <f t="shared" si="12"/>
        <v>6.9281248454149277E-2</v>
      </c>
      <c r="P53" s="12">
        <f t="shared" si="13"/>
        <v>0</v>
      </c>
      <c r="Q53" s="13">
        <f t="shared" si="14"/>
        <v>6.9281248454149277E-2</v>
      </c>
      <c r="R53" s="13">
        <f t="shared" si="15"/>
        <v>4.7998913873655612E-3</v>
      </c>
      <c r="T53" s="14">
        <f t="shared" si="16"/>
        <v>8.9346978392091138E-3</v>
      </c>
      <c r="U53" s="14">
        <f t="shared" si="17"/>
        <v>4.6460428763887396E-2</v>
      </c>
      <c r="V53" s="14">
        <f t="shared" si="18"/>
        <v>3.0377972653310985E-2</v>
      </c>
      <c r="W53" s="14">
        <f t="shared" si="19"/>
        <v>1.2508576974892759E-2</v>
      </c>
      <c r="X53" s="14">
        <f t="shared" si="20"/>
        <v>1.7869395678418228E-3</v>
      </c>
      <c r="Y53" s="12">
        <f t="shared" si="21"/>
        <v>1</v>
      </c>
    </row>
    <row r="54" spans="1:25" x14ac:dyDescent="0.3">
      <c r="A54" s="23"/>
      <c r="B54" s="12">
        <v>50</v>
      </c>
      <c r="C54" s="12">
        <v>4.7</v>
      </c>
      <c r="D54" s="12">
        <v>3.2</v>
      </c>
      <c r="E54" s="12">
        <v>1.6</v>
      </c>
      <c r="F54" s="12">
        <v>0.2</v>
      </c>
      <c r="G54" s="12">
        <v>0</v>
      </c>
      <c r="I54" s="13">
        <f>I53-('Konfigurasi Model'!$B$11*T53)</f>
        <v>0.24339186889143744</v>
      </c>
      <c r="J54" s="13">
        <f>J53-('Konfigurasi Model'!$B$11*U53)</f>
        <v>-0.51171004985420343</v>
      </c>
      <c r="K54" s="13">
        <f>K53-('Konfigurasi Model'!$B$11*V53)</f>
        <v>-0.44968204436002063</v>
      </c>
      <c r="L54" s="13">
        <f>L53-('Konfigurasi Model'!$B$11*W53)</f>
        <v>0.83177967809090081</v>
      </c>
      <c r="M54" s="13">
        <f>M53-('Konfigurasi Model'!$B$11*X53)</f>
        <v>0.73488297281895765</v>
      </c>
      <c r="N54" s="13">
        <f t="shared" si="11"/>
        <v>-2.1228038278661518</v>
      </c>
      <c r="O54" s="13">
        <f t="shared" si="12"/>
        <v>0.10690008695558594</v>
      </c>
      <c r="P54" s="12">
        <f t="shared" si="13"/>
        <v>0</v>
      </c>
      <c r="Q54" s="13">
        <f t="shared" si="14"/>
        <v>0.10690008695558594</v>
      </c>
      <c r="R54" s="13">
        <f t="shared" si="15"/>
        <v>1.1427628591111834E-2</v>
      </c>
      <c r="T54" s="14">
        <f t="shared" si="16"/>
        <v>2.041202820205168E-2</v>
      </c>
      <c r="U54" s="14">
        <f t="shared" si="17"/>
        <v>9.5936532549642892E-2</v>
      </c>
      <c r="V54" s="14">
        <f t="shared" si="18"/>
        <v>6.5318490246565372E-2</v>
      </c>
      <c r="W54" s="14">
        <f t="shared" si="19"/>
        <v>3.2659245123282686E-2</v>
      </c>
      <c r="X54" s="14">
        <f t="shared" si="20"/>
        <v>4.0824056404103358E-3</v>
      </c>
      <c r="Y54" s="12">
        <f t="shared" si="21"/>
        <v>1</v>
      </c>
    </row>
    <row r="55" spans="1:25" x14ac:dyDescent="0.3">
      <c r="A55" s="23"/>
      <c r="B55" s="12">
        <v>51</v>
      </c>
      <c r="C55" s="12">
        <v>4.8</v>
      </c>
      <c r="D55" s="12">
        <v>3.1</v>
      </c>
      <c r="E55" s="12">
        <v>1.6</v>
      </c>
      <c r="F55" s="12">
        <v>0.2</v>
      </c>
      <c r="G55" s="12">
        <v>0</v>
      </c>
      <c r="I55" s="13">
        <f>I54-('Konfigurasi Model'!$B$11*T54)</f>
        <v>0.24135066607123226</v>
      </c>
      <c r="J55" s="13">
        <f>J54-('Konfigurasi Model'!$B$11*U54)</f>
        <v>-0.52130370310916774</v>
      </c>
      <c r="K55" s="13">
        <f>K54-('Konfigurasi Model'!$B$11*V54)</f>
        <v>-0.45621389338467716</v>
      </c>
      <c r="L55" s="13">
        <f>L54-('Konfigurasi Model'!$B$11*W54)</f>
        <v>0.82851375357857249</v>
      </c>
      <c r="M55" s="13">
        <f>M54-('Konfigurasi Model'!$B$11*X54)</f>
        <v>0.73447473225491666</v>
      </c>
      <c r="N55" s="13">
        <f t="shared" si="11"/>
        <v>-2.202653226168573</v>
      </c>
      <c r="O55" s="13">
        <f t="shared" si="12"/>
        <v>9.9512481429209251E-2</v>
      </c>
      <c r="P55" s="12">
        <f t="shared" si="13"/>
        <v>0</v>
      </c>
      <c r="Q55" s="13">
        <f t="shared" si="14"/>
        <v>9.9512481429209251E-2</v>
      </c>
      <c r="R55" s="13">
        <f t="shared" si="15"/>
        <v>9.902733960198716E-3</v>
      </c>
      <c r="T55" s="14">
        <f t="shared" si="16"/>
        <v>1.7834576661772083E-2</v>
      </c>
      <c r="U55" s="14">
        <f t="shared" si="17"/>
        <v>8.5605967976505992E-2</v>
      </c>
      <c r="V55" s="14">
        <f t="shared" si="18"/>
        <v>5.5287187651493458E-2</v>
      </c>
      <c r="W55" s="14">
        <f t="shared" si="19"/>
        <v>2.8535322658835335E-2</v>
      </c>
      <c r="X55" s="14">
        <f t="shared" si="20"/>
        <v>3.5669153323544169E-3</v>
      </c>
      <c r="Y55" s="12">
        <f t="shared" si="21"/>
        <v>1</v>
      </c>
    </row>
    <row r="56" spans="1:25" x14ac:dyDescent="0.3">
      <c r="A56" s="23"/>
      <c r="B56" s="12">
        <v>52</v>
      </c>
      <c r="C56" s="12">
        <v>5.4</v>
      </c>
      <c r="D56" s="12">
        <v>3.4</v>
      </c>
      <c r="E56" s="12">
        <v>1.5</v>
      </c>
      <c r="F56" s="12">
        <v>0.4</v>
      </c>
      <c r="G56" s="12">
        <v>0</v>
      </c>
      <c r="I56" s="13">
        <f>I55-('Konfigurasi Model'!$B$11*T55)</f>
        <v>0.23956720840505505</v>
      </c>
      <c r="J56" s="13">
        <f>J55-('Konfigurasi Model'!$B$11*U55)</f>
        <v>-0.52986429990681838</v>
      </c>
      <c r="K56" s="13">
        <f>K55-('Konfigurasi Model'!$B$11*V55)</f>
        <v>-0.46174261214982648</v>
      </c>
      <c r="L56" s="13">
        <f>L55-('Konfigurasi Model'!$B$11*W55)</f>
        <v>0.8256602213126889</v>
      </c>
      <c r="M56" s="13">
        <f>M55-('Konfigurasi Model'!$B$11*X55)</f>
        <v>0.73411804072168119</v>
      </c>
      <c r="N56" s="13">
        <f t="shared" si="11"/>
        <v>-2.6594873441434688</v>
      </c>
      <c r="O56" s="13">
        <f t="shared" si="12"/>
        <v>6.5406664395974937E-2</v>
      </c>
      <c r="P56" s="12">
        <f t="shared" si="13"/>
        <v>0</v>
      </c>
      <c r="Q56" s="13">
        <f t="shared" si="14"/>
        <v>6.5406664395974937E-2</v>
      </c>
      <c r="R56" s="13">
        <f t="shared" si="15"/>
        <v>4.2780317474076955E-3</v>
      </c>
      <c r="T56" s="14">
        <f t="shared" si="16"/>
        <v>7.9964399212593476E-3</v>
      </c>
      <c r="U56" s="14">
        <f t="shared" si="17"/>
        <v>4.3180775574800483E-2</v>
      </c>
      <c r="V56" s="14">
        <f t="shared" si="18"/>
        <v>2.718789573228178E-2</v>
      </c>
      <c r="W56" s="14">
        <f t="shared" si="19"/>
        <v>1.1994659881889021E-2</v>
      </c>
      <c r="X56" s="14">
        <f t="shared" si="20"/>
        <v>3.1985759685037394E-3</v>
      </c>
      <c r="Y56" s="12">
        <f t="shared" si="21"/>
        <v>1</v>
      </c>
    </row>
    <row r="57" spans="1:25" x14ac:dyDescent="0.3">
      <c r="A57" s="23"/>
      <c r="B57" s="12">
        <v>53</v>
      </c>
      <c r="C57" s="12">
        <v>5.2</v>
      </c>
      <c r="D57" s="12">
        <v>4.0999999999999996</v>
      </c>
      <c r="E57" s="12">
        <v>1.5</v>
      </c>
      <c r="F57" s="12">
        <v>0.1</v>
      </c>
      <c r="G57" s="12">
        <v>0</v>
      </c>
      <c r="I57" s="13">
        <f>I56-('Konfigurasi Model'!$B$11*T56)</f>
        <v>0.23876756441292912</v>
      </c>
      <c r="J57" s="13">
        <f>J56-('Konfigurasi Model'!$B$11*U56)</f>
        <v>-0.53418237746429842</v>
      </c>
      <c r="K57" s="13">
        <f>K56-('Konfigurasi Model'!$B$11*V56)</f>
        <v>-0.46446140172305467</v>
      </c>
      <c r="L57" s="13">
        <f>L56-('Konfigurasi Model'!$B$11*W56)</f>
        <v>0.82446075532450003</v>
      </c>
      <c r="M57" s="13">
        <f>M56-('Konfigurasi Model'!$B$11*X56)</f>
        <v>0.73379818312483081</v>
      </c>
      <c r="N57" s="13">
        <f t="shared" si="11"/>
        <v>-3.1332015941667133</v>
      </c>
      <c r="O57" s="13">
        <f t="shared" si="12"/>
        <v>4.1758308583128324E-2</v>
      </c>
      <c r="P57" s="12">
        <f t="shared" si="13"/>
        <v>0</v>
      </c>
      <c r="Q57" s="13">
        <f t="shared" si="14"/>
        <v>4.1758308583128324E-2</v>
      </c>
      <c r="R57" s="13">
        <f t="shared" si="15"/>
        <v>1.7437563357237686E-3</v>
      </c>
      <c r="T57" s="14">
        <f t="shared" si="16"/>
        <v>3.3418800411256608E-3</v>
      </c>
      <c r="U57" s="14">
        <f t="shared" si="17"/>
        <v>1.7377776213853436E-2</v>
      </c>
      <c r="V57" s="14">
        <f t="shared" si="18"/>
        <v>1.3701708168615209E-2</v>
      </c>
      <c r="W57" s="14">
        <f t="shared" si="19"/>
        <v>5.0128200616884914E-3</v>
      </c>
      <c r="X57" s="14">
        <f t="shared" si="20"/>
        <v>3.341880041125661E-4</v>
      </c>
      <c r="Y57" s="12">
        <f t="shared" si="21"/>
        <v>1</v>
      </c>
    </row>
    <row r="58" spans="1:25" x14ac:dyDescent="0.3">
      <c r="A58" s="23"/>
      <c r="B58" s="12">
        <v>54</v>
      </c>
      <c r="C58" s="12">
        <v>5.5</v>
      </c>
      <c r="D58" s="12">
        <v>4.2</v>
      </c>
      <c r="E58" s="12">
        <v>1.4</v>
      </c>
      <c r="F58" s="12">
        <v>0.2</v>
      </c>
      <c r="G58" s="12">
        <v>0</v>
      </c>
      <c r="I58" s="13">
        <f>I57-('Konfigurasi Model'!$B$11*T57)</f>
        <v>0.23843337640881657</v>
      </c>
      <c r="J58" s="13">
        <f>J57-('Konfigurasi Model'!$B$11*U57)</f>
        <v>-0.5359201550856838</v>
      </c>
      <c r="K58" s="13">
        <f>K57-('Konfigurasi Model'!$B$11*V57)</f>
        <v>-0.46583157253991619</v>
      </c>
      <c r="L58" s="13">
        <f>L57-('Konfigurasi Model'!$B$11*W57)</f>
        <v>0.82395947331833119</v>
      </c>
      <c r="M58" s="13">
        <f>M57-('Konfigurasi Model'!$B$11*X57)</f>
        <v>0.73376476432441951</v>
      </c>
      <c r="N58" s="13">
        <f t="shared" si="11"/>
        <v>-3.365323865719545</v>
      </c>
      <c r="O58" s="13">
        <f t="shared" si="12"/>
        <v>3.3396932911057775E-2</v>
      </c>
      <c r="P58" s="12">
        <f t="shared" si="13"/>
        <v>0</v>
      </c>
      <c r="Q58" s="13">
        <f t="shared" si="14"/>
        <v>3.3396932911057775E-2</v>
      </c>
      <c r="R58" s="13">
        <f t="shared" si="15"/>
        <v>1.1153551278656939E-3</v>
      </c>
      <c r="T58" s="14">
        <f t="shared" si="16"/>
        <v>2.1562113749767184E-3</v>
      </c>
      <c r="U58" s="14">
        <f t="shared" si="17"/>
        <v>1.1859162562371951E-2</v>
      </c>
      <c r="V58" s="14">
        <f t="shared" si="18"/>
        <v>9.0560877749022179E-3</v>
      </c>
      <c r="W58" s="14">
        <f t="shared" si="19"/>
        <v>3.0186959249674057E-3</v>
      </c>
      <c r="X58" s="14">
        <f t="shared" si="20"/>
        <v>4.3124227499534369E-4</v>
      </c>
      <c r="Y58" s="12">
        <f t="shared" si="21"/>
        <v>1</v>
      </c>
    </row>
    <row r="59" spans="1:25" x14ac:dyDescent="0.3">
      <c r="A59" s="23"/>
      <c r="B59" s="12">
        <v>55</v>
      </c>
      <c r="C59" s="12">
        <v>4.9000000000000004</v>
      </c>
      <c r="D59" s="12">
        <v>3.1</v>
      </c>
      <c r="E59" s="12">
        <v>1.5</v>
      </c>
      <c r="F59" s="12">
        <v>0.1</v>
      </c>
      <c r="G59" s="12">
        <v>0</v>
      </c>
      <c r="I59" s="13">
        <f>I58-('Konfigurasi Model'!$B$11*T58)</f>
        <v>0.23821775527131889</v>
      </c>
      <c r="J59" s="13">
        <f>J58-('Konfigurasi Model'!$B$11*U58)</f>
        <v>-0.53710607134192101</v>
      </c>
      <c r="K59" s="13">
        <f>K58-('Konfigurasi Model'!$B$11*V58)</f>
        <v>-0.46673718131740644</v>
      </c>
      <c r="L59" s="13">
        <f>L58-('Konfigurasi Model'!$B$11*W58)</f>
        <v>0.82365760372583441</v>
      </c>
      <c r="M59" s="13">
        <f>M58-('Konfigurasi Model'!$B$11*X58)</f>
        <v>0.73372164009691998</v>
      </c>
      <c r="N59" s="13">
        <f t="shared" si="11"/>
        <v>-2.5316286867896105</v>
      </c>
      <c r="O59" s="13">
        <f t="shared" si="12"/>
        <v>7.3670422776224848E-2</v>
      </c>
      <c r="P59" s="12">
        <f t="shared" si="13"/>
        <v>0</v>
      </c>
      <c r="Q59" s="13">
        <f t="shared" si="14"/>
        <v>7.3670422776224848E-2</v>
      </c>
      <c r="R59" s="13">
        <f t="shared" si="15"/>
        <v>5.4273311920277085E-3</v>
      </c>
      <c r="T59" s="14">
        <f t="shared" si="16"/>
        <v>1.0054994817128871E-2</v>
      </c>
      <c r="U59" s="14">
        <f t="shared" si="17"/>
        <v>4.9269474603931468E-2</v>
      </c>
      <c r="V59" s="14">
        <f t="shared" si="18"/>
        <v>3.1170483933099499E-2</v>
      </c>
      <c r="W59" s="14">
        <f t="shared" si="19"/>
        <v>1.5082492225693307E-2</v>
      </c>
      <c r="X59" s="14">
        <f t="shared" si="20"/>
        <v>1.0054994817128872E-3</v>
      </c>
      <c r="Y59" s="12">
        <f t="shared" si="21"/>
        <v>1</v>
      </c>
    </row>
    <row r="60" spans="1:25" x14ac:dyDescent="0.3">
      <c r="A60" s="23"/>
      <c r="B60" s="12">
        <v>56</v>
      </c>
      <c r="C60" s="12">
        <v>5</v>
      </c>
      <c r="D60" s="12">
        <v>3.2</v>
      </c>
      <c r="E60" s="12">
        <v>1.2</v>
      </c>
      <c r="F60" s="12">
        <v>0.2</v>
      </c>
      <c r="G60" s="12">
        <v>0</v>
      </c>
      <c r="I60" s="13">
        <f>I59-('Konfigurasi Model'!$B$11*T59)</f>
        <v>0.237212255789606</v>
      </c>
      <c r="J60" s="13">
        <f>J59-('Konfigurasi Model'!$B$11*U59)</f>
        <v>-0.54203301880231414</v>
      </c>
      <c r="K60" s="13">
        <f>K59-('Konfigurasi Model'!$B$11*V59)</f>
        <v>-0.46985422971071639</v>
      </c>
      <c r="L60" s="13">
        <f>L59-('Konfigurasi Model'!$B$11*W59)</f>
        <v>0.8221493545032651</v>
      </c>
      <c r="M60" s="13">
        <f>M59-('Konfigurasi Model'!$B$11*X59)</f>
        <v>0.73362109014874866</v>
      </c>
      <c r="N60" s="13">
        <f t="shared" si="11"/>
        <v>-2.8431829298625897</v>
      </c>
      <c r="O60" s="13">
        <f t="shared" si="12"/>
        <v>5.5034771871982656E-2</v>
      </c>
      <c r="P60" s="12">
        <f t="shared" si="13"/>
        <v>0</v>
      </c>
      <c r="Q60" s="13">
        <f t="shared" si="14"/>
        <v>5.5034771871982656E-2</v>
      </c>
      <c r="R60" s="13">
        <f t="shared" si="15"/>
        <v>3.0288261150011732E-3</v>
      </c>
      <c r="T60" s="14">
        <f t="shared" si="16"/>
        <v>5.7242707214443609E-3</v>
      </c>
      <c r="U60" s="14">
        <f t="shared" si="17"/>
        <v>2.8621353607221803E-2</v>
      </c>
      <c r="V60" s="14">
        <f t="shared" si="18"/>
        <v>1.8317666308621954E-2</v>
      </c>
      <c r="W60" s="14">
        <f t="shared" si="19"/>
        <v>6.8691248657332333E-3</v>
      </c>
      <c r="X60" s="14">
        <f t="shared" si="20"/>
        <v>1.1448541442888721E-3</v>
      </c>
      <c r="Y60" s="12">
        <f t="shared" si="21"/>
        <v>1</v>
      </c>
    </row>
    <row r="61" spans="1:25" x14ac:dyDescent="0.3">
      <c r="A61" s="23"/>
      <c r="B61" s="12">
        <v>57</v>
      </c>
      <c r="C61" s="12">
        <v>5.5</v>
      </c>
      <c r="D61" s="12">
        <v>3.5</v>
      </c>
      <c r="E61" s="12">
        <v>1.3</v>
      </c>
      <c r="F61" s="12">
        <v>0.2</v>
      </c>
      <c r="G61" s="12">
        <v>0</v>
      </c>
      <c r="I61" s="13">
        <f>I60-('Konfigurasi Model'!$B$11*T60)</f>
        <v>0.23663982871746156</v>
      </c>
      <c r="J61" s="13">
        <f>J60-('Konfigurasi Model'!$B$11*U60)</f>
        <v>-0.54489515416303635</v>
      </c>
      <c r="K61" s="13">
        <f>K60-('Konfigurasi Model'!$B$11*V60)</f>
        <v>-0.4716859963415786</v>
      </c>
      <c r="L61" s="13">
        <f>L60-('Konfigurasi Model'!$B$11*W60)</f>
        <v>0.82146244201669172</v>
      </c>
      <c r="M61" s="13">
        <f>M60-('Konfigurasi Model'!$B$11*X60)</f>
        <v>0.73350660473431972</v>
      </c>
      <c r="N61" s="13">
        <f t="shared" si="11"/>
        <v>-3.1965820108062006</v>
      </c>
      <c r="O61" s="13">
        <f t="shared" si="12"/>
        <v>3.929455057102528E-2</v>
      </c>
      <c r="P61" s="12">
        <f t="shared" si="13"/>
        <v>0</v>
      </c>
      <c r="Q61" s="13">
        <f t="shared" si="14"/>
        <v>3.929455057102528E-2</v>
      </c>
      <c r="R61" s="13">
        <f t="shared" si="15"/>
        <v>1.5440617045788631E-3</v>
      </c>
      <c r="T61" s="14">
        <f t="shared" si="16"/>
        <v>2.9667769876870111E-3</v>
      </c>
      <c r="U61" s="14">
        <f t="shared" si="17"/>
        <v>1.631727343227856E-2</v>
      </c>
      <c r="V61" s="14">
        <f t="shared" si="18"/>
        <v>1.0383719456904538E-2</v>
      </c>
      <c r="W61" s="14">
        <f t="shared" si="19"/>
        <v>3.8568100839931146E-3</v>
      </c>
      <c r="X61" s="14">
        <f t="shared" si="20"/>
        <v>5.9335539753740225E-4</v>
      </c>
      <c r="Y61" s="12">
        <f t="shared" si="21"/>
        <v>1</v>
      </c>
    </row>
    <row r="62" spans="1:25" x14ac:dyDescent="0.3">
      <c r="A62" s="23"/>
      <c r="B62" s="12">
        <v>58</v>
      </c>
      <c r="C62" s="12">
        <v>4.9000000000000004</v>
      </c>
      <c r="D62" s="12">
        <v>3.1</v>
      </c>
      <c r="E62" s="12">
        <v>1.5</v>
      </c>
      <c r="F62" s="12">
        <v>0.1</v>
      </c>
      <c r="G62" s="12">
        <v>0</v>
      </c>
      <c r="I62" s="13">
        <f>I61-('Konfigurasi Model'!$B$11*T61)</f>
        <v>0.23634315101869285</v>
      </c>
      <c r="J62" s="13">
        <f>J61-('Konfigurasi Model'!$B$11*U61)</f>
        <v>-0.54652688150626416</v>
      </c>
      <c r="K62" s="13">
        <f>K61-('Konfigurasi Model'!$B$11*V61)</f>
        <v>-0.47272436828726905</v>
      </c>
      <c r="L62" s="13">
        <f>L61-('Konfigurasi Model'!$B$11*W61)</f>
        <v>0.82107676100829241</v>
      </c>
      <c r="M62" s="13">
        <f>M61-('Konfigurasi Model'!$B$11*X61)</f>
        <v>0.73344726919456593</v>
      </c>
      <c r="N62" s="13">
        <f t="shared" si="11"/>
        <v>-2.6021242416206407</v>
      </c>
      <c r="O62" s="13">
        <f t="shared" si="12"/>
        <v>6.9001832829247794E-2</v>
      </c>
      <c r="P62" s="12">
        <f t="shared" si="13"/>
        <v>0</v>
      </c>
      <c r="Q62" s="13">
        <f t="shared" si="14"/>
        <v>6.9001832829247794E-2</v>
      </c>
      <c r="R62" s="13">
        <f t="shared" si="15"/>
        <v>4.761252933795459E-3</v>
      </c>
      <c r="T62" s="14">
        <f t="shared" si="16"/>
        <v>8.8654355095998793E-3</v>
      </c>
      <c r="U62" s="14">
        <f t="shared" si="17"/>
        <v>4.3440633997039409E-2</v>
      </c>
      <c r="V62" s="14">
        <f t="shared" si="18"/>
        <v>2.7482850079759626E-2</v>
      </c>
      <c r="W62" s="14">
        <f t="shared" si="19"/>
        <v>1.3298153264399818E-2</v>
      </c>
      <c r="X62" s="14">
        <f t="shared" si="20"/>
        <v>8.8654355095998797E-4</v>
      </c>
      <c r="Y62" s="12">
        <f t="shared" si="21"/>
        <v>1</v>
      </c>
    </row>
    <row r="63" spans="1:25" x14ac:dyDescent="0.3">
      <c r="A63" s="23"/>
      <c r="B63" s="12">
        <v>59</v>
      </c>
      <c r="C63" s="12">
        <v>4.4000000000000004</v>
      </c>
      <c r="D63" s="12">
        <v>3</v>
      </c>
      <c r="E63" s="12">
        <v>1.3</v>
      </c>
      <c r="F63" s="12">
        <v>0.2</v>
      </c>
      <c r="G63" s="12">
        <v>0</v>
      </c>
      <c r="I63" s="13">
        <f>I62-('Konfigurasi Model'!$B$11*T62)</f>
        <v>0.23545660746773286</v>
      </c>
      <c r="J63" s="13">
        <f>J62-('Konfigurasi Model'!$B$11*U62)</f>
        <v>-0.55087094490596811</v>
      </c>
      <c r="K63" s="13">
        <f>K62-('Konfigurasi Model'!$B$11*V62)</f>
        <v>-0.47547265329524502</v>
      </c>
      <c r="L63" s="13">
        <f>L62-('Konfigurasi Model'!$B$11*W62)</f>
        <v>0.81974694568185247</v>
      </c>
      <c r="M63" s="13">
        <f>M62-('Konfigurasi Model'!$B$11*X62)</f>
        <v>0.73335861483946996</v>
      </c>
      <c r="N63" s="13">
        <f t="shared" si="11"/>
        <v>-2.4024507576499605</v>
      </c>
      <c r="O63" s="13">
        <f t="shared" si="12"/>
        <v>8.2986004778650216E-2</v>
      </c>
      <c r="P63" s="12">
        <f t="shared" si="13"/>
        <v>0</v>
      </c>
      <c r="Q63" s="13">
        <f t="shared" si="14"/>
        <v>8.2986004778650216E-2</v>
      </c>
      <c r="R63" s="13">
        <f t="shared" si="15"/>
        <v>6.8866769891221561E-3</v>
      </c>
      <c r="T63" s="14">
        <f t="shared" si="16"/>
        <v>1.263035835918769E-2</v>
      </c>
      <c r="U63" s="14">
        <f t="shared" si="17"/>
        <v>5.5573576780425842E-2</v>
      </c>
      <c r="V63" s="14">
        <f t="shared" si="18"/>
        <v>3.789107507756307E-2</v>
      </c>
      <c r="W63" s="14">
        <f t="shared" si="19"/>
        <v>1.6419465866943997E-2</v>
      </c>
      <c r="X63" s="14">
        <f t="shared" si="20"/>
        <v>2.5260716718375383E-3</v>
      </c>
      <c r="Y63" s="12">
        <f t="shared" si="21"/>
        <v>1</v>
      </c>
    </row>
    <row r="64" spans="1:25" x14ac:dyDescent="0.3">
      <c r="A64" s="23"/>
      <c r="B64" s="12">
        <v>60</v>
      </c>
      <c r="C64" s="12">
        <v>5.0999999999999996</v>
      </c>
      <c r="D64" s="12">
        <v>3.4</v>
      </c>
      <c r="E64" s="12">
        <v>1.5</v>
      </c>
      <c r="F64" s="12">
        <v>0.2</v>
      </c>
      <c r="G64" s="12">
        <v>0</v>
      </c>
      <c r="I64" s="13">
        <f>I63-('Konfigurasi Model'!$B$11*T63)</f>
        <v>0.23419357163181409</v>
      </c>
      <c r="J64" s="13">
        <f>J63-('Konfigurasi Model'!$B$11*U63)</f>
        <v>-0.55642830258401066</v>
      </c>
      <c r="K64" s="13">
        <f>K63-('Konfigurasi Model'!$B$11*V63)</f>
        <v>-0.47926176080300131</v>
      </c>
      <c r="L64" s="13">
        <f>L63-('Konfigurasi Model'!$B$11*W63)</f>
        <v>0.8181049990951581</v>
      </c>
      <c r="M64" s="13">
        <f>M63-('Konfigurasi Model'!$B$11*X63)</f>
        <v>0.73310600767228618</v>
      </c>
      <c r="N64" s="13">
        <f t="shared" si="11"/>
        <v>-2.85930205809965</v>
      </c>
      <c r="O64" s="13">
        <f t="shared" si="12"/>
        <v>5.4202469036122886E-2</v>
      </c>
      <c r="P64" s="12">
        <f t="shared" si="13"/>
        <v>0</v>
      </c>
      <c r="Q64" s="13">
        <f t="shared" si="14"/>
        <v>5.4202469036122886E-2</v>
      </c>
      <c r="R64" s="13">
        <f t="shared" si="15"/>
        <v>2.93790764961186E-3</v>
      </c>
      <c r="T64" s="14">
        <f t="shared" si="16"/>
        <v>5.5573316024055694E-3</v>
      </c>
      <c r="U64" s="14">
        <f t="shared" si="17"/>
        <v>2.8342391172268402E-2</v>
      </c>
      <c r="V64" s="14">
        <f t="shared" si="18"/>
        <v>1.8894927448178937E-2</v>
      </c>
      <c r="W64" s="14">
        <f t="shared" si="19"/>
        <v>8.3359974036083546E-3</v>
      </c>
      <c r="X64" s="14">
        <f t="shared" si="20"/>
        <v>1.1114663204811138E-3</v>
      </c>
      <c r="Y64" s="12">
        <f t="shared" si="21"/>
        <v>1</v>
      </c>
    </row>
    <row r="65" spans="1:25" x14ac:dyDescent="0.3">
      <c r="A65" s="23"/>
      <c r="B65" s="12">
        <v>61</v>
      </c>
      <c r="C65" s="12">
        <v>5.9</v>
      </c>
      <c r="D65" s="12">
        <v>3.2</v>
      </c>
      <c r="E65" s="12">
        <v>4.8</v>
      </c>
      <c r="F65" s="12">
        <v>1.8</v>
      </c>
      <c r="G65" s="12">
        <v>1</v>
      </c>
      <c r="I65" s="13">
        <f>I64-('Konfigurasi Model'!$B$11*T64)</f>
        <v>0.23363783847157354</v>
      </c>
      <c r="J65" s="13">
        <f>J64-('Konfigurasi Model'!$B$11*U64)</f>
        <v>-0.55926254170123746</v>
      </c>
      <c r="K65" s="13">
        <f>K64-('Konfigurasi Model'!$B$11*V64)</f>
        <v>-0.48115125354781918</v>
      </c>
      <c r="L65" s="13">
        <f>L64-('Konfigurasi Model'!$B$11*W64)</f>
        <v>0.81727139935479731</v>
      </c>
      <c r="M65" s="13">
        <f>M64-('Konfigurasi Model'!$B$11*X64)</f>
        <v>0.73299486104023803</v>
      </c>
      <c r="N65" s="13">
        <f t="shared" si="11"/>
        <v>0.63659829785670619</v>
      </c>
      <c r="O65" s="13">
        <f t="shared" si="12"/>
        <v>0.65398409691811743</v>
      </c>
      <c r="P65" s="12">
        <f t="shared" si="13"/>
        <v>1</v>
      </c>
      <c r="Q65" s="13">
        <f t="shared" si="14"/>
        <v>-0.34601590308188257</v>
      </c>
      <c r="R65" s="13">
        <f t="shared" si="15"/>
        <v>0.11972700518557075</v>
      </c>
      <c r="T65" s="14">
        <f t="shared" si="16"/>
        <v>-0.1565991147259925</v>
      </c>
      <c r="U65" s="14">
        <f t="shared" si="17"/>
        <v>-0.92393477688335579</v>
      </c>
      <c r="V65" s="14">
        <f t="shared" si="18"/>
        <v>-0.501117167123176</v>
      </c>
      <c r="W65" s="14">
        <f t="shared" si="19"/>
        <v>-0.751675750684764</v>
      </c>
      <c r="X65" s="14">
        <f t="shared" si="20"/>
        <v>-0.28187840650678653</v>
      </c>
      <c r="Y65" s="12">
        <f t="shared" si="21"/>
        <v>1</v>
      </c>
    </row>
    <row r="66" spans="1:25" x14ac:dyDescent="0.3">
      <c r="A66" s="23"/>
      <c r="B66" s="12">
        <v>62</v>
      </c>
      <c r="C66" s="12">
        <v>6.1</v>
      </c>
      <c r="D66" s="12">
        <v>2.8</v>
      </c>
      <c r="E66" s="12">
        <v>4</v>
      </c>
      <c r="F66" s="12">
        <v>1.3</v>
      </c>
      <c r="G66" s="12">
        <v>1</v>
      </c>
      <c r="I66" s="13">
        <f>I65-('Konfigurasi Model'!$B$11*T65)</f>
        <v>0.24929774994417281</v>
      </c>
      <c r="J66" s="13">
        <f>J65-('Konfigurasi Model'!$B$11*U65)</f>
        <v>-0.46686906401290185</v>
      </c>
      <c r="K66" s="13">
        <f>K65-('Konfigurasi Model'!$B$11*V65)</f>
        <v>-0.43103953683550156</v>
      </c>
      <c r="L66" s="13">
        <f>L65-('Konfigurasi Model'!$B$11*W65)</f>
        <v>0.89243897442327369</v>
      </c>
      <c r="M66" s="13">
        <f>M65-('Konfigurasi Model'!$B$11*X65)</f>
        <v>0.76118270169091673</v>
      </c>
      <c r="N66" s="13">
        <f t="shared" si="11"/>
        <v>0.7537791662173543</v>
      </c>
      <c r="O66" s="13">
        <f t="shared" si="12"/>
        <v>0.680001602369672</v>
      </c>
      <c r="P66" s="12">
        <f t="shared" si="13"/>
        <v>1</v>
      </c>
      <c r="Q66" s="13">
        <f t="shared" si="14"/>
        <v>-0.319998397630328</v>
      </c>
      <c r="R66" s="13">
        <f t="shared" si="15"/>
        <v>0.10239897448597751</v>
      </c>
      <c r="T66" s="14">
        <f t="shared" si="16"/>
        <v>-0.13926293346295174</v>
      </c>
      <c r="U66" s="14">
        <f t="shared" si="17"/>
        <v>-0.84950389412400551</v>
      </c>
      <c r="V66" s="14">
        <f t="shared" si="18"/>
        <v>-0.38993621369626486</v>
      </c>
      <c r="W66" s="14">
        <f t="shared" si="19"/>
        <v>-0.55705173385180695</v>
      </c>
      <c r="X66" s="14">
        <f t="shared" si="20"/>
        <v>-0.18104181350183726</v>
      </c>
      <c r="Y66" s="12">
        <f t="shared" si="21"/>
        <v>1</v>
      </c>
    </row>
    <row r="67" spans="1:25" x14ac:dyDescent="0.3">
      <c r="A67" s="23"/>
      <c r="B67" s="12">
        <v>63</v>
      </c>
      <c r="C67" s="12">
        <v>6.3</v>
      </c>
      <c r="D67" s="12">
        <v>2.5</v>
      </c>
      <c r="E67" s="12">
        <v>4.9000000000000004</v>
      </c>
      <c r="F67" s="12">
        <v>1.5</v>
      </c>
      <c r="G67" s="12">
        <v>1</v>
      </c>
      <c r="I67" s="13">
        <f>I66-('Konfigurasi Model'!$B$11*T66)</f>
        <v>0.263224043290468</v>
      </c>
      <c r="J67" s="13">
        <f>J66-('Konfigurasi Model'!$B$11*U66)</f>
        <v>-0.38191867460050127</v>
      </c>
      <c r="K67" s="13">
        <f>K66-('Konfigurasi Model'!$B$11*V66)</f>
        <v>-0.39204591546587508</v>
      </c>
      <c r="L67" s="13">
        <f>L66-('Konfigurasi Model'!$B$11*W66)</f>
        <v>0.94814414780845435</v>
      </c>
      <c r="M67" s="13">
        <f>M66-('Konfigurasi Model'!$B$11*X66)</f>
        <v>0.7792868830411005</v>
      </c>
      <c r="N67" s="13">
        <f t="shared" si="11"/>
        <v>2.6918582534656998</v>
      </c>
      <c r="O67" s="13">
        <f t="shared" si="12"/>
        <v>0.93654450524100052</v>
      </c>
      <c r="P67" s="12">
        <f t="shared" si="13"/>
        <v>1</v>
      </c>
      <c r="Q67" s="13">
        <f t="shared" si="14"/>
        <v>-6.3455494758999476E-2</v>
      </c>
      <c r="R67" s="13">
        <f t="shared" si="15"/>
        <v>4.0265998151094102E-3</v>
      </c>
      <c r="T67" s="14">
        <f t="shared" si="16"/>
        <v>-7.5421798632902938E-3</v>
      </c>
      <c r="U67" s="14">
        <f t="shared" si="17"/>
        <v>-4.7515733138728852E-2</v>
      </c>
      <c r="V67" s="14">
        <f t="shared" si="18"/>
        <v>-1.8855449658225734E-2</v>
      </c>
      <c r="W67" s="14">
        <f t="shared" si="19"/>
        <v>-3.6956681330122441E-2</v>
      </c>
      <c r="X67" s="14">
        <f t="shared" si="20"/>
        <v>-1.1313269794935441E-2</v>
      </c>
      <c r="Y67" s="12">
        <f t="shared" si="21"/>
        <v>1</v>
      </c>
    </row>
    <row r="68" spans="1:25" x14ac:dyDescent="0.3">
      <c r="A68" s="23"/>
      <c r="B68" s="12">
        <v>64</v>
      </c>
      <c r="C68" s="12">
        <v>6.1</v>
      </c>
      <c r="D68" s="12">
        <v>2.8</v>
      </c>
      <c r="E68" s="12">
        <v>4.7</v>
      </c>
      <c r="F68" s="12">
        <v>1.2</v>
      </c>
      <c r="G68" s="12">
        <v>1</v>
      </c>
      <c r="I68" s="13">
        <f>I67-('Konfigurasi Model'!$B$11*T67)</f>
        <v>0.26397826127679702</v>
      </c>
      <c r="J68" s="13">
        <f>J67-('Konfigurasi Model'!$B$11*U67)</f>
        <v>-0.37716710128662839</v>
      </c>
      <c r="K68" s="13">
        <f>K67-('Konfigurasi Model'!$B$11*V67)</f>
        <v>-0.39016037050005253</v>
      </c>
      <c r="L68" s="13">
        <f>L67-('Konfigurasi Model'!$B$11*W67)</f>
        <v>0.9518398159414666</v>
      </c>
      <c r="M68" s="13">
        <f>M67-('Konfigurasi Model'!$B$11*X67)</f>
        <v>0.78041821002059408</v>
      </c>
      <c r="N68" s="13">
        <f t="shared" si="11"/>
        <v>2.2809588929778233</v>
      </c>
      <c r="O68" s="13">
        <f t="shared" si="12"/>
        <v>0.90728773730195866</v>
      </c>
      <c r="P68" s="12">
        <f t="shared" si="13"/>
        <v>1</v>
      </c>
      <c r="Q68" s="13">
        <f t="shared" si="14"/>
        <v>-9.2712262698041337E-2</v>
      </c>
      <c r="R68" s="13">
        <f t="shared" si="15"/>
        <v>8.595563654590627E-3</v>
      </c>
      <c r="T68" s="14">
        <f t="shared" si="16"/>
        <v>-1.5597298998016968E-2</v>
      </c>
      <c r="U68" s="14">
        <f t="shared" si="17"/>
        <v>-9.5143523887903508E-2</v>
      </c>
      <c r="V68" s="14">
        <f t="shared" si="18"/>
        <v>-4.3672437194447508E-2</v>
      </c>
      <c r="W68" s="14">
        <f t="shared" si="19"/>
        <v>-7.3307305290679761E-2</v>
      </c>
      <c r="X68" s="14">
        <f t="shared" si="20"/>
        <v>-1.8716758797620362E-2</v>
      </c>
      <c r="Y68" s="12">
        <f t="shared" si="21"/>
        <v>1</v>
      </c>
    </row>
    <row r="69" spans="1:25" x14ac:dyDescent="0.3">
      <c r="A69" s="23"/>
      <c r="B69" s="12">
        <v>65</v>
      </c>
      <c r="C69" s="12">
        <v>6.4</v>
      </c>
      <c r="D69" s="12">
        <v>2.9</v>
      </c>
      <c r="E69" s="12">
        <v>4.3</v>
      </c>
      <c r="F69" s="12">
        <v>1.3</v>
      </c>
      <c r="G69" s="12">
        <v>1</v>
      </c>
      <c r="I69" s="13">
        <f>I68-('Konfigurasi Model'!$B$11*T68)</f>
        <v>0.26553799117659871</v>
      </c>
      <c r="J69" s="13">
        <f>J68-('Konfigurasi Model'!$B$11*U68)</f>
        <v>-0.36765274889783806</v>
      </c>
      <c r="K69" s="13">
        <f>K68-('Konfigurasi Model'!$B$11*V68)</f>
        <v>-0.38579312678060779</v>
      </c>
      <c r="L69" s="13">
        <f>L68-('Konfigurasi Model'!$B$11*W68)</f>
        <v>0.95917054647053457</v>
      </c>
      <c r="M69" s="13">
        <f>M68-('Konfigurasi Model'!$B$11*X68)</f>
        <v>0.78228988590035609</v>
      </c>
      <c r="N69" s="13">
        <f t="shared" ref="N69:N84" si="22">I69+J69*C69+K69*D69+L69*E69+M69*F69</f>
        <v>1.9351705320604335</v>
      </c>
      <c r="O69" s="13">
        <f t="shared" ref="O69:O84" si="23">1/(1+EXP(-N69))</f>
        <v>0.87382061592698557</v>
      </c>
      <c r="P69" s="12">
        <f t="shared" ref="P69:P84" si="24">IF(O69&gt;0.5,1,0)</f>
        <v>1</v>
      </c>
      <c r="Q69" s="13">
        <f t="shared" ref="Q69:Q84" si="25">O69-G69</f>
        <v>-0.12617938407301443</v>
      </c>
      <c r="R69" s="13">
        <f t="shared" ref="R69:R84" si="26">Q69^2</f>
        <v>1.5921236965045289E-2</v>
      </c>
      <c r="T69" s="14">
        <f t="shared" ref="T69:T84" si="27">2*(O69-G69)*(1-O69)*O69</f>
        <v>-2.782461018223073E-2</v>
      </c>
      <c r="U69" s="14">
        <f t="shared" ref="U69:U84" si="28">2*(O69-G69)*(1-O69)*O69*C69</f>
        <v>-0.17807750516627668</v>
      </c>
      <c r="V69" s="14">
        <f t="shared" ref="V69:V84" si="29">2*(O69-G69)*(1-O69)*O69*D69</f>
        <v>-8.0691369528469115E-2</v>
      </c>
      <c r="W69" s="14">
        <f t="shared" ref="W69:W84" si="30">2*(O69-G69)*(1-O69)*O69*E69</f>
        <v>-0.11964582378359213</v>
      </c>
      <c r="X69" s="14">
        <f t="shared" ref="X69:X84" si="31">2*(O69-G69)*(1-O69)*O69*F69</f>
        <v>-3.6171993236899951E-2</v>
      </c>
      <c r="Y69" s="12">
        <f t="shared" ref="Y69:Y84" si="32">IF(P69=G69,1,0)</f>
        <v>1</v>
      </c>
    </row>
    <row r="70" spans="1:25" x14ac:dyDescent="0.3">
      <c r="A70" s="23"/>
      <c r="B70" s="12">
        <v>66</v>
      </c>
      <c r="C70" s="12">
        <v>6.6</v>
      </c>
      <c r="D70" s="12">
        <v>3</v>
      </c>
      <c r="E70" s="12">
        <v>4.4000000000000004</v>
      </c>
      <c r="F70" s="12">
        <v>1.4</v>
      </c>
      <c r="G70" s="12">
        <v>1</v>
      </c>
      <c r="I70" s="13">
        <f>I69-('Konfigurasi Model'!$B$11*T69)</f>
        <v>0.26832045219482176</v>
      </c>
      <c r="J70" s="13">
        <f>J69-('Konfigurasi Model'!$B$11*U69)</f>
        <v>-0.34984499838121041</v>
      </c>
      <c r="K70" s="13">
        <f>K69-('Konfigurasi Model'!$B$11*V69)</f>
        <v>-0.3777239898277609</v>
      </c>
      <c r="L70" s="13">
        <f>L69-('Konfigurasi Model'!$B$11*W69)</f>
        <v>0.97113512884889375</v>
      </c>
      <c r="M70" s="13">
        <f>M69-('Konfigurasi Model'!$B$11*X69)</f>
        <v>0.78590708522404606</v>
      </c>
      <c r="N70" s="13">
        <f t="shared" si="22"/>
        <v>2.1994359796443481</v>
      </c>
      <c r="O70" s="13">
        <f t="shared" si="23"/>
        <v>0.90019885023155077</v>
      </c>
      <c r="P70" s="12">
        <f t="shared" si="24"/>
        <v>1</v>
      </c>
      <c r="Q70" s="13">
        <f t="shared" si="25"/>
        <v>-9.9801149768449227E-2</v>
      </c>
      <c r="R70" s="13">
        <f t="shared" si="26"/>
        <v>9.9602694951044339E-3</v>
      </c>
      <c r="T70" s="14">
        <f t="shared" si="27"/>
        <v>-1.79324462949788E-2</v>
      </c>
      <c r="U70" s="14">
        <f t="shared" si="28"/>
        <v>-0.11835414554686007</v>
      </c>
      <c r="V70" s="14">
        <f t="shared" si="29"/>
        <v>-5.3797338884936402E-2</v>
      </c>
      <c r="W70" s="14">
        <f t="shared" si="30"/>
        <v>-7.8902763697906719E-2</v>
      </c>
      <c r="X70" s="14">
        <f t="shared" si="31"/>
        <v>-2.5105424812970317E-2</v>
      </c>
      <c r="Y70" s="12">
        <f t="shared" si="32"/>
        <v>1</v>
      </c>
    </row>
    <row r="71" spans="1:25" x14ac:dyDescent="0.3">
      <c r="A71" s="23"/>
      <c r="B71" s="12">
        <v>67</v>
      </c>
      <c r="C71" s="12">
        <v>6.8</v>
      </c>
      <c r="D71" s="12">
        <v>2.8</v>
      </c>
      <c r="E71" s="12">
        <v>4.8</v>
      </c>
      <c r="F71" s="12">
        <v>1.4</v>
      </c>
      <c r="G71" s="12">
        <v>1</v>
      </c>
      <c r="I71" s="13">
        <f>I70-('Konfigurasi Model'!$B$11*T70)</f>
        <v>0.27011369682431963</v>
      </c>
      <c r="J71" s="13">
        <f>J70-('Konfigurasi Model'!$B$11*U70)</f>
        <v>-0.33800958382652441</v>
      </c>
      <c r="K71" s="13">
        <f>K70-('Konfigurasi Model'!$B$11*V70)</f>
        <v>-0.37234425593926723</v>
      </c>
      <c r="L71" s="13">
        <f>L70-('Konfigurasi Model'!$B$11*W70)</f>
        <v>0.97902540521868442</v>
      </c>
      <c r="M71" s="13">
        <f>M70-('Konfigurasi Model'!$B$11*X70)</f>
        <v>0.78841762770534307</v>
      </c>
      <c r="N71" s="13">
        <f t="shared" si="22"/>
        <v>2.7321912340111707</v>
      </c>
      <c r="O71" s="13">
        <f t="shared" si="23"/>
        <v>0.93889966285015813</v>
      </c>
      <c r="P71" s="12">
        <f t="shared" si="24"/>
        <v>1</v>
      </c>
      <c r="Q71" s="13">
        <f t="shared" si="25"/>
        <v>-6.1100337149841866E-2</v>
      </c>
      <c r="R71" s="13">
        <f t="shared" si="26"/>
        <v>3.7332511998243458E-3</v>
      </c>
      <c r="T71" s="14">
        <f t="shared" si="27"/>
        <v>-7.0102965857000536E-3</v>
      </c>
      <c r="U71" s="14">
        <f t="shared" si="28"/>
        <v>-4.7670016782760366E-2</v>
      </c>
      <c r="V71" s="14">
        <f t="shared" si="29"/>
        <v>-1.9628830439960148E-2</v>
      </c>
      <c r="W71" s="14">
        <f t="shared" si="30"/>
        <v>-3.3649423611360259E-2</v>
      </c>
      <c r="X71" s="14">
        <f t="shared" si="31"/>
        <v>-9.814415219980074E-3</v>
      </c>
      <c r="Y71" s="12">
        <f t="shared" si="32"/>
        <v>1</v>
      </c>
    </row>
    <row r="72" spans="1:25" x14ac:dyDescent="0.3">
      <c r="A72" s="23"/>
      <c r="B72" s="12">
        <v>68</v>
      </c>
      <c r="C72" s="12">
        <v>6.7</v>
      </c>
      <c r="D72" s="12">
        <v>3</v>
      </c>
      <c r="E72" s="12">
        <v>5</v>
      </c>
      <c r="F72" s="12">
        <v>1.7</v>
      </c>
      <c r="G72" s="12">
        <v>1</v>
      </c>
      <c r="I72" s="13">
        <f>I71-('Konfigurasi Model'!$B$11*T71)</f>
        <v>0.27081472648288962</v>
      </c>
      <c r="J72" s="13">
        <f>J71-('Konfigurasi Model'!$B$11*U71)</f>
        <v>-0.33324258214824837</v>
      </c>
      <c r="K72" s="13">
        <f>K71-('Konfigurasi Model'!$B$11*V71)</f>
        <v>-0.37038137289527123</v>
      </c>
      <c r="L72" s="13">
        <f>L71-('Konfigurasi Model'!$B$11*W71)</f>
        <v>0.98239034757982047</v>
      </c>
      <c r="M72" s="13">
        <f>M71-('Konfigurasi Model'!$B$11*X71)</f>
        <v>0.78939906922734104</v>
      </c>
      <c r="N72" s="13">
        <f t="shared" si="22"/>
        <v>3.1808754629893934</v>
      </c>
      <c r="O72" s="13">
        <f t="shared" si="23"/>
        <v>0.96010821017013748</v>
      </c>
      <c r="P72" s="12">
        <f t="shared" si="24"/>
        <v>1</v>
      </c>
      <c r="Q72" s="13">
        <f t="shared" si="25"/>
        <v>-3.9891789829862523E-2</v>
      </c>
      <c r="R72" s="13">
        <f t="shared" si="26"/>
        <v>1.5913548958299229E-3</v>
      </c>
      <c r="T72" s="14">
        <f t="shared" si="27"/>
        <v>-3.0557458015615059E-3</v>
      </c>
      <c r="U72" s="14">
        <f t="shared" si="28"/>
        <v>-2.0473496870462089E-2</v>
      </c>
      <c r="V72" s="14">
        <f t="shared" si="29"/>
        <v>-9.1672374046845168E-3</v>
      </c>
      <c r="W72" s="14">
        <f t="shared" si="30"/>
        <v>-1.527872900780753E-2</v>
      </c>
      <c r="X72" s="14">
        <f t="shared" si="31"/>
        <v>-5.1947678626545601E-3</v>
      </c>
      <c r="Y72" s="12">
        <f t="shared" si="32"/>
        <v>1</v>
      </c>
    </row>
    <row r="73" spans="1:25" x14ac:dyDescent="0.3">
      <c r="A73" s="23"/>
      <c r="B73" s="12">
        <v>69</v>
      </c>
      <c r="C73" s="12">
        <v>6</v>
      </c>
      <c r="D73" s="12">
        <v>2.9</v>
      </c>
      <c r="E73" s="12">
        <v>4.5</v>
      </c>
      <c r="F73" s="12">
        <v>1.5</v>
      </c>
      <c r="G73" s="12">
        <v>1</v>
      </c>
      <c r="I73" s="13">
        <f>I72-('Konfigurasi Model'!$B$11*T72)</f>
        <v>0.2711203010630458</v>
      </c>
      <c r="J73" s="13">
        <f>J72-('Konfigurasi Model'!$B$11*U72)</f>
        <v>-0.33119523246120214</v>
      </c>
      <c r="K73" s="13">
        <f>K72-('Konfigurasi Model'!$B$11*V72)</f>
        <v>-0.36946464915480276</v>
      </c>
      <c r="L73" s="13">
        <f>L72-('Konfigurasi Model'!$B$11*W72)</f>
        <v>0.98391822048060118</v>
      </c>
      <c r="M73" s="13">
        <f>M72-('Konfigurasi Model'!$B$11*X72)</f>
        <v>0.78991854601360645</v>
      </c>
      <c r="N73" s="13">
        <f t="shared" si="22"/>
        <v>2.8250112349300203</v>
      </c>
      <c r="O73" s="13">
        <f t="shared" si="23"/>
        <v>0.94401251473962444</v>
      </c>
      <c r="P73" s="12">
        <f t="shared" si="24"/>
        <v>1</v>
      </c>
      <c r="Q73" s="13">
        <f t="shared" si="25"/>
        <v>-5.5987485260375558E-2</v>
      </c>
      <c r="R73" s="13">
        <f t="shared" si="26"/>
        <v>3.1345985057807703E-3</v>
      </c>
      <c r="T73" s="14">
        <f t="shared" si="27"/>
        <v>-5.9182004362823481E-3</v>
      </c>
      <c r="U73" s="14">
        <f t="shared" si="28"/>
        <v>-3.5509202617694087E-2</v>
      </c>
      <c r="V73" s="14">
        <f t="shared" si="29"/>
        <v>-1.7162781265218811E-2</v>
      </c>
      <c r="W73" s="14">
        <f t="shared" si="30"/>
        <v>-2.6631901963270567E-2</v>
      </c>
      <c r="X73" s="14">
        <f t="shared" si="31"/>
        <v>-8.8773006544235217E-3</v>
      </c>
      <c r="Y73" s="12">
        <f t="shared" si="32"/>
        <v>1</v>
      </c>
    </row>
    <row r="74" spans="1:25" x14ac:dyDescent="0.3">
      <c r="A74" s="23"/>
      <c r="B74" s="12">
        <v>70</v>
      </c>
      <c r="C74" s="12">
        <v>5.7</v>
      </c>
      <c r="D74" s="12">
        <v>2.6</v>
      </c>
      <c r="E74" s="12">
        <v>3.5</v>
      </c>
      <c r="F74" s="12">
        <v>1</v>
      </c>
      <c r="G74" s="12">
        <v>1</v>
      </c>
      <c r="I74" s="13">
        <f>I73-('Konfigurasi Model'!$B$11*T73)</f>
        <v>0.27171212110667403</v>
      </c>
      <c r="J74" s="13">
        <f>J73-('Konfigurasi Model'!$B$11*U73)</f>
        <v>-0.32764431219943274</v>
      </c>
      <c r="K74" s="13">
        <f>K73-('Konfigurasi Model'!$B$11*V73)</f>
        <v>-0.3677483710282809</v>
      </c>
      <c r="L74" s="13">
        <f>L73-('Konfigurasi Model'!$B$11*W73)</f>
        <v>0.98658141067692828</v>
      </c>
      <c r="M74" s="13">
        <f>M73-('Konfigurasi Model'!$B$11*X73)</f>
        <v>0.79080627607904885</v>
      </c>
      <c r="N74" s="13">
        <f t="shared" si="22"/>
        <v>1.6918349903446748</v>
      </c>
      <c r="O74" s="13">
        <f t="shared" si="23"/>
        <v>0.84446532655679341</v>
      </c>
      <c r="P74" s="12">
        <f t="shared" si="24"/>
        <v>1</v>
      </c>
      <c r="Q74" s="13">
        <f t="shared" si="25"/>
        <v>-0.15553467344320659</v>
      </c>
      <c r="R74" s="13">
        <f t="shared" si="26"/>
        <v>2.4191034643084915E-2</v>
      </c>
      <c r="T74" s="14">
        <f t="shared" si="27"/>
        <v>-4.0856979939238813E-2</v>
      </c>
      <c r="U74" s="14">
        <f t="shared" si="28"/>
        <v>-0.23288478565366125</v>
      </c>
      <c r="V74" s="14">
        <f t="shared" si="29"/>
        <v>-0.10622814784202092</v>
      </c>
      <c r="W74" s="14">
        <f t="shared" si="30"/>
        <v>-0.14299942978733585</v>
      </c>
      <c r="X74" s="14">
        <f t="shared" si="31"/>
        <v>-4.0856979939238813E-2</v>
      </c>
      <c r="Y74" s="12">
        <f t="shared" si="32"/>
        <v>1</v>
      </c>
    </row>
    <row r="75" spans="1:25" x14ac:dyDescent="0.3">
      <c r="A75" s="23"/>
      <c r="B75" s="12">
        <v>71</v>
      </c>
      <c r="C75" s="12">
        <v>5.5</v>
      </c>
      <c r="D75" s="12">
        <v>2.4</v>
      </c>
      <c r="E75" s="12">
        <v>3.8</v>
      </c>
      <c r="F75" s="12">
        <v>1.1000000000000001</v>
      </c>
      <c r="G75" s="12">
        <v>1</v>
      </c>
      <c r="I75" s="13">
        <f>I74-('Konfigurasi Model'!$B$11*T74)</f>
        <v>0.27579781910059792</v>
      </c>
      <c r="J75" s="13">
        <f>J74-('Konfigurasi Model'!$B$11*U74)</f>
        <v>-0.3043558336340666</v>
      </c>
      <c r="K75" s="13">
        <f>K74-('Konfigurasi Model'!$B$11*V74)</f>
        <v>-0.35712555624407882</v>
      </c>
      <c r="L75" s="13">
        <f>L74-('Konfigurasi Model'!$B$11*W74)</f>
        <v>1.0008813536556618</v>
      </c>
      <c r="M75" s="13">
        <f>M74-('Konfigurasi Model'!$B$11*X74)</f>
        <v>0.79489197407297274</v>
      </c>
      <c r="N75" s="13">
        <f t="shared" si="22"/>
        <v>2.4224697144992273</v>
      </c>
      <c r="O75" s="13">
        <f t="shared" si="23"/>
        <v>0.9185247617676825</v>
      </c>
      <c r="P75" s="12">
        <f t="shared" si="24"/>
        <v>1</v>
      </c>
      <c r="Q75" s="13">
        <f t="shared" si="25"/>
        <v>-8.1475238232317504E-2</v>
      </c>
      <c r="R75" s="13">
        <f t="shared" si="26"/>
        <v>6.6382144450128919E-3</v>
      </c>
      <c r="T75" s="14">
        <f t="shared" si="27"/>
        <v>-1.2194728683336511E-2</v>
      </c>
      <c r="U75" s="14">
        <f t="shared" si="28"/>
        <v>-6.7071007758350815E-2</v>
      </c>
      <c r="V75" s="14">
        <f t="shared" si="29"/>
        <v>-2.9267348840007625E-2</v>
      </c>
      <c r="W75" s="14">
        <f t="shared" si="30"/>
        <v>-4.6339968996678742E-2</v>
      </c>
      <c r="X75" s="14">
        <f t="shared" si="31"/>
        <v>-1.3414201551670163E-2</v>
      </c>
      <c r="Y75" s="12">
        <f t="shared" si="32"/>
        <v>1</v>
      </c>
    </row>
    <row r="76" spans="1:25" x14ac:dyDescent="0.3">
      <c r="A76" s="23"/>
      <c r="B76" s="12">
        <v>72</v>
      </c>
      <c r="C76" s="12">
        <v>5.5</v>
      </c>
      <c r="D76" s="12">
        <v>2.4</v>
      </c>
      <c r="E76" s="12">
        <v>3.7</v>
      </c>
      <c r="F76" s="12">
        <v>1</v>
      </c>
      <c r="G76" s="12">
        <v>1</v>
      </c>
      <c r="I76" s="13">
        <f>I75-('Konfigurasi Model'!$B$11*T75)</f>
        <v>0.27701729196893154</v>
      </c>
      <c r="J76" s="13">
        <f>J75-('Konfigurasi Model'!$B$11*U75)</f>
        <v>-0.29764873285823151</v>
      </c>
      <c r="K76" s="13">
        <f>K75-('Konfigurasi Model'!$B$11*V75)</f>
        <v>-0.35419882136007808</v>
      </c>
      <c r="L76" s="13">
        <f>L75-('Konfigurasi Model'!$B$11*W75)</f>
        <v>1.0055153505553296</v>
      </c>
      <c r="M76" s="13">
        <f>M75-('Konfigurasi Model'!$B$11*X75)</f>
        <v>0.79623339422813977</v>
      </c>
      <c r="N76" s="13">
        <f t="shared" si="22"/>
        <v>2.3065122812673304</v>
      </c>
      <c r="O76" s="13">
        <f t="shared" si="23"/>
        <v>0.90941494909354093</v>
      </c>
      <c r="P76" s="12">
        <f t="shared" si="24"/>
        <v>1</v>
      </c>
      <c r="Q76" s="13">
        <f t="shared" si="25"/>
        <v>-9.0585050906459075E-2</v>
      </c>
      <c r="R76" s="13">
        <f t="shared" si="26"/>
        <v>8.2056514477257814E-3</v>
      </c>
      <c r="T76" s="14">
        <f t="shared" si="27"/>
        <v>-1.4924684187225763E-2</v>
      </c>
      <c r="U76" s="14">
        <f t="shared" si="28"/>
        <v>-8.2085763029741701E-2</v>
      </c>
      <c r="V76" s="14">
        <f t="shared" si="29"/>
        <v>-3.581924204934183E-2</v>
      </c>
      <c r="W76" s="14">
        <f t="shared" si="30"/>
        <v>-5.5221331492735323E-2</v>
      </c>
      <c r="X76" s="14">
        <f t="shared" si="31"/>
        <v>-1.4924684187225763E-2</v>
      </c>
      <c r="Y76" s="12">
        <f t="shared" si="32"/>
        <v>1</v>
      </c>
    </row>
    <row r="77" spans="1:25" x14ac:dyDescent="0.3">
      <c r="A77" s="23"/>
      <c r="B77" s="12">
        <v>73</v>
      </c>
      <c r="C77" s="12">
        <v>5.8</v>
      </c>
      <c r="D77" s="12">
        <v>2.7</v>
      </c>
      <c r="E77" s="12">
        <v>3.9</v>
      </c>
      <c r="F77" s="12">
        <v>1.2</v>
      </c>
      <c r="G77" s="12">
        <v>1</v>
      </c>
      <c r="I77" s="13">
        <f>I76-('Konfigurasi Model'!$B$11*T76)</f>
        <v>0.27850976038765413</v>
      </c>
      <c r="J77" s="13">
        <f>J76-('Konfigurasi Model'!$B$11*U76)</f>
        <v>-0.28944015655525734</v>
      </c>
      <c r="K77" s="13">
        <f>K76-('Konfigurasi Model'!$B$11*V76)</f>
        <v>-0.35061689715514388</v>
      </c>
      <c r="L77" s="13">
        <f>L76-('Konfigurasi Model'!$B$11*W76)</f>
        <v>1.0110374837046032</v>
      </c>
      <c r="M77" s="13">
        <f>M76-('Konfigurasi Model'!$B$11*X76)</f>
        <v>0.79772586264686229</v>
      </c>
      <c r="N77" s="13">
        <f t="shared" si="22"/>
        <v>2.55340845167246</v>
      </c>
      <c r="O77" s="13">
        <f t="shared" si="23"/>
        <v>0.92780216400728444</v>
      </c>
      <c r="P77" s="12">
        <f t="shared" si="24"/>
        <v>1</v>
      </c>
      <c r="Q77" s="13">
        <f t="shared" si="25"/>
        <v>-7.2197835992715564E-2</v>
      </c>
      <c r="R77" s="13">
        <f t="shared" si="26"/>
        <v>5.2125275220310553E-3</v>
      </c>
      <c r="T77" s="14">
        <f t="shared" si="27"/>
        <v>-9.672388629775883E-3</v>
      </c>
      <c r="U77" s="14">
        <f t="shared" si="28"/>
        <v>-5.609985405270012E-2</v>
      </c>
      <c r="V77" s="14">
        <f t="shared" si="29"/>
        <v>-2.6115449300394885E-2</v>
      </c>
      <c r="W77" s="14">
        <f t="shared" si="30"/>
        <v>-3.7722315656125945E-2</v>
      </c>
      <c r="X77" s="14">
        <f t="shared" si="31"/>
        <v>-1.160686635573106E-2</v>
      </c>
      <c r="Y77" s="12">
        <f t="shared" si="32"/>
        <v>1</v>
      </c>
    </row>
    <row r="78" spans="1:25" x14ac:dyDescent="0.3">
      <c r="A78" s="23"/>
      <c r="B78" s="12">
        <v>74</v>
      </c>
      <c r="C78" s="12">
        <v>6</v>
      </c>
      <c r="D78" s="12">
        <v>2.7</v>
      </c>
      <c r="E78" s="12">
        <v>5.0999999999999996</v>
      </c>
      <c r="F78" s="12">
        <v>1.6</v>
      </c>
      <c r="G78" s="12">
        <v>1</v>
      </c>
      <c r="I78" s="13">
        <f>I77-('Konfigurasi Model'!$B$11*T77)</f>
        <v>0.27947699925063174</v>
      </c>
      <c r="J78" s="13">
        <f>J77-('Konfigurasi Model'!$B$11*U77)</f>
        <v>-0.28383017114998732</v>
      </c>
      <c r="K78" s="13">
        <f>K77-('Konfigurasi Model'!$B$11*V77)</f>
        <v>-0.34800535222510437</v>
      </c>
      <c r="L78" s="13">
        <f>L77-('Konfigurasi Model'!$B$11*W77)</f>
        <v>1.0148097152702158</v>
      </c>
      <c r="M78" s="13">
        <f>M77-('Konfigurasi Model'!$B$11*X77)</f>
        <v>0.79888654928243541</v>
      </c>
      <c r="N78" s="13">
        <f t="shared" si="22"/>
        <v>4.0906295480729229</v>
      </c>
      <c r="O78" s="13">
        <f t="shared" si="23"/>
        <v>0.98354654614962</v>
      </c>
      <c r="P78" s="12">
        <f t="shared" si="24"/>
        <v>1</v>
      </c>
      <c r="Q78" s="13">
        <f t="shared" si="25"/>
        <v>-1.6453453850379995E-2</v>
      </c>
      <c r="R78" s="13">
        <f t="shared" si="26"/>
        <v>2.7071614360658431E-4</v>
      </c>
      <c r="T78" s="14">
        <f t="shared" si="27"/>
        <v>-5.3252385606240111E-4</v>
      </c>
      <c r="U78" s="14">
        <f t="shared" si="28"/>
        <v>-3.1951431363744067E-3</v>
      </c>
      <c r="V78" s="14">
        <f t="shared" si="29"/>
        <v>-1.437814411368483E-3</v>
      </c>
      <c r="W78" s="14">
        <f t="shared" si="30"/>
        <v>-2.7158716659182454E-3</v>
      </c>
      <c r="X78" s="14">
        <f t="shared" si="31"/>
        <v>-8.520381696998418E-4</v>
      </c>
      <c r="Y78" s="12">
        <f t="shared" si="32"/>
        <v>1</v>
      </c>
    </row>
    <row r="79" spans="1:25" x14ac:dyDescent="0.3">
      <c r="A79" s="23"/>
      <c r="B79" s="12">
        <v>75</v>
      </c>
      <c r="C79" s="12">
        <v>5.4</v>
      </c>
      <c r="D79" s="12">
        <v>3</v>
      </c>
      <c r="E79" s="12">
        <v>4.5</v>
      </c>
      <c r="F79" s="12">
        <v>1.5</v>
      </c>
      <c r="G79" s="12">
        <v>1</v>
      </c>
      <c r="I79" s="13">
        <f>I78-('Konfigurasi Model'!$B$11*T78)</f>
        <v>0.27953025163623796</v>
      </c>
      <c r="J79" s="13">
        <f>J78-('Konfigurasi Model'!$B$11*U78)</f>
        <v>-0.28351065683634991</v>
      </c>
      <c r="K79" s="13">
        <f>K78-('Konfigurasi Model'!$B$11*V78)</f>
        <v>-0.34786157078396751</v>
      </c>
      <c r="L79" s="13">
        <f>L78-('Konfigurasi Model'!$B$11*W78)</f>
        <v>1.0150813024368077</v>
      </c>
      <c r="M79" s="13">
        <f>M78-('Konfigurasi Model'!$B$11*X78)</f>
        <v>0.79897175309940538</v>
      </c>
      <c r="N79" s="13">
        <f t="shared" si="22"/>
        <v>3.4713114829827889</v>
      </c>
      <c r="O79" s="13">
        <f t="shared" si="23"/>
        <v>0.96986037840042427</v>
      </c>
      <c r="P79" s="12">
        <f t="shared" si="24"/>
        <v>1</v>
      </c>
      <c r="Q79" s="13">
        <f t="shared" si="25"/>
        <v>-3.0139621599575728E-2</v>
      </c>
      <c r="R79" s="13">
        <f t="shared" si="26"/>
        <v>9.0839679016561177E-4</v>
      </c>
      <c r="T79" s="14">
        <f t="shared" si="27"/>
        <v>-1.7620361092955021E-3</v>
      </c>
      <c r="U79" s="14">
        <f t="shared" si="28"/>
        <v>-9.5149949901957125E-3</v>
      </c>
      <c r="V79" s="14">
        <f t="shared" si="29"/>
        <v>-5.2861083278865064E-3</v>
      </c>
      <c r="W79" s="14">
        <f t="shared" si="30"/>
        <v>-7.9291624918297592E-3</v>
      </c>
      <c r="X79" s="14">
        <f t="shared" si="31"/>
        <v>-2.6430541639432532E-3</v>
      </c>
      <c r="Y79" s="12">
        <f t="shared" si="32"/>
        <v>1</v>
      </c>
    </row>
    <row r="80" spans="1:25" x14ac:dyDescent="0.3">
      <c r="A80" s="23"/>
      <c r="B80" s="12">
        <v>76</v>
      </c>
      <c r="C80" s="12">
        <v>6</v>
      </c>
      <c r="D80" s="12">
        <v>3.4</v>
      </c>
      <c r="E80" s="12">
        <v>4.5</v>
      </c>
      <c r="F80" s="12">
        <v>1.6</v>
      </c>
      <c r="G80" s="12">
        <v>1</v>
      </c>
      <c r="I80" s="13">
        <f>I79-('Konfigurasi Model'!$B$11*T79)</f>
        <v>0.27970645524716753</v>
      </c>
      <c r="J80" s="13">
        <f>J79-('Konfigurasi Model'!$B$11*U79)</f>
        <v>-0.28255915733733034</v>
      </c>
      <c r="K80" s="13">
        <f>K79-('Konfigurasi Model'!$B$11*V79)</f>
        <v>-0.34733295995117885</v>
      </c>
      <c r="L80" s="13">
        <f>L79-('Konfigurasi Model'!$B$11*W79)</f>
        <v>1.0158742186859906</v>
      </c>
      <c r="M80" s="13">
        <f>M79-('Konfigurasi Model'!$B$11*X79)</f>
        <v>0.79923605851579971</v>
      </c>
      <c r="N80" s="13">
        <f t="shared" si="22"/>
        <v>3.2536311251014145</v>
      </c>
      <c r="O80" s="13">
        <f t="shared" si="23"/>
        <v>0.96280337303581753</v>
      </c>
      <c r="P80" s="12">
        <f t="shared" si="24"/>
        <v>1</v>
      </c>
      <c r="Q80" s="13">
        <f t="shared" si="25"/>
        <v>-3.7196626964182467E-2</v>
      </c>
      <c r="R80" s="13">
        <f t="shared" si="26"/>
        <v>1.3835890575125461E-3</v>
      </c>
      <c r="T80" s="14">
        <f t="shared" si="27"/>
        <v>-2.6642484229370544E-3</v>
      </c>
      <c r="U80" s="14">
        <f t="shared" si="28"/>
        <v>-1.5985490537622327E-2</v>
      </c>
      <c r="V80" s="14">
        <f t="shared" si="29"/>
        <v>-9.0584446379859841E-3</v>
      </c>
      <c r="W80" s="14">
        <f t="shared" si="30"/>
        <v>-1.1989117903216745E-2</v>
      </c>
      <c r="X80" s="14">
        <f t="shared" si="31"/>
        <v>-4.2627974766992873E-3</v>
      </c>
      <c r="Y80" s="12">
        <f t="shared" si="32"/>
        <v>1</v>
      </c>
    </row>
    <row r="81" spans="1:25" x14ac:dyDescent="0.3">
      <c r="A81" s="23"/>
      <c r="B81" s="12">
        <v>77</v>
      </c>
      <c r="C81" s="12">
        <v>6.7</v>
      </c>
      <c r="D81" s="12">
        <v>3.1</v>
      </c>
      <c r="E81" s="12">
        <v>4.7</v>
      </c>
      <c r="F81" s="12">
        <v>1.5</v>
      </c>
      <c r="G81" s="12">
        <v>1</v>
      </c>
      <c r="I81" s="13">
        <f>I80-('Konfigurasi Model'!$B$11*T80)</f>
        <v>0.27997288008946125</v>
      </c>
      <c r="J81" s="13">
        <f>J80-('Konfigurasi Model'!$B$11*U80)</f>
        <v>-0.28096060828356811</v>
      </c>
      <c r="K81" s="13">
        <f>K80-('Konfigurasi Model'!$B$11*V80)</f>
        <v>-0.34642711548738025</v>
      </c>
      <c r="L81" s="13">
        <f>L80-('Konfigurasi Model'!$B$11*W80)</f>
        <v>1.0170731304763123</v>
      </c>
      <c r="M81" s="13">
        <f>M80-('Konfigurasi Model'!$B$11*X80)</f>
        <v>0.79966233826346966</v>
      </c>
      <c r="N81" s="13">
        <f t="shared" si="22"/>
        <v>3.3033499672125481</v>
      </c>
      <c r="O81" s="13">
        <f t="shared" si="23"/>
        <v>0.96454355566984618</v>
      </c>
      <c r="P81" s="12">
        <f t="shared" si="24"/>
        <v>1</v>
      </c>
      <c r="Q81" s="13">
        <f t="shared" si="25"/>
        <v>-3.5456444330153825E-2</v>
      </c>
      <c r="R81" s="13">
        <f t="shared" si="26"/>
        <v>1.2571594445372973E-3</v>
      </c>
      <c r="T81" s="14">
        <f t="shared" si="27"/>
        <v>-2.4251700813558669E-3</v>
      </c>
      <c r="U81" s="14">
        <f t="shared" si="28"/>
        <v>-1.624863954508431E-2</v>
      </c>
      <c r="V81" s="14">
        <f t="shared" si="29"/>
        <v>-7.5180272522031872E-3</v>
      </c>
      <c r="W81" s="14">
        <f t="shared" si="30"/>
        <v>-1.1398299382372575E-2</v>
      </c>
      <c r="X81" s="14">
        <f t="shared" si="31"/>
        <v>-3.6377551220338001E-3</v>
      </c>
      <c r="Y81" s="12">
        <f t="shared" si="32"/>
        <v>1</v>
      </c>
    </row>
    <row r="82" spans="1:25" x14ac:dyDescent="0.3">
      <c r="A82" s="23"/>
      <c r="B82" s="12">
        <v>78</v>
      </c>
      <c r="C82" s="12">
        <v>6.3</v>
      </c>
      <c r="D82" s="12">
        <v>2.2999999999999998</v>
      </c>
      <c r="E82" s="12">
        <v>4.4000000000000004</v>
      </c>
      <c r="F82" s="12">
        <v>1.3</v>
      </c>
      <c r="G82" s="12">
        <v>1</v>
      </c>
      <c r="I82" s="13">
        <f>I81-('Konfigurasi Model'!$B$11*T81)</f>
        <v>0.28021539709759685</v>
      </c>
      <c r="J82" s="13">
        <f>J81-('Konfigurasi Model'!$B$11*U81)</f>
        <v>-0.27933574432905967</v>
      </c>
      <c r="K82" s="13">
        <f>K81-('Konfigurasi Model'!$B$11*V81)</f>
        <v>-0.34567531276215996</v>
      </c>
      <c r="L82" s="13">
        <f>L81-('Konfigurasi Model'!$B$11*W81)</f>
        <v>1.0182129604145496</v>
      </c>
      <c r="M82" s="13">
        <f>M81-('Konfigurasi Model'!$B$11*X81)</f>
        <v>0.80002611377567301</v>
      </c>
      <c r="N82" s="13">
        <f t="shared" si="22"/>
        <v>3.2455179622039472</v>
      </c>
      <c r="O82" s="13">
        <f t="shared" si="23"/>
        <v>0.96251172253616213</v>
      </c>
      <c r="P82" s="12">
        <f t="shared" si="24"/>
        <v>1</v>
      </c>
      <c r="Q82" s="13">
        <f t="shared" si="25"/>
        <v>-3.7488277463837871E-2</v>
      </c>
      <c r="R82" s="13">
        <f t="shared" si="26"/>
        <v>1.4053709472056945E-3</v>
      </c>
      <c r="T82" s="14">
        <f t="shared" si="27"/>
        <v>-2.7053720223944614E-3</v>
      </c>
      <c r="U82" s="14">
        <f t="shared" si="28"/>
        <v>-1.7043843741085106E-2</v>
      </c>
      <c r="V82" s="14">
        <f t="shared" si="29"/>
        <v>-6.2223556515072611E-3</v>
      </c>
      <c r="W82" s="14">
        <f t="shared" si="30"/>
        <v>-1.1903636898535632E-2</v>
      </c>
      <c r="X82" s="14">
        <f t="shared" si="31"/>
        <v>-3.5169836291128001E-3</v>
      </c>
      <c r="Y82" s="12">
        <f t="shared" si="32"/>
        <v>1</v>
      </c>
    </row>
    <row r="83" spans="1:25" x14ac:dyDescent="0.3">
      <c r="A83" s="23"/>
      <c r="B83" s="12">
        <v>79</v>
      </c>
      <c r="C83" s="12">
        <v>5.6</v>
      </c>
      <c r="D83" s="12">
        <v>3</v>
      </c>
      <c r="E83" s="12">
        <v>4.0999999999999996</v>
      </c>
      <c r="F83" s="12">
        <v>1.3</v>
      </c>
      <c r="G83" s="12">
        <v>1</v>
      </c>
      <c r="I83" s="13">
        <f>I82-('Konfigurasi Model'!$B$11*T82)</f>
        <v>0.28048593429983631</v>
      </c>
      <c r="J83" s="13">
        <f>J82-('Konfigurasi Model'!$B$11*U82)</f>
        <v>-0.27763135995495114</v>
      </c>
      <c r="K83" s="13">
        <f>K82-('Konfigurasi Model'!$B$11*V82)</f>
        <v>-0.34505307719700923</v>
      </c>
      <c r="L83" s="13">
        <f>L82-('Konfigurasi Model'!$B$11*W82)</f>
        <v>1.0194033241044032</v>
      </c>
      <c r="M83" s="13">
        <f>M82-('Konfigurasi Model'!$B$11*X82)</f>
        <v>0.80037781213858428</v>
      </c>
      <c r="N83" s="13">
        <f t="shared" si="22"/>
        <v>2.9106358715692942</v>
      </c>
      <c r="O83" s="13">
        <f t="shared" si="23"/>
        <v>0.9483697086120545</v>
      </c>
      <c r="P83" s="12">
        <f t="shared" si="24"/>
        <v>1</v>
      </c>
      <c r="Q83" s="13">
        <f t="shared" si="25"/>
        <v>-5.1630291387945504E-2</v>
      </c>
      <c r="R83" s="13">
        <f t="shared" si="26"/>
        <v>2.6656869888041597E-3</v>
      </c>
      <c r="T83" s="14">
        <f t="shared" si="27"/>
        <v>-5.056113585646292E-3</v>
      </c>
      <c r="U83" s="14">
        <f t="shared" si="28"/>
        <v>-2.8314236079619234E-2</v>
      </c>
      <c r="V83" s="14">
        <f t="shared" si="29"/>
        <v>-1.5168340756938875E-2</v>
      </c>
      <c r="W83" s="14">
        <f t="shared" si="30"/>
        <v>-2.0730065701149797E-2</v>
      </c>
      <c r="X83" s="14">
        <f t="shared" si="31"/>
        <v>-6.5729476613401797E-3</v>
      </c>
      <c r="Y83" s="12">
        <f t="shared" si="32"/>
        <v>1</v>
      </c>
    </row>
    <row r="84" spans="1:25" x14ac:dyDescent="0.3">
      <c r="A84" s="23"/>
      <c r="B84" s="12">
        <v>80</v>
      </c>
      <c r="C84" s="12">
        <v>5.5</v>
      </c>
      <c r="D84" s="12">
        <v>2.5</v>
      </c>
      <c r="E84" s="12">
        <v>4</v>
      </c>
      <c r="F84" s="12">
        <v>1.3</v>
      </c>
      <c r="G84" s="12">
        <v>1</v>
      </c>
      <c r="I84" s="13">
        <f>I83-('Konfigurasi Model'!$B$11*T83)</f>
        <v>0.28099154565840095</v>
      </c>
      <c r="J84" s="13">
        <f>J83-('Konfigurasi Model'!$B$11*U83)</f>
        <v>-0.27479993634698924</v>
      </c>
      <c r="K84" s="13">
        <f>K83-('Konfigurasi Model'!$B$11*V83)</f>
        <v>-0.34353624312131537</v>
      </c>
      <c r="L84" s="13">
        <f>L83-('Konfigurasi Model'!$B$11*W83)</f>
        <v>1.021476330674518</v>
      </c>
      <c r="M84" s="13">
        <f>M83-('Konfigurasi Model'!$B$11*X83)</f>
        <v>0.80103510690471824</v>
      </c>
      <c r="N84" s="13">
        <f t="shared" si="22"/>
        <v>3.0380022496208774</v>
      </c>
      <c r="O84" s="13">
        <f t="shared" si="23"/>
        <v>0.95426171389885661</v>
      </c>
      <c r="P84" s="12">
        <f t="shared" si="24"/>
        <v>1</v>
      </c>
      <c r="Q84" s="13">
        <f t="shared" si="25"/>
        <v>-4.5738286101143388E-2</v>
      </c>
      <c r="R84" s="13">
        <f t="shared" si="26"/>
        <v>2.0919908154700463E-3</v>
      </c>
      <c r="T84" s="14">
        <f t="shared" si="27"/>
        <v>-3.992613482062226E-3</v>
      </c>
      <c r="U84" s="14">
        <f t="shared" si="28"/>
        <v>-2.1959374151342241E-2</v>
      </c>
      <c r="V84" s="14">
        <f t="shared" si="29"/>
        <v>-9.9815337051555649E-3</v>
      </c>
      <c r="W84" s="14">
        <f t="shared" si="30"/>
        <v>-1.5970453928248904E-2</v>
      </c>
      <c r="X84" s="14">
        <f t="shared" si="31"/>
        <v>-5.1903975266808936E-3</v>
      </c>
      <c r="Y84" s="12">
        <f t="shared" si="32"/>
        <v>1</v>
      </c>
    </row>
    <row r="85" spans="1:25" x14ac:dyDescent="0.3">
      <c r="Q85" s="15" t="s">
        <v>74</v>
      </c>
      <c r="R85" s="16">
        <f>AVERAGE(R5:R84)</f>
        <v>2.3811702069879752E-2</v>
      </c>
      <c r="X85" s="15" t="s">
        <v>75</v>
      </c>
      <c r="Y85" s="17">
        <f>AVERAGE(Y5:Y84)</f>
        <v>0.97499999999999998</v>
      </c>
    </row>
    <row r="87" spans="1:25" ht="15.6" x14ac:dyDescent="0.3">
      <c r="A87" s="1" t="s">
        <v>94</v>
      </c>
    </row>
    <row r="88" spans="1:25" x14ac:dyDescent="0.3">
      <c r="G88" s="9" t="s">
        <v>48</v>
      </c>
      <c r="I88" s="25" t="s">
        <v>16</v>
      </c>
      <c r="J88" s="25"/>
      <c r="K88" s="26">
        <f>'Konfigurasi Model'!$B$11</f>
        <v>0.1</v>
      </c>
      <c r="L88" s="26"/>
      <c r="M88" s="26"/>
    </row>
    <row r="89" spans="1:25" ht="15" customHeight="1" x14ac:dyDescent="0.3">
      <c r="G89" s="9" t="s">
        <v>49</v>
      </c>
      <c r="I89" s="24" t="s">
        <v>50</v>
      </c>
      <c r="J89" s="24"/>
      <c r="K89" s="24"/>
      <c r="L89" s="24"/>
      <c r="M89" s="24"/>
      <c r="N89" s="10" t="s">
        <v>51</v>
      </c>
      <c r="O89" s="10" t="s">
        <v>17</v>
      </c>
      <c r="P89" s="24" t="s">
        <v>52</v>
      </c>
      <c r="Q89" s="24" t="s">
        <v>20</v>
      </c>
      <c r="R89" s="24" t="s">
        <v>23</v>
      </c>
    </row>
    <row r="90" spans="1:25" x14ac:dyDescent="0.3">
      <c r="A90" s="10" t="s">
        <v>53</v>
      </c>
      <c r="B90" s="10" t="s">
        <v>54</v>
      </c>
      <c r="C90" s="10" t="s">
        <v>55</v>
      </c>
      <c r="D90" s="10" t="s">
        <v>56</v>
      </c>
      <c r="E90" s="10" t="s">
        <v>57</v>
      </c>
      <c r="F90" s="10" t="s">
        <v>58</v>
      </c>
      <c r="G90" s="10" t="s">
        <v>59</v>
      </c>
      <c r="I90" s="10" t="s">
        <v>60</v>
      </c>
      <c r="J90" s="10" t="s">
        <v>61</v>
      </c>
      <c r="K90" s="10" t="s">
        <v>62</v>
      </c>
      <c r="L90" s="10" t="s">
        <v>63</v>
      </c>
      <c r="M90" s="10" t="s">
        <v>64</v>
      </c>
      <c r="N90" s="10" t="s">
        <v>65</v>
      </c>
      <c r="O90" s="10" t="s">
        <v>66</v>
      </c>
      <c r="P90" s="24"/>
      <c r="Q90" s="24"/>
      <c r="R90" s="24"/>
      <c r="T90" s="10" t="s">
        <v>72</v>
      </c>
    </row>
    <row r="91" spans="1:25" x14ac:dyDescent="0.3">
      <c r="A91" s="23" t="s">
        <v>77</v>
      </c>
      <c r="B91" s="12">
        <v>1</v>
      </c>
      <c r="C91" s="12">
        <v>5</v>
      </c>
      <c r="D91" s="12">
        <v>3.5</v>
      </c>
      <c r="E91" s="12">
        <v>1.3</v>
      </c>
      <c r="F91" s="12">
        <v>0.3</v>
      </c>
      <c r="G91" s="12">
        <v>0</v>
      </c>
      <c r="I91" s="13">
        <f>I84</f>
        <v>0.28099154565840095</v>
      </c>
      <c r="J91" s="13">
        <f>J84</f>
        <v>-0.27479993634698924</v>
      </c>
      <c r="K91" s="13">
        <f>K84</f>
        <v>-0.34353624312131537</v>
      </c>
      <c r="L91" s="13">
        <f>L84</f>
        <v>1.021476330674518</v>
      </c>
      <c r="M91" s="13">
        <f>M84</f>
        <v>0.80103510690471824</v>
      </c>
      <c r="N91" s="13">
        <f t="shared" ref="N91:N110" si="33">I91+J91*C91+K91*D91+L91*E91+M91*F91</f>
        <v>-0.72715522505286012</v>
      </c>
      <c r="O91" s="13">
        <f t="shared" ref="O91:O110" si="34">1/(1+EXP(-N91))</f>
        <v>0.3258193038675351</v>
      </c>
      <c r="P91" s="12">
        <f t="shared" ref="P91:P110" si="35">IF(O91&gt;0.5,1,0)</f>
        <v>0</v>
      </c>
      <c r="Q91" s="13">
        <f t="shared" ref="Q91:Q110" si="36">O91-G91</f>
        <v>0.3258193038675351</v>
      </c>
      <c r="R91" s="13">
        <f t="shared" ref="R91:R110" si="37">Q91^2</f>
        <v>0.10615821877272517</v>
      </c>
      <c r="T91" s="12">
        <f t="shared" ref="T91:T110" si="38">IF(P91=G91,1,0)</f>
        <v>1</v>
      </c>
    </row>
    <row r="92" spans="1:25" x14ac:dyDescent="0.3">
      <c r="A92" s="23"/>
      <c r="B92" s="12">
        <v>2</v>
      </c>
      <c r="C92" s="12">
        <v>4.5</v>
      </c>
      <c r="D92" s="12">
        <v>2.2999999999999998</v>
      </c>
      <c r="E92" s="12">
        <v>1.3</v>
      </c>
      <c r="F92" s="12">
        <v>0.3</v>
      </c>
      <c r="G92" s="12">
        <v>0</v>
      </c>
      <c r="I92" s="13">
        <f t="shared" ref="I92:I110" si="39">I91</f>
        <v>0.28099154565840095</v>
      </c>
      <c r="J92" s="13">
        <f t="shared" ref="J92:J110" si="40">J91</f>
        <v>-0.27479993634698924</v>
      </c>
      <c r="K92" s="13">
        <f t="shared" ref="K92:K110" si="41">K91</f>
        <v>-0.34353624312131537</v>
      </c>
      <c r="L92" s="13">
        <f t="shared" ref="L92:L110" si="42">L91</f>
        <v>1.021476330674518</v>
      </c>
      <c r="M92" s="13">
        <f t="shared" ref="M92:M110" si="43">M91</f>
        <v>0.80103510690471824</v>
      </c>
      <c r="N92" s="13">
        <f t="shared" si="33"/>
        <v>-0.17751176513378691</v>
      </c>
      <c r="O92" s="13">
        <f t="shared" si="34"/>
        <v>0.45573822334629138</v>
      </c>
      <c r="P92" s="12">
        <f t="shared" si="35"/>
        <v>0</v>
      </c>
      <c r="Q92" s="13">
        <f t="shared" si="36"/>
        <v>0.45573822334629138</v>
      </c>
      <c r="R92" s="13">
        <f t="shared" si="37"/>
        <v>0.20769732821883416</v>
      </c>
      <c r="T92" s="12">
        <f t="shared" si="38"/>
        <v>1</v>
      </c>
    </row>
    <row r="93" spans="1:25" x14ac:dyDescent="0.3">
      <c r="A93" s="23"/>
      <c r="B93" s="12">
        <v>3</v>
      </c>
      <c r="C93" s="12">
        <v>4.4000000000000004</v>
      </c>
      <c r="D93" s="12">
        <v>3.2</v>
      </c>
      <c r="E93" s="12">
        <v>1.3</v>
      </c>
      <c r="F93" s="12">
        <v>0.2</v>
      </c>
      <c r="G93" s="12">
        <v>0</v>
      </c>
      <c r="I93" s="13">
        <f t="shared" si="39"/>
        <v>0.28099154565840095</v>
      </c>
      <c r="J93" s="13">
        <f t="shared" si="40"/>
        <v>-0.27479993634698924</v>
      </c>
      <c r="K93" s="13">
        <f t="shared" si="41"/>
        <v>-0.34353624312131537</v>
      </c>
      <c r="L93" s="13">
        <f t="shared" si="42"/>
        <v>1.021476330674518</v>
      </c>
      <c r="M93" s="13">
        <f t="shared" si="43"/>
        <v>0.80103510690471824</v>
      </c>
      <c r="N93" s="13">
        <f t="shared" si="33"/>
        <v>-0.53931790099874388</v>
      </c>
      <c r="O93" s="13">
        <f t="shared" si="34"/>
        <v>0.36834627013726184</v>
      </c>
      <c r="P93" s="12">
        <f t="shared" si="35"/>
        <v>0</v>
      </c>
      <c r="Q93" s="13">
        <f t="shared" si="36"/>
        <v>0.36834627013726184</v>
      </c>
      <c r="R93" s="13">
        <f t="shared" si="37"/>
        <v>0.13567897472403267</v>
      </c>
      <c r="T93" s="12">
        <f t="shared" si="38"/>
        <v>1</v>
      </c>
    </row>
    <row r="94" spans="1:25" x14ac:dyDescent="0.3">
      <c r="A94" s="23"/>
      <c r="B94" s="12">
        <v>4</v>
      </c>
      <c r="C94" s="12">
        <v>5</v>
      </c>
      <c r="D94" s="12">
        <v>3.5</v>
      </c>
      <c r="E94" s="12">
        <v>1.6</v>
      </c>
      <c r="F94" s="12">
        <v>0.6</v>
      </c>
      <c r="G94" s="12">
        <v>0</v>
      </c>
      <c r="I94" s="13">
        <f t="shared" si="39"/>
        <v>0.28099154565840095</v>
      </c>
      <c r="J94" s="13">
        <f t="shared" si="40"/>
        <v>-0.27479993634698924</v>
      </c>
      <c r="K94" s="13">
        <f t="shared" si="41"/>
        <v>-0.34353624312131537</v>
      </c>
      <c r="L94" s="13">
        <f t="shared" si="42"/>
        <v>1.021476330674518</v>
      </c>
      <c r="M94" s="13">
        <f t="shared" si="43"/>
        <v>0.80103510690471824</v>
      </c>
      <c r="N94" s="13">
        <f t="shared" si="33"/>
        <v>-0.18040179377908927</v>
      </c>
      <c r="O94" s="13">
        <f t="shared" si="34"/>
        <v>0.45502147023852502</v>
      </c>
      <c r="P94" s="12">
        <f t="shared" si="35"/>
        <v>0</v>
      </c>
      <c r="Q94" s="13">
        <f t="shared" si="36"/>
        <v>0.45502147023852502</v>
      </c>
      <c r="R94" s="13">
        <f t="shared" si="37"/>
        <v>0.20704453837802891</v>
      </c>
      <c r="T94" s="12">
        <f t="shared" si="38"/>
        <v>1</v>
      </c>
    </row>
    <row r="95" spans="1:25" x14ac:dyDescent="0.3">
      <c r="A95" s="23"/>
      <c r="B95" s="12">
        <v>5</v>
      </c>
      <c r="C95" s="12">
        <v>5.0999999999999996</v>
      </c>
      <c r="D95" s="12">
        <v>3.8</v>
      </c>
      <c r="E95" s="12">
        <v>1.9</v>
      </c>
      <c r="F95" s="12">
        <v>0.4</v>
      </c>
      <c r="G95" s="12">
        <v>0</v>
      </c>
      <c r="I95" s="13">
        <f t="shared" si="39"/>
        <v>0.28099154565840095</v>
      </c>
      <c r="J95" s="13">
        <f t="shared" si="40"/>
        <v>-0.27479993634698924</v>
      </c>
      <c r="K95" s="13">
        <f t="shared" si="41"/>
        <v>-0.34353624312131537</v>
      </c>
      <c r="L95" s="13">
        <f t="shared" si="42"/>
        <v>1.021476330674518</v>
      </c>
      <c r="M95" s="13">
        <f t="shared" si="43"/>
        <v>0.80103510690471824</v>
      </c>
      <c r="N95" s="13">
        <f t="shared" si="33"/>
        <v>-0.16470678252877113</v>
      </c>
      <c r="O95" s="13">
        <f t="shared" si="34"/>
        <v>0.4589161404230318</v>
      </c>
      <c r="P95" s="12">
        <f t="shared" si="35"/>
        <v>0</v>
      </c>
      <c r="Q95" s="13">
        <f t="shared" si="36"/>
        <v>0.4589161404230318</v>
      </c>
      <c r="R95" s="13">
        <f t="shared" si="37"/>
        <v>0.21060402394077185</v>
      </c>
      <c r="T95" s="12">
        <f t="shared" si="38"/>
        <v>1</v>
      </c>
    </row>
    <row r="96" spans="1:25" x14ac:dyDescent="0.3">
      <c r="A96" s="23"/>
      <c r="B96" s="12">
        <v>6</v>
      </c>
      <c r="C96" s="12">
        <v>4.8</v>
      </c>
      <c r="D96" s="12">
        <v>3</v>
      </c>
      <c r="E96" s="12">
        <v>1.4</v>
      </c>
      <c r="F96" s="12">
        <v>0.3</v>
      </c>
      <c r="G96" s="12">
        <v>0</v>
      </c>
      <c r="I96" s="13">
        <f t="shared" si="39"/>
        <v>0.28099154565840095</v>
      </c>
      <c r="J96" s="13">
        <f t="shared" si="40"/>
        <v>-0.27479993634698924</v>
      </c>
      <c r="K96" s="13">
        <f t="shared" si="41"/>
        <v>-0.34353624312131537</v>
      </c>
      <c r="L96" s="13">
        <f t="shared" si="42"/>
        <v>1.021476330674518</v>
      </c>
      <c r="M96" s="13">
        <f t="shared" si="43"/>
        <v>0.80103510690471824</v>
      </c>
      <c r="N96" s="13">
        <f t="shared" si="33"/>
        <v>-0.39827948315535283</v>
      </c>
      <c r="O96" s="13">
        <f t="shared" si="34"/>
        <v>0.40172578264572456</v>
      </c>
      <c r="P96" s="12">
        <f t="shared" si="35"/>
        <v>0</v>
      </c>
      <c r="Q96" s="13">
        <f t="shared" si="36"/>
        <v>0.40172578264572456</v>
      </c>
      <c r="R96" s="13">
        <f t="shared" si="37"/>
        <v>0.16138360444231994</v>
      </c>
      <c r="T96" s="12">
        <f t="shared" si="38"/>
        <v>1</v>
      </c>
    </row>
    <row r="97" spans="1:20" x14ac:dyDescent="0.3">
      <c r="A97" s="23"/>
      <c r="B97" s="12">
        <v>7</v>
      </c>
      <c r="C97" s="12">
        <v>5.0999999999999996</v>
      </c>
      <c r="D97" s="12">
        <v>3.8</v>
      </c>
      <c r="E97" s="12">
        <v>1.6</v>
      </c>
      <c r="F97" s="12">
        <v>0.2</v>
      </c>
      <c r="G97" s="12">
        <v>0</v>
      </c>
      <c r="I97" s="13">
        <f t="shared" si="39"/>
        <v>0.28099154565840095</v>
      </c>
      <c r="J97" s="13">
        <f t="shared" si="40"/>
        <v>-0.27479993634698924</v>
      </c>
      <c r="K97" s="13">
        <f t="shared" si="41"/>
        <v>-0.34353624312131537</v>
      </c>
      <c r="L97" s="13">
        <f t="shared" si="42"/>
        <v>1.021476330674518</v>
      </c>
      <c r="M97" s="13">
        <f t="shared" si="43"/>
        <v>0.80103510690471824</v>
      </c>
      <c r="N97" s="13">
        <f t="shared" si="33"/>
        <v>-0.63135670311206993</v>
      </c>
      <c r="O97" s="13">
        <f t="shared" si="34"/>
        <v>0.34720297317270116</v>
      </c>
      <c r="P97" s="12">
        <f t="shared" si="35"/>
        <v>0</v>
      </c>
      <c r="Q97" s="13">
        <f t="shared" si="36"/>
        <v>0.34720297317270116</v>
      </c>
      <c r="R97" s="13">
        <f t="shared" si="37"/>
        <v>0.12054990457996344</v>
      </c>
      <c r="T97" s="12">
        <f t="shared" si="38"/>
        <v>1</v>
      </c>
    </row>
    <row r="98" spans="1:20" x14ac:dyDescent="0.3">
      <c r="A98" s="23"/>
      <c r="B98" s="12">
        <v>8</v>
      </c>
      <c r="C98" s="12">
        <v>4.5999999999999996</v>
      </c>
      <c r="D98" s="12">
        <v>3.2</v>
      </c>
      <c r="E98" s="12">
        <v>1.4</v>
      </c>
      <c r="F98" s="12">
        <v>0.2</v>
      </c>
      <c r="G98" s="12">
        <v>0</v>
      </c>
      <c r="I98" s="13">
        <f t="shared" si="39"/>
        <v>0.28099154565840095</v>
      </c>
      <c r="J98" s="13">
        <f t="shared" si="40"/>
        <v>-0.27479993634698924</v>
      </c>
      <c r="K98" s="13">
        <f t="shared" si="41"/>
        <v>-0.34353624312131537</v>
      </c>
      <c r="L98" s="13">
        <f t="shared" si="42"/>
        <v>1.021476330674518</v>
      </c>
      <c r="M98" s="13">
        <f t="shared" si="43"/>
        <v>0.80103510690471824</v>
      </c>
      <c r="N98" s="13">
        <f t="shared" si="33"/>
        <v>-0.49213025520068987</v>
      </c>
      <c r="O98" s="13">
        <f t="shared" si="34"/>
        <v>0.37939186252516527</v>
      </c>
      <c r="P98" s="12">
        <f t="shared" si="35"/>
        <v>0</v>
      </c>
      <c r="Q98" s="13">
        <f t="shared" si="36"/>
        <v>0.37939186252516527</v>
      </c>
      <c r="R98" s="13">
        <f t="shared" si="37"/>
        <v>0.14393818535031391</v>
      </c>
      <c r="T98" s="12">
        <f t="shared" si="38"/>
        <v>1</v>
      </c>
    </row>
    <row r="99" spans="1:20" x14ac:dyDescent="0.3">
      <c r="A99" s="23"/>
      <c r="B99" s="12">
        <v>9</v>
      </c>
      <c r="C99" s="12">
        <v>5.3</v>
      </c>
      <c r="D99" s="12">
        <v>3.7</v>
      </c>
      <c r="E99" s="12">
        <v>1.5</v>
      </c>
      <c r="F99" s="12">
        <v>0.2</v>
      </c>
      <c r="G99" s="12">
        <v>0</v>
      </c>
      <c r="I99" s="13">
        <f t="shared" si="39"/>
        <v>0.28099154565840095</v>
      </c>
      <c r="J99" s="13">
        <f t="shared" si="40"/>
        <v>-0.27479993634698924</v>
      </c>
      <c r="K99" s="13">
        <f t="shared" si="41"/>
        <v>-0.34353624312131537</v>
      </c>
      <c r="L99" s="13">
        <f t="shared" si="42"/>
        <v>1.021476330674518</v>
      </c>
      <c r="M99" s="13">
        <f t="shared" si="43"/>
        <v>0.80103510690471824</v>
      </c>
      <c r="N99" s="13">
        <f t="shared" si="33"/>
        <v>-0.75411069913678808</v>
      </c>
      <c r="O99" s="13">
        <f t="shared" si="34"/>
        <v>0.31992626056385109</v>
      </c>
      <c r="P99" s="12">
        <f t="shared" si="35"/>
        <v>0</v>
      </c>
      <c r="Q99" s="13">
        <f t="shared" si="36"/>
        <v>0.31992626056385109</v>
      </c>
      <c r="R99" s="13">
        <f t="shared" si="37"/>
        <v>0.10235281219836914</v>
      </c>
      <c r="T99" s="12">
        <f t="shared" si="38"/>
        <v>1</v>
      </c>
    </row>
    <row r="100" spans="1:20" x14ac:dyDescent="0.3">
      <c r="A100" s="23"/>
      <c r="B100" s="12">
        <v>10</v>
      </c>
      <c r="C100" s="12">
        <v>5</v>
      </c>
      <c r="D100" s="12">
        <v>3.3</v>
      </c>
      <c r="E100" s="12">
        <v>1.4</v>
      </c>
      <c r="F100" s="12">
        <v>0.2</v>
      </c>
      <c r="G100" s="12">
        <v>0</v>
      </c>
      <c r="I100" s="13">
        <f t="shared" si="39"/>
        <v>0.28099154565840095</v>
      </c>
      <c r="J100" s="13">
        <f t="shared" si="40"/>
        <v>-0.27479993634698924</v>
      </c>
      <c r="K100" s="13">
        <f t="shared" si="41"/>
        <v>-0.34353624312131537</v>
      </c>
      <c r="L100" s="13">
        <f t="shared" si="42"/>
        <v>1.021476330674518</v>
      </c>
      <c r="M100" s="13">
        <f t="shared" si="43"/>
        <v>0.80103510690471824</v>
      </c>
      <c r="N100" s="13">
        <f t="shared" si="33"/>
        <v>-0.63640385405161748</v>
      </c>
      <c r="O100" s="13">
        <f t="shared" si="34"/>
        <v>0.34605990487356914</v>
      </c>
      <c r="P100" s="12">
        <f t="shared" si="35"/>
        <v>0</v>
      </c>
      <c r="Q100" s="13">
        <f t="shared" si="36"/>
        <v>0.34605990487356914</v>
      </c>
      <c r="R100" s="13">
        <f t="shared" si="37"/>
        <v>0.11975745776110372</v>
      </c>
      <c r="T100" s="12">
        <f t="shared" si="38"/>
        <v>1</v>
      </c>
    </row>
    <row r="101" spans="1:20" x14ac:dyDescent="0.3">
      <c r="A101" s="23"/>
      <c r="B101" s="12">
        <v>11</v>
      </c>
      <c r="C101" s="12">
        <v>5.5</v>
      </c>
      <c r="D101" s="12">
        <v>2.6</v>
      </c>
      <c r="E101" s="12">
        <v>4.4000000000000004</v>
      </c>
      <c r="F101" s="12">
        <v>1.2</v>
      </c>
      <c r="G101" s="12">
        <v>1</v>
      </c>
      <c r="I101" s="13">
        <f t="shared" si="39"/>
        <v>0.28099154565840095</v>
      </c>
      <c r="J101" s="13">
        <f t="shared" si="40"/>
        <v>-0.27479993634698924</v>
      </c>
      <c r="K101" s="13">
        <f t="shared" si="41"/>
        <v>-0.34353624312131537</v>
      </c>
      <c r="L101" s="13">
        <f t="shared" si="42"/>
        <v>1.021476330674518</v>
      </c>
      <c r="M101" s="13">
        <f t="shared" si="43"/>
        <v>0.80103510690471824</v>
      </c>
      <c r="N101" s="13">
        <f t="shared" si="33"/>
        <v>3.3321356468880818</v>
      </c>
      <c r="O101" s="13">
        <f t="shared" si="34"/>
        <v>0.96551494859232811</v>
      </c>
      <c r="P101" s="12">
        <f t="shared" si="35"/>
        <v>1</v>
      </c>
      <c r="Q101" s="13">
        <f t="shared" si="36"/>
        <v>-3.4485051407671885E-2</v>
      </c>
      <c r="R101" s="13">
        <f t="shared" si="37"/>
        <v>1.1892187705897727E-3</v>
      </c>
      <c r="T101" s="12">
        <f t="shared" si="38"/>
        <v>1</v>
      </c>
    </row>
    <row r="102" spans="1:20" x14ac:dyDescent="0.3">
      <c r="A102" s="23"/>
      <c r="B102" s="12">
        <v>12</v>
      </c>
      <c r="C102" s="12">
        <v>6.1</v>
      </c>
      <c r="D102" s="12">
        <v>3</v>
      </c>
      <c r="E102" s="12">
        <v>4.5999999999999996</v>
      </c>
      <c r="F102" s="12">
        <v>1.4</v>
      </c>
      <c r="G102" s="12">
        <v>1</v>
      </c>
      <c r="I102" s="13">
        <f t="shared" si="39"/>
        <v>0.28099154565840095</v>
      </c>
      <c r="J102" s="13">
        <f t="shared" si="40"/>
        <v>-0.27479993634698924</v>
      </c>
      <c r="K102" s="13">
        <f t="shared" si="41"/>
        <v>-0.34353624312131537</v>
      </c>
      <c r="L102" s="13">
        <f t="shared" si="42"/>
        <v>1.021476330674518</v>
      </c>
      <c r="M102" s="13">
        <f t="shared" si="43"/>
        <v>0.80103510690471824</v>
      </c>
      <c r="N102" s="13">
        <f t="shared" si="33"/>
        <v>3.3943434753472088</v>
      </c>
      <c r="O102" s="13">
        <f t="shared" si="34"/>
        <v>0.96752728649409159</v>
      </c>
      <c r="P102" s="12">
        <f t="shared" si="35"/>
        <v>1</v>
      </c>
      <c r="Q102" s="13">
        <f t="shared" si="36"/>
        <v>-3.2472713505908413E-2</v>
      </c>
      <c r="R102" s="13">
        <f t="shared" si="37"/>
        <v>1.0544771224368066E-3</v>
      </c>
      <c r="T102" s="12">
        <f t="shared" si="38"/>
        <v>1</v>
      </c>
    </row>
    <row r="103" spans="1:20" x14ac:dyDescent="0.3">
      <c r="A103" s="23"/>
      <c r="B103" s="12">
        <v>13</v>
      </c>
      <c r="C103" s="12">
        <v>5.8</v>
      </c>
      <c r="D103" s="12">
        <v>2.6</v>
      </c>
      <c r="E103" s="12">
        <v>4</v>
      </c>
      <c r="F103" s="12">
        <v>1.2</v>
      </c>
      <c r="G103" s="12">
        <v>1</v>
      </c>
      <c r="I103" s="13">
        <f t="shared" si="39"/>
        <v>0.28099154565840095</v>
      </c>
      <c r="J103" s="13">
        <f t="shared" si="40"/>
        <v>-0.27479993634698924</v>
      </c>
      <c r="K103" s="13">
        <f t="shared" si="41"/>
        <v>-0.34353624312131537</v>
      </c>
      <c r="L103" s="13">
        <f t="shared" si="42"/>
        <v>1.021476330674518</v>
      </c>
      <c r="M103" s="13">
        <f t="shared" si="43"/>
        <v>0.80103510690471824</v>
      </c>
      <c r="N103" s="13">
        <f t="shared" si="33"/>
        <v>2.8411051337141773</v>
      </c>
      <c r="O103" s="13">
        <f t="shared" si="34"/>
        <v>0.94485707041624878</v>
      </c>
      <c r="P103" s="12">
        <f t="shared" si="35"/>
        <v>1</v>
      </c>
      <c r="Q103" s="13">
        <f t="shared" si="36"/>
        <v>-5.5142929583751221E-2</v>
      </c>
      <c r="R103" s="13">
        <f t="shared" si="37"/>
        <v>3.0407426830785455E-3</v>
      </c>
      <c r="T103" s="12">
        <f t="shared" si="38"/>
        <v>1</v>
      </c>
    </row>
    <row r="104" spans="1:20" x14ac:dyDescent="0.3">
      <c r="A104" s="23"/>
      <c r="B104" s="12">
        <v>14</v>
      </c>
      <c r="C104" s="12">
        <v>5</v>
      </c>
      <c r="D104" s="12">
        <v>2.2999999999999998</v>
      </c>
      <c r="E104" s="12">
        <v>3.3</v>
      </c>
      <c r="F104" s="12">
        <v>1</v>
      </c>
      <c r="G104" s="12">
        <v>1</v>
      </c>
      <c r="I104" s="13">
        <f t="shared" si="39"/>
        <v>0.28099154565840095</v>
      </c>
      <c r="J104" s="13">
        <f t="shared" si="40"/>
        <v>-0.27479993634698924</v>
      </c>
      <c r="K104" s="13">
        <f t="shared" si="41"/>
        <v>-0.34353624312131537</v>
      </c>
      <c r="L104" s="13">
        <f t="shared" si="42"/>
        <v>1.021476330674518</v>
      </c>
      <c r="M104" s="13">
        <f t="shared" si="43"/>
        <v>0.80103510690471824</v>
      </c>
      <c r="N104" s="13">
        <f t="shared" si="33"/>
        <v>2.2887655028750569</v>
      </c>
      <c r="O104" s="13">
        <f t="shared" si="34"/>
        <v>0.9079423189665986</v>
      </c>
      <c r="P104" s="12">
        <f t="shared" si="35"/>
        <v>1</v>
      </c>
      <c r="Q104" s="13">
        <f t="shared" si="36"/>
        <v>-9.2057681033401395E-2</v>
      </c>
      <c r="R104" s="13">
        <f t="shared" si="37"/>
        <v>8.4746166372474709E-3</v>
      </c>
      <c r="T104" s="12">
        <f t="shared" si="38"/>
        <v>1</v>
      </c>
    </row>
    <row r="105" spans="1:20" x14ac:dyDescent="0.3">
      <c r="A105" s="23"/>
      <c r="B105" s="12">
        <v>15</v>
      </c>
      <c r="C105" s="12">
        <v>5.6</v>
      </c>
      <c r="D105" s="12">
        <v>2.7</v>
      </c>
      <c r="E105" s="12">
        <v>4.2</v>
      </c>
      <c r="F105" s="12">
        <v>1.3</v>
      </c>
      <c r="G105" s="12">
        <v>1</v>
      </c>
      <c r="I105" s="13">
        <f t="shared" si="39"/>
        <v>0.28099154565840095</v>
      </c>
      <c r="J105" s="13">
        <f t="shared" si="40"/>
        <v>-0.27479993634698924</v>
      </c>
      <c r="K105" s="13">
        <f t="shared" si="41"/>
        <v>-0.34353624312131537</v>
      </c>
      <c r="L105" s="13">
        <f t="shared" si="42"/>
        <v>1.021476330674518</v>
      </c>
      <c r="M105" s="13">
        <f t="shared" si="43"/>
        <v>0.80103510690471824</v>
      </c>
      <c r="N105" s="13">
        <f t="shared" si="33"/>
        <v>3.1461102734968192</v>
      </c>
      <c r="O105" s="13">
        <f t="shared" si="34"/>
        <v>0.95875518186248565</v>
      </c>
      <c r="P105" s="12">
        <f t="shared" si="35"/>
        <v>1</v>
      </c>
      <c r="Q105" s="13">
        <f t="shared" si="36"/>
        <v>-4.124481813751435E-2</v>
      </c>
      <c r="R105" s="13">
        <f t="shared" si="37"/>
        <v>1.7011350231966327E-3</v>
      </c>
      <c r="T105" s="12">
        <f t="shared" si="38"/>
        <v>1</v>
      </c>
    </row>
    <row r="106" spans="1:20" x14ac:dyDescent="0.3">
      <c r="A106" s="23"/>
      <c r="B106" s="12">
        <v>16</v>
      </c>
      <c r="C106" s="12">
        <v>5.7</v>
      </c>
      <c r="D106" s="12">
        <v>3</v>
      </c>
      <c r="E106" s="12">
        <v>4.2</v>
      </c>
      <c r="F106" s="12">
        <v>1.2</v>
      </c>
      <c r="G106" s="12">
        <v>1</v>
      </c>
      <c r="I106" s="13">
        <f t="shared" si="39"/>
        <v>0.28099154565840095</v>
      </c>
      <c r="J106" s="13">
        <f t="shared" si="40"/>
        <v>-0.27479993634698924</v>
      </c>
      <c r="K106" s="13">
        <f t="shared" si="41"/>
        <v>-0.34353624312131537</v>
      </c>
      <c r="L106" s="13">
        <f t="shared" si="42"/>
        <v>1.021476330674518</v>
      </c>
      <c r="M106" s="13">
        <f t="shared" si="43"/>
        <v>0.80103510690471824</v>
      </c>
      <c r="N106" s="13">
        <f t="shared" si="33"/>
        <v>2.9354658962352538</v>
      </c>
      <c r="O106" s="13">
        <f t="shared" si="34"/>
        <v>0.94957205343213169</v>
      </c>
      <c r="P106" s="12">
        <f t="shared" si="35"/>
        <v>1</v>
      </c>
      <c r="Q106" s="13">
        <f t="shared" si="36"/>
        <v>-5.0427946567868309E-2</v>
      </c>
      <c r="R106" s="13">
        <f t="shared" si="37"/>
        <v>2.542977795051781E-3</v>
      </c>
      <c r="T106" s="12">
        <f t="shared" si="38"/>
        <v>1</v>
      </c>
    </row>
    <row r="107" spans="1:20" x14ac:dyDescent="0.3">
      <c r="A107" s="23"/>
      <c r="B107" s="12">
        <v>17</v>
      </c>
      <c r="C107" s="12">
        <v>5.7</v>
      </c>
      <c r="D107" s="12">
        <v>2.9</v>
      </c>
      <c r="E107" s="12">
        <v>4.2</v>
      </c>
      <c r="F107" s="12">
        <v>1.3</v>
      </c>
      <c r="G107" s="12">
        <v>1</v>
      </c>
      <c r="I107" s="13">
        <f t="shared" si="39"/>
        <v>0.28099154565840095</v>
      </c>
      <c r="J107" s="13">
        <f t="shared" si="40"/>
        <v>-0.27479993634698924</v>
      </c>
      <c r="K107" s="13">
        <f t="shared" si="41"/>
        <v>-0.34353624312131537</v>
      </c>
      <c r="L107" s="13">
        <f t="shared" si="42"/>
        <v>1.021476330674518</v>
      </c>
      <c r="M107" s="13">
        <f t="shared" si="43"/>
        <v>0.80103510690471824</v>
      </c>
      <c r="N107" s="13">
        <f t="shared" si="33"/>
        <v>3.0499230312378574</v>
      </c>
      <c r="O107" s="13">
        <f t="shared" si="34"/>
        <v>0.95477920343929512</v>
      </c>
      <c r="P107" s="12">
        <f t="shared" si="35"/>
        <v>1</v>
      </c>
      <c r="Q107" s="13">
        <f t="shared" si="36"/>
        <v>-4.5220796560704879E-2</v>
      </c>
      <c r="R107" s="13">
        <f t="shared" si="37"/>
        <v>2.0449204415846581E-3</v>
      </c>
      <c r="T107" s="12">
        <f t="shared" si="38"/>
        <v>1</v>
      </c>
    </row>
    <row r="108" spans="1:20" x14ac:dyDescent="0.3">
      <c r="A108" s="23"/>
      <c r="B108" s="12">
        <v>18</v>
      </c>
      <c r="C108" s="12">
        <v>6.2</v>
      </c>
      <c r="D108" s="12">
        <v>2.9</v>
      </c>
      <c r="E108" s="12">
        <v>4.3</v>
      </c>
      <c r="F108" s="12">
        <v>1.3</v>
      </c>
      <c r="G108" s="12">
        <v>1</v>
      </c>
      <c r="I108" s="13">
        <f t="shared" si="39"/>
        <v>0.28099154565840095</v>
      </c>
      <c r="J108" s="13">
        <f t="shared" si="40"/>
        <v>-0.27479993634698924</v>
      </c>
      <c r="K108" s="13">
        <f t="shared" si="41"/>
        <v>-0.34353624312131537</v>
      </c>
      <c r="L108" s="13">
        <f t="shared" si="42"/>
        <v>1.021476330674518</v>
      </c>
      <c r="M108" s="13">
        <f t="shared" si="43"/>
        <v>0.80103510690471824</v>
      </c>
      <c r="N108" s="13">
        <f t="shared" si="33"/>
        <v>3.0146706961318142</v>
      </c>
      <c r="O108" s="13">
        <f t="shared" si="34"/>
        <v>0.95323251663075326</v>
      </c>
      <c r="P108" s="12">
        <f t="shared" si="35"/>
        <v>1</v>
      </c>
      <c r="Q108" s="13">
        <f t="shared" si="36"/>
        <v>-4.6767483369246743E-2</v>
      </c>
      <c r="R108" s="13">
        <f t="shared" si="37"/>
        <v>2.1871975006927708E-3</v>
      </c>
      <c r="T108" s="12">
        <f t="shared" si="38"/>
        <v>1</v>
      </c>
    </row>
    <row r="109" spans="1:20" x14ac:dyDescent="0.3">
      <c r="A109" s="23"/>
      <c r="B109" s="12">
        <v>19</v>
      </c>
      <c r="C109" s="12">
        <v>5.0999999999999996</v>
      </c>
      <c r="D109" s="12">
        <v>2.5</v>
      </c>
      <c r="E109" s="12">
        <v>3</v>
      </c>
      <c r="F109" s="12">
        <v>1.1000000000000001</v>
      </c>
      <c r="G109" s="12">
        <v>1</v>
      </c>
      <c r="I109" s="13">
        <f t="shared" si="39"/>
        <v>0.28099154565840095</v>
      </c>
      <c r="J109" s="13">
        <f t="shared" si="40"/>
        <v>-0.27479993634698924</v>
      </c>
      <c r="K109" s="13">
        <f t="shared" si="41"/>
        <v>-0.34353624312131537</v>
      </c>
      <c r="L109" s="13">
        <f t="shared" si="42"/>
        <v>1.021476330674518</v>
      </c>
      <c r="M109" s="13">
        <f t="shared" si="43"/>
        <v>0.80103510690471824</v>
      </c>
      <c r="N109" s="13">
        <f t="shared" si="33"/>
        <v>1.9662388721042121</v>
      </c>
      <c r="O109" s="13">
        <f t="shared" si="34"/>
        <v>0.87720655691277005</v>
      </c>
      <c r="P109" s="12">
        <f t="shared" si="35"/>
        <v>1</v>
      </c>
      <c r="Q109" s="13">
        <f t="shared" si="36"/>
        <v>-0.12279344308722995</v>
      </c>
      <c r="R109" s="13">
        <f t="shared" si="37"/>
        <v>1.507822966521678E-2</v>
      </c>
      <c r="T109" s="12">
        <f t="shared" si="38"/>
        <v>1</v>
      </c>
    </row>
    <row r="110" spans="1:20" x14ac:dyDescent="0.3">
      <c r="A110" s="23"/>
      <c r="B110" s="12">
        <v>20</v>
      </c>
      <c r="C110" s="12">
        <v>5.7</v>
      </c>
      <c r="D110" s="12">
        <v>2.8</v>
      </c>
      <c r="E110" s="12">
        <v>4.0999999999999996</v>
      </c>
      <c r="F110" s="12">
        <v>1.3</v>
      </c>
      <c r="G110" s="12">
        <v>1</v>
      </c>
      <c r="I110" s="13">
        <f t="shared" si="39"/>
        <v>0.28099154565840095</v>
      </c>
      <c r="J110" s="13">
        <f t="shared" si="40"/>
        <v>-0.27479993634698924</v>
      </c>
      <c r="K110" s="13">
        <f t="shared" si="41"/>
        <v>-0.34353624312131537</v>
      </c>
      <c r="L110" s="13">
        <f t="shared" si="42"/>
        <v>1.021476330674518</v>
      </c>
      <c r="M110" s="13">
        <f t="shared" si="43"/>
        <v>0.80103510690471824</v>
      </c>
      <c r="N110" s="13">
        <f t="shared" si="33"/>
        <v>2.9821290224825363</v>
      </c>
      <c r="O110" s="13">
        <f t="shared" si="34"/>
        <v>0.95176021453829018</v>
      </c>
      <c r="P110" s="12">
        <f t="shared" si="35"/>
        <v>1</v>
      </c>
      <c r="Q110" s="13">
        <f t="shared" si="36"/>
        <v>-4.8239785461709817E-2</v>
      </c>
      <c r="R110" s="13">
        <f t="shared" si="37"/>
        <v>2.3270769013917897E-3</v>
      </c>
      <c r="T110" s="12">
        <f t="shared" si="38"/>
        <v>1</v>
      </c>
    </row>
    <row r="111" spans="1:20" x14ac:dyDescent="0.3">
      <c r="Q111" s="15" t="s">
        <v>74</v>
      </c>
      <c r="R111" s="16">
        <f>AVERAGE(R91:R110)</f>
        <v>7.7740282045347511E-2</v>
      </c>
      <c r="T111" s="17">
        <f>AVERAGE(T91:T110)</f>
        <v>1</v>
      </c>
    </row>
    <row r="113" spans="1:10" x14ac:dyDescent="0.3">
      <c r="A113" s="2" t="s">
        <v>78</v>
      </c>
      <c r="I113" s="2" t="s">
        <v>79</v>
      </c>
    </row>
    <row r="114" spans="1:10" x14ac:dyDescent="0.3">
      <c r="C114" s="7" t="s">
        <v>52</v>
      </c>
      <c r="I114" s="10" t="s">
        <v>80</v>
      </c>
      <c r="J114" s="10" t="s">
        <v>81</v>
      </c>
    </row>
    <row r="115" spans="1:10" ht="28.8" x14ac:dyDescent="0.3">
      <c r="C115" s="10" t="s">
        <v>82</v>
      </c>
      <c r="D115" s="10" t="s">
        <v>83</v>
      </c>
      <c r="I115" s="4" t="s">
        <v>72</v>
      </c>
      <c r="J115" s="18">
        <f>(C116+D117)/SUM(C116:D117)*100</f>
        <v>100</v>
      </c>
    </row>
    <row r="116" spans="1:10" ht="28.8" x14ac:dyDescent="0.3">
      <c r="A116" s="10" t="s">
        <v>84</v>
      </c>
      <c r="B116" s="10" t="s">
        <v>82</v>
      </c>
      <c r="C116" s="12">
        <f>COUNTIFS($G$91:$G$110,0,$P$91:$P$110,0)</f>
        <v>10</v>
      </c>
      <c r="D116" s="12">
        <f>COUNTIFS($G$91:$G$110,0,$P$91:$P$110,1)</f>
        <v>0</v>
      </c>
      <c r="I116" s="4" t="s">
        <v>85</v>
      </c>
      <c r="J116" s="18">
        <f>IFERROR(D117/(D117+D116)*100,0)</f>
        <v>100</v>
      </c>
    </row>
    <row r="117" spans="1:10" ht="43.2" x14ac:dyDescent="0.3">
      <c r="B117" s="10" t="s">
        <v>83</v>
      </c>
      <c r="C117" s="12">
        <f>COUNTIFS($G$91:$G$110,1,$P$91:$P$110,0)</f>
        <v>0</v>
      </c>
      <c r="D117" s="12">
        <f>COUNTIFS($G$91:$G$110,1,$P$91:$P$110,1)</f>
        <v>10</v>
      </c>
      <c r="I117" s="4" t="s">
        <v>86</v>
      </c>
      <c r="J117" s="18">
        <f>IFERROR(D117/(D117+C117)*100,0)</f>
        <v>100</v>
      </c>
    </row>
    <row r="118" spans="1:10" x14ac:dyDescent="0.3">
      <c r="I118" s="4" t="s">
        <v>87</v>
      </c>
      <c r="J118" s="18">
        <f>IFERROR(2*(J116*J117)/(J116+J117),0)</f>
        <v>100</v>
      </c>
    </row>
    <row r="119" spans="1:10" x14ac:dyDescent="0.3">
      <c r="I119" s="8" t="s">
        <v>88</v>
      </c>
    </row>
  </sheetData>
  <mergeCells count="14">
    <mergeCell ref="I2:J2"/>
    <mergeCell ref="K2:M2"/>
    <mergeCell ref="I3:M3"/>
    <mergeCell ref="P3:P4"/>
    <mergeCell ref="Q3:Q4"/>
    <mergeCell ref="A91:A110"/>
    <mergeCell ref="R3:R4"/>
    <mergeCell ref="A5:A84"/>
    <mergeCell ref="I88:J88"/>
    <mergeCell ref="K88:M88"/>
    <mergeCell ref="I89:M89"/>
    <mergeCell ref="P89:P90"/>
    <mergeCell ref="Q89:Q90"/>
    <mergeCell ref="R89:R9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19"/>
  <sheetViews>
    <sheetView zoomScaleNormal="100" workbookViewId="0">
      <pane ySplit="4" topLeftCell="A103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.5546875" customWidth="1"/>
    <col min="3" max="6" width="9" customWidth="1"/>
    <col min="7" max="7" width="12.109375" bestFit="1" customWidth="1"/>
    <col min="8" max="8" width="2.44140625" customWidth="1"/>
    <col min="9" max="15" width="11.44140625" customWidth="1"/>
    <col min="16" max="16" width="10" customWidth="1"/>
    <col min="17" max="17" width="12" customWidth="1"/>
    <col min="18" max="18" width="17" customWidth="1"/>
    <col min="19" max="19" width="2.44140625" customWidth="1"/>
    <col min="20" max="24" width="11" customWidth="1"/>
    <col min="25" max="25" width="9" customWidth="1"/>
  </cols>
  <sheetData>
    <row r="1" spans="1:25" ht="15.6" x14ac:dyDescent="0.3">
      <c r="A1" s="1" t="s">
        <v>95</v>
      </c>
    </row>
    <row r="2" spans="1:25" x14ac:dyDescent="0.3">
      <c r="G2" s="9" t="s">
        <v>48</v>
      </c>
      <c r="I2" s="25" t="s">
        <v>16</v>
      </c>
      <c r="J2" s="25"/>
      <c r="K2" s="26">
        <f>'Konfigurasi Model'!$B$11</f>
        <v>0.1</v>
      </c>
      <c r="L2" s="26"/>
      <c r="M2" s="26"/>
    </row>
    <row r="3" spans="1:25" ht="15" customHeight="1" x14ac:dyDescent="0.3">
      <c r="G3" s="9" t="s">
        <v>49</v>
      </c>
      <c r="I3" s="24" t="s">
        <v>50</v>
      </c>
      <c r="J3" s="24"/>
      <c r="K3" s="24"/>
      <c r="L3" s="24"/>
      <c r="M3" s="24"/>
      <c r="N3" s="10" t="s">
        <v>51</v>
      </c>
      <c r="O3" s="10" t="s">
        <v>17</v>
      </c>
      <c r="P3" s="24" t="s">
        <v>52</v>
      </c>
      <c r="Q3" s="24" t="s">
        <v>20</v>
      </c>
      <c r="R3" s="24" t="s">
        <v>23</v>
      </c>
    </row>
    <row r="4" spans="1:25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  <c r="O4" s="10" t="s">
        <v>66</v>
      </c>
      <c r="P4" s="24"/>
      <c r="Q4" s="24"/>
      <c r="R4" s="24"/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0" t="s">
        <v>72</v>
      </c>
    </row>
    <row r="5" spans="1:25" x14ac:dyDescent="0.3">
      <c r="A5" s="23" t="s">
        <v>96</v>
      </c>
      <c r="B5" s="12">
        <v>1</v>
      </c>
      <c r="C5" s="12">
        <v>5.0999999999999996</v>
      </c>
      <c r="D5" s="12">
        <v>3.5</v>
      </c>
      <c r="E5" s="12">
        <v>1.4</v>
      </c>
      <c r="F5" s="12">
        <v>0.2</v>
      </c>
      <c r="G5" s="12">
        <v>0</v>
      </c>
      <c r="I5" s="13">
        <f>'Epoch 3'!I84</f>
        <v>0.28099154565840095</v>
      </c>
      <c r="J5" s="13">
        <f>'Epoch 3'!J84</f>
        <v>-0.27479993634698924</v>
      </c>
      <c r="K5" s="13">
        <f>'Epoch 3'!K84</f>
        <v>-0.34353624312131537</v>
      </c>
      <c r="L5" s="13">
        <f>'Epoch 3'!L84</f>
        <v>1.021476330674518</v>
      </c>
      <c r="M5" s="13">
        <f>'Epoch 3'!M84</f>
        <v>0.80103510690471824</v>
      </c>
      <c r="N5" s="13">
        <f t="shared" ref="N5:N36" si="0">I5+J5*C5+K5*D5+L5*E5+M5*F5</f>
        <v>-0.73259109631057928</v>
      </c>
      <c r="O5" s="13">
        <f t="shared" ref="O5:O36" si="1">1/(1+EXP(-N5))</f>
        <v>0.32462638690827167</v>
      </c>
      <c r="P5" s="12">
        <f t="shared" ref="P5:P36" si="2">IF(O5&gt;0.5,1,0)</f>
        <v>0</v>
      </c>
      <c r="Q5" s="13">
        <f t="shared" ref="Q5:Q36" si="3">O5-G5</f>
        <v>0.32462638690827167</v>
      </c>
      <c r="R5" s="13">
        <f t="shared" ref="R5:R36" si="4">Q5^2</f>
        <v>0.1053822910771189</v>
      </c>
      <c r="T5" s="14">
        <f t="shared" ref="T5:T36" si="5">2*(O5-G5)*(1-O5)*O5</f>
        <v>0.14234483736127598</v>
      </c>
      <c r="U5" s="14">
        <f t="shared" ref="U5:U36" si="6">2*(O5-G5)*(1-O5)*O5*C5</f>
        <v>0.72595867054250751</v>
      </c>
      <c r="V5" s="14">
        <f t="shared" ref="V5:V36" si="7">2*(O5-G5)*(1-O5)*O5*D5</f>
        <v>0.49820693076446593</v>
      </c>
      <c r="W5" s="14">
        <f t="shared" ref="W5:W36" si="8">2*(O5-G5)*(1-O5)*O5*E5</f>
        <v>0.19928277230578637</v>
      </c>
      <c r="X5" s="14">
        <f t="shared" ref="X5:X36" si="9">2*(O5-G5)*(1-O5)*O5*F5</f>
        <v>2.8468967472255198E-2</v>
      </c>
      <c r="Y5" s="12">
        <f t="shared" ref="Y5:Y36" si="10">IF(P5=G5,1,0)</f>
        <v>1</v>
      </c>
    </row>
    <row r="6" spans="1:25" x14ac:dyDescent="0.3">
      <c r="A6" s="23"/>
      <c r="B6" s="12">
        <v>2</v>
      </c>
      <c r="C6" s="12">
        <v>4.9000000000000004</v>
      </c>
      <c r="D6" s="12">
        <v>3</v>
      </c>
      <c r="E6" s="12">
        <v>1.4</v>
      </c>
      <c r="F6" s="12">
        <v>0.2</v>
      </c>
      <c r="G6" s="12">
        <v>0</v>
      </c>
      <c r="I6" s="13">
        <f>I5-('Konfigurasi Model'!$B$11*T5)</f>
        <v>0.26675706192227333</v>
      </c>
      <c r="J6" s="13">
        <f>J5-('Konfigurasi Model'!$B$11*U5)</f>
        <v>-0.34739580340123999</v>
      </c>
      <c r="K6" s="13">
        <f>K5-('Konfigurasi Model'!$B$11*V5)</f>
        <v>-0.39335693619776196</v>
      </c>
      <c r="L6" s="13">
        <f>L5-('Konfigurasi Model'!$B$11*W5)</f>
        <v>1.0015480534439394</v>
      </c>
      <c r="M6" s="13">
        <f>M5-('Konfigurasi Model'!$B$11*X5)</f>
        <v>0.79818821015749275</v>
      </c>
      <c r="N6" s="13">
        <f t="shared" si="0"/>
        <v>-1.0537482664840749</v>
      </c>
      <c r="O6" s="13">
        <f t="shared" si="1"/>
        <v>0.25850598061041696</v>
      </c>
      <c r="P6" s="12">
        <f t="shared" si="2"/>
        <v>0</v>
      </c>
      <c r="Q6" s="13">
        <f t="shared" si="3"/>
        <v>0.25850598061041696</v>
      </c>
      <c r="R6" s="13">
        <f t="shared" si="4"/>
        <v>6.6825342011353275E-2</v>
      </c>
      <c r="T6" s="14">
        <f t="shared" si="5"/>
        <v>9.91011828901638E-2</v>
      </c>
      <c r="U6" s="14">
        <f t="shared" si="6"/>
        <v>0.48559579616180265</v>
      </c>
      <c r="V6" s="14">
        <f t="shared" si="7"/>
        <v>0.29730354867049141</v>
      </c>
      <c r="W6" s="14">
        <f t="shared" si="8"/>
        <v>0.13874165604622932</v>
      </c>
      <c r="X6" s="14">
        <f t="shared" si="9"/>
        <v>1.9820236578032762E-2</v>
      </c>
      <c r="Y6" s="12">
        <f t="shared" si="10"/>
        <v>1</v>
      </c>
    </row>
    <row r="7" spans="1:25" x14ac:dyDescent="0.3">
      <c r="A7" s="23"/>
      <c r="B7" s="12">
        <v>3</v>
      </c>
      <c r="C7" s="12">
        <v>4.7</v>
      </c>
      <c r="D7" s="12">
        <v>3.2</v>
      </c>
      <c r="E7" s="12">
        <v>1.3</v>
      </c>
      <c r="F7" s="12">
        <v>0.2</v>
      </c>
      <c r="G7" s="12">
        <v>0</v>
      </c>
      <c r="I7" s="13">
        <f>I6-('Konfigurasi Model'!$B$11*T6)</f>
        <v>0.25684694363325694</v>
      </c>
      <c r="J7" s="13">
        <f>J6-('Konfigurasi Model'!$B$11*U6)</f>
        <v>-0.39595538301742028</v>
      </c>
      <c r="K7" s="13">
        <f>K6-('Konfigurasi Model'!$B$11*V6)</f>
        <v>-0.42308729106481113</v>
      </c>
      <c r="L7" s="13">
        <f>L6-('Konfigurasi Model'!$B$11*W6)</f>
        <v>0.98767388783931642</v>
      </c>
      <c r="M7" s="13">
        <f>M6-('Konfigurasi Model'!$B$11*X6)</f>
        <v>0.79620618649968944</v>
      </c>
      <c r="N7" s="13">
        <f t="shared" si="0"/>
        <v>-1.5148053964649653</v>
      </c>
      <c r="O7" s="13">
        <f t="shared" si="1"/>
        <v>0.18022772524288638</v>
      </c>
      <c r="P7" s="12">
        <f t="shared" si="2"/>
        <v>0</v>
      </c>
      <c r="Q7" s="13">
        <f t="shared" si="3"/>
        <v>0.18022772524288638</v>
      </c>
      <c r="R7" s="13">
        <f t="shared" si="4"/>
        <v>3.2482032946225342E-2</v>
      </c>
      <c r="T7" s="14">
        <f t="shared" si="5"/>
        <v>5.325574007412532E-2</v>
      </c>
      <c r="U7" s="14">
        <f t="shared" si="6"/>
        <v>0.25030197834838902</v>
      </c>
      <c r="V7" s="14">
        <f t="shared" si="7"/>
        <v>0.17041836823720102</v>
      </c>
      <c r="W7" s="14">
        <f t="shared" si="8"/>
        <v>6.9232462096362912E-2</v>
      </c>
      <c r="X7" s="14">
        <f t="shared" si="9"/>
        <v>1.0651148014825064E-2</v>
      </c>
      <c r="Y7" s="12">
        <f t="shared" si="10"/>
        <v>1</v>
      </c>
    </row>
    <row r="8" spans="1:25" x14ac:dyDescent="0.3">
      <c r="A8" s="23"/>
      <c r="B8" s="12">
        <v>4</v>
      </c>
      <c r="C8" s="12">
        <v>4.5999999999999996</v>
      </c>
      <c r="D8" s="12">
        <v>3.1</v>
      </c>
      <c r="E8" s="12">
        <v>1.5</v>
      </c>
      <c r="F8" s="12">
        <v>0.2</v>
      </c>
      <c r="G8" s="12">
        <v>0</v>
      </c>
      <c r="I8" s="13">
        <f>I7-('Konfigurasi Model'!$B$11*T7)</f>
        <v>0.25152136962584443</v>
      </c>
      <c r="J8" s="13">
        <f>J7-('Konfigurasi Model'!$B$11*U7)</f>
        <v>-0.42098558085225918</v>
      </c>
      <c r="K8" s="13">
        <f>K7-('Konfigurasi Model'!$B$11*V7)</f>
        <v>-0.44012912788853126</v>
      </c>
      <c r="L8" s="13">
        <f>L7-('Konfigurasi Model'!$B$11*W7)</f>
        <v>0.98075064162968018</v>
      </c>
      <c r="M8" s="13">
        <f>M7-('Konfigurasi Model'!$B$11*X7)</f>
        <v>0.79514107169820691</v>
      </c>
      <c r="N8" s="13">
        <f t="shared" si="0"/>
        <v>-1.419258421964833</v>
      </c>
      <c r="O8" s="13">
        <f t="shared" si="1"/>
        <v>0.19477786595654167</v>
      </c>
      <c r="P8" s="12">
        <f t="shared" si="2"/>
        <v>0</v>
      </c>
      <c r="Q8" s="13">
        <f t="shared" si="3"/>
        <v>0.19477786595654167</v>
      </c>
      <c r="R8" s="13">
        <f t="shared" si="4"/>
        <v>3.7938417066584518E-2</v>
      </c>
      <c r="T8" s="14">
        <f t="shared" si="5"/>
        <v>6.1097706305171889E-2</v>
      </c>
      <c r="U8" s="14">
        <f t="shared" si="6"/>
        <v>0.2810494490037907</v>
      </c>
      <c r="V8" s="14">
        <f t="shared" si="7"/>
        <v>0.18940288954603285</v>
      </c>
      <c r="W8" s="14">
        <f t="shared" si="8"/>
        <v>9.1646559457757834E-2</v>
      </c>
      <c r="X8" s="14">
        <f t="shared" si="9"/>
        <v>1.2219541261034379E-2</v>
      </c>
      <c r="Y8" s="12">
        <f t="shared" si="10"/>
        <v>1</v>
      </c>
    </row>
    <row r="9" spans="1:25" x14ac:dyDescent="0.3">
      <c r="A9" s="23"/>
      <c r="B9" s="12">
        <v>5</v>
      </c>
      <c r="C9" s="12">
        <v>5</v>
      </c>
      <c r="D9" s="12">
        <v>3.6</v>
      </c>
      <c r="E9" s="12">
        <v>1.4</v>
      </c>
      <c r="F9" s="12">
        <v>0.2</v>
      </c>
      <c r="G9" s="12">
        <v>0</v>
      </c>
      <c r="I9" s="13">
        <f>I8-('Konfigurasi Model'!$B$11*T8)</f>
        <v>0.24541159899532725</v>
      </c>
      <c r="J9" s="13">
        <f>J8-('Konfigurasi Model'!$B$11*U8)</f>
        <v>-0.44909052575263825</v>
      </c>
      <c r="K9" s="13">
        <f>K8-('Konfigurasi Model'!$B$11*V8)</f>
        <v>-0.45906941684313451</v>
      </c>
      <c r="L9" s="13">
        <f>L8-('Konfigurasi Model'!$B$11*W8)</f>
        <v>0.97158598568390442</v>
      </c>
      <c r="M9" s="13">
        <f>M8-('Konfigurasi Model'!$B$11*X8)</f>
        <v>0.79391911757210343</v>
      </c>
      <c r="N9" s="13">
        <f t="shared" si="0"/>
        <v>-2.1336867269312609</v>
      </c>
      <c r="O9" s="13">
        <f t="shared" si="1"/>
        <v>0.10586550604490255</v>
      </c>
      <c r="P9" s="12">
        <f t="shared" si="2"/>
        <v>0</v>
      </c>
      <c r="Q9" s="13">
        <f t="shared" si="3"/>
        <v>0.10586550604490255</v>
      </c>
      <c r="R9" s="13">
        <f t="shared" si="4"/>
        <v>1.1207505370143299E-2</v>
      </c>
      <c r="T9" s="14">
        <f t="shared" si="5"/>
        <v>2.0042034285264233E-2</v>
      </c>
      <c r="U9" s="14">
        <f t="shared" si="6"/>
        <v>0.10021017142632116</v>
      </c>
      <c r="V9" s="14">
        <f t="shared" si="7"/>
        <v>7.2151323426951242E-2</v>
      </c>
      <c r="W9" s="14">
        <f t="shared" si="8"/>
        <v>2.8058847999369925E-2</v>
      </c>
      <c r="X9" s="14">
        <f t="shared" si="9"/>
        <v>4.008406857052847E-3</v>
      </c>
      <c r="Y9" s="12">
        <f t="shared" si="10"/>
        <v>1</v>
      </c>
    </row>
    <row r="10" spans="1:25" x14ac:dyDescent="0.3">
      <c r="A10" s="23"/>
      <c r="B10" s="12">
        <v>6</v>
      </c>
      <c r="C10" s="12">
        <v>5.4</v>
      </c>
      <c r="D10" s="12">
        <v>3.9</v>
      </c>
      <c r="E10" s="12">
        <v>1.7</v>
      </c>
      <c r="F10" s="12">
        <v>0.4</v>
      </c>
      <c r="G10" s="12">
        <v>0</v>
      </c>
      <c r="I10" s="13">
        <f>I9-('Konfigurasi Model'!$B$11*T9)</f>
        <v>0.24340739556680083</v>
      </c>
      <c r="J10" s="13">
        <f>J9-('Konfigurasi Model'!$B$11*U9)</f>
        <v>-0.45911154289527034</v>
      </c>
      <c r="K10" s="13">
        <f>K9-('Konfigurasi Model'!$B$11*V9)</f>
        <v>-0.46628454918582962</v>
      </c>
      <c r="L10" s="13">
        <f>L9-('Konfigurasi Model'!$B$11*W9)</f>
        <v>0.96878010088396738</v>
      </c>
      <c r="M10" s="13">
        <f>M9-('Konfigurasi Model'!$B$11*X9)</f>
        <v>0.79351827688639809</v>
      </c>
      <c r="N10" s="13">
        <f t="shared" si="0"/>
        <v>-2.089971195635091</v>
      </c>
      <c r="O10" s="13">
        <f t="shared" si="1"/>
        <v>0.11007539597192448</v>
      </c>
      <c r="P10" s="12">
        <f t="shared" si="2"/>
        <v>0</v>
      </c>
      <c r="Q10" s="13">
        <f t="shared" si="3"/>
        <v>0.11007539597192448</v>
      </c>
      <c r="R10" s="13">
        <f t="shared" si="4"/>
        <v>1.2116592798375967E-2</v>
      </c>
      <c r="T10" s="14">
        <f t="shared" si="5"/>
        <v>2.1565708096528326E-2</v>
      </c>
      <c r="U10" s="14">
        <f t="shared" si="6"/>
        <v>0.11645482372125297</v>
      </c>
      <c r="V10" s="14">
        <f t="shared" si="7"/>
        <v>8.4106261576460464E-2</v>
      </c>
      <c r="W10" s="14">
        <f t="shared" si="8"/>
        <v>3.6661703764098157E-2</v>
      </c>
      <c r="X10" s="14">
        <f t="shared" si="9"/>
        <v>8.6262832386113306E-3</v>
      </c>
      <c r="Y10" s="12">
        <f t="shared" si="10"/>
        <v>1</v>
      </c>
    </row>
    <row r="11" spans="1:25" x14ac:dyDescent="0.3">
      <c r="A11" s="23"/>
      <c r="B11" s="12">
        <v>7</v>
      </c>
      <c r="C11" s="12">
        <v>4.5999999999999996</v>
      </c>
      <c r="D11" s="12">
        <v>3.4</v>
      </c>
      <c r="E11" s="12">
        <v>1.4</v>
      </c>
      <c r="F11" s="12">
        <v>0.3</v>
      </c>
      <c r="G11" s="12">
        <v>0</v>
      </c>
      <c r="I11" s="13">
        <f>I10-('Konfigurasi Model'!$B$11*T10)</f>
        <v>0.24125082475714799</v>
      </c>
      <c r="J11" s="13">
        <f>J10-('Konfigurasi Model'!$B$11*U10)</f>
        <v>-0.47075702526739566</v>
      </c>
      <c r="K11" s="13">
        <f>K10-('Konfigurasi Model'!$B$11*V10)</f>
        <v>-0.47469517534347566</v>
      </c>
      <c r="L11" s="13">
        <f>L10-('Konfigurasi Model'!$B$11*W10)</f>
        <v>0.96511393050755756</v>
      </c>
      <c r="M11" s="13">
        <f>M10-('Konfigurasi Model'!$B$11*X10)</f>
        <v>0.79265564856253701</v>
      </c>
      <c r="N11" s="13">
        <f t="shared" si="0"/>
        <v>-1.9492388903613476</v>
      </c>
      <c r="O11" s="13">
        <f t="shared" si="1"/>
        <v>0.12463637316279431</v>
      </c>
      <c r="P11" s="12">
        <f t="shared" si="2"/>
        <v>0</v>
      </c>
      <c r="Q11" s="13">
        <f t="shared" si="3"/>
        <v>0.12463637316279431</v>
      </c>
      <c r="R11" s="13">
        <f t="shared" si="4"/>
        <v>1.5534225515175314E-2</v>
      </c>
      <c r="T11" s="14">
        <f t="shared" si="5"/>
        <v>2.7196191974141845E-2</v>
      </c>
      <c r="U11" s="14">
        <f t="shared" si="6"/>
        <v>0.12510248308105248</v>
      </c>
      <c r="V11" s="14">
        <f t="shared" si="7"/>
        <v>9.2467052712082276E-2</v>
      </c>
      <c r="W11" s="14">
        <f t="shared" si="8"/>
        <v>3.8074668763798579E-2</v>
      </c>
      <c r="X11" s="14">
        <f t="shared" si="9"/>
        <v>8.1588575922425539E-3</v>
      </c>
      <c r="Y11" s="12">
        <f t="shared" si="10"/>
        <v>1</v>
      </c>
    </row>
    <row r="12" spans="1:25" x14ac:dyDescent="0.3">
      <c r="A12" s="23"/>
      <c r="B12" s="12">
        <v>8</v>
      </c>
      <c r="C12" s="12">
        <v>5</v>
      </c>
      <c r="D12" s="12">
        <v>3.4</v>
      </c>
      <c r="E12" s="12">
        <v>1.5</v>
      </c>
      <c r="F12" s="12">
        <v>0.2</v>
      </c>
      <c r="G12" s="12">
        <v>0</v>
      </c>
      <c r="I12" s="13">
        <f>I11-('Konfigurasi Model'!$B$11*T11)</f>
        <v>0.23853120555973381</v>
      </c>
      <c r="J12" s="13">
        <f>J11-('Konfigurasi Model'!$B$11*U11)</f>
        <v>-0.48326727357550092</v>
      </c>
      <c r="K12" s="13">
        <f>K11-('Konfigurasi Model'!$B$11*V11)</f>
        <v>-0.48394188061468391</v>
      </c>
      <c r="L12" s="13">
        <f>L11-('Konfigurasi Model'!$B$11*W11)</f>
        <v>0.96130646363117767</v>
      </c>
      <c r="M12" s="13">
        <f>M11-('Konfigurasi Model'!$B$11*X11)</f>
        <v>0.7918397628033127</v>
      </c>
      <c r="N12" s="13">
        <f t="shared" si="0"/>
        <v>-2.2228799084002668</v>
      </c>
      <c r="O12" s="13">
        <f t="shared" si="1"/>
        <v>9.7714598647688403E-2</v>
      </c>
      <c r="P12" s="12">
        <f t="shared" si="2"/>
        <v>0</v>
      </c>
      <c r="Q12" s="13">
        <f t="shared" si="3"/>
        <v>9.7714598647688403E-2</v>
      </c>
      <c r="R12" s="13">
        <f t="shared" si="4"/>
        <v>9.5481427888788276E-3</v>
      </c>
      <c r="T12" s="14">
        <f t="shared" si="5"/>
        <v>1.7230299696865424E-2</v>
      </c>
      <c r="U12" s="14">
        <f t="shared" si="6"/>
        <v>8.6151498484327127E-2</v>
      </c>
      <c r="V12" s="14">
        <f t="shared" si="7"/>
        <v>5.858301896934244E-2</v>
      </c>
      <c r="W12" s="14">
        <f t="shared" si="8"/>
        <v>2.5845449545298136E-2</v>
      </c>
      <c r="X12" s="14">
        <f t="shared" si="9"/>
        <v>3.446059939373085E-3</v>
      </c>
      <c r="Y12" s="12">
        <f t="shared" si="10"/>
        <v>1</v>
      </c>
    </row>
    <row r="13" spans="1:25" x14ac:dyDescent="0.3">
      <c r="A13" s="23"/>
      <c r="B13" s="12">
        <v>9</v>
      </c>
      <c r="C13" s="12">
        <v>4.4000000000000004</v>
      </c>
      <c r="D13" s="12">
        <v>2.9</v>
      </c>
      <c r="E13" s="12">
        <v>1.4</v>
      </c>
      <c r="F13" s="12">
        <v>0.2</v>
      </c>
      <c r="G13" s="12">
        <v>0</v>
      </c>
      <c r="I13" s="13">
        <f>I12-('Konfigurasi Model'!$B$11*T12)</f>
        <v>0.23680817559004727</v>
      </c>
      <c r="J13" s="13">
        <f>J12-('Konfigurasi Model'!$B$11*U12)</f>
        <v>-0.49188242342393362</v>
      </c>
      <c r="K13" s="13">
        <f>K12-('Konfigurasi Model'!$B$11*V12)</f>
        <v>-0.48980018251161817</v>
      </c>
      <c r="L13" s="13">
        <f>L12-('Konfigurasi Model'!$B$11*W12)</f>
        <v>0.9587219186766478</v>
      </c>
      <c r="M13" s="13">
        <f>M12-('Konfigurasi Model'!$B$11*X12)</f>
        <v>0.79149515680937543</v>
      </c>
      <c r="N13" s="13">
        <f t="shared" si="0"/>
        <v>-1.8473852992497719</v>
      </c>
      <c r="O13" s="13">
        <f t="shared" si="1"/>
        <v>0.13618018521192324</v>
      </c>
      <c r="P13" s="12">
        <f t="shared" si="2"/>
        <v>0</v>
      </c>
      <c r="Q13" s="13">
        <f t="shared" si="3"/>
        <v>0.13618018521192324</v>
      </c>
      <c r="R13" s="13">
        <f t="shared" si="4"/>
        <v>1.8545042844353717E-2</v>
      </c>
      <c r="T13" s="14">
        <f t="shared" si="5"/>
        <v>3.2039150950093152E-2</v>
      </c>
      <c r="U13" s="14">
        <f t="shared" si="6"/>
        <v>0.1409722641804099</v>
      </c>
      <c r="V13" s="14">
        <f t="shared" si="7"/>
        <v>9.2913537755270142E-2</v>
      </c>
      <c r="W13" s="14">
        <f t="shared" si="8"/>
        <v>4.485481133013041E-2</v>
      </c>
      <c r="X13" s="14">
        <f t="shared" si="9"/>
        <v>6.4078301900186308E-3</v>
      </c>
      <c r="Y13" s="12">
        <f t="shared" si="10"/>
        <v>1</v>
      </c>
    </row>
    <row r="14" spans="1:25" x14ac:dyDescent="0.3">
      <c r="A14" s="23"/>
      <c r="B14" s="12">
        <v>10</v>
      </c>
      <c r="C14" s="12">
        <v>4.9000000000000004</v>
      </c>
      <c r="D14" s="12">
        <v>3.1</v>
      </c>
      <c r="E14" s="12">
        <v>1.5</v>
      </c>
      <c r="F14" s="12">
        <v>0.1</v>
      </c>
      <c r="G14" s="12">
        <v>0</v>
      </c>
      <c r="I14" s="13">
        <f>I13-('Konfigurasi Model'!$B$11*T13)</f>
        <v>0.23360426049503796</v>
      </c>
      <c r="J14" s="13">
        <f>J13-('Konfigurasi Model'!$B$11*U13)</f>
        <v>-0.50597964984197463</v>
      </c>
      <c r="K14" s="13">
        <f>K13-('Konfigurasi Model'!$B$11*V13)</f>
        <v>-0.4990915362871452</v>
      </c>
      <c r="L14" s="13">
        <f>L13-('Konfigurasi Model'!$B$11*W13)</f>
        <v>0.95423643754363474</v>
      </c>
      <c r="M14" s="13">
        <f>M13-('Konfigurasi Model'!$B$11*X13)</f>
        <v>0.7908543737903736</v>
      </c>
      <c r="N14" s="13">
        <f t="shared" si="0"/>
        <v>-2.2824396925262982</v>
      </c>
      <c r="O14" s="13">
        <f t="shared" si="1"/>
        <v>9.2587777829081411E-2</v>
      </c>
      <c r="P14" s="12">
        <f t="shared" si="2"/>
        <v>0</v>
      </c>
      <c r="Q14" s="13">
        <f t="shared" si="3"/>
        <v>9.2587777829081411E-2</v>
      </c>
      <c r="R14" s="13">
        <f t="shared" si="4"/>
        <v>8.5724966033273384E-3</v>
      </c>
      <c r="T14" s="14">
        <f t="shared" si="5"/>
        <v>1.5557576384755824E-2</v>
      </c>
      <c r="U14" s="14">
        <f t="shared" si="6"/>
        <v>7.6232124285303543E-2</v>
      </c>
      <c r="V14" s="14">
        <f t="shared" si="7"/>
        <v>4.822848679274306E-2</v>
      </c>
      <c r="W14" s="14">
        <f t="shared" si="8"/>
        <v>2.3336364577133735E-2</v>
      </c>
      <c r="X14" s="14">
        <f t="shared" si="9"/>
        <v>1.5557576384755826E-3</v>
      </c>
      <c r="Y14" s="12">
        <f t="shared" si="10"/>
        <v>1</v>
      </c>
    </row>
    <row r="15" spans="1:25" x14ac:dyDescent="0.3">
      <c r="A15" s="23"/>
      <c r="B15" s="12">
        <v>11</v>
      </c>
      <c r="C15" s="12">
        <v>5.4</v>
      </c>
      <c r="D15" s="12">
        <v>3.7</v>
      </c>
      <c r="E15" s="12">
        <v>1.5</v>
      </c>
      <c r="F15" s="12">
        <v>0.2</v>
      </c>
      <c r="G15" s="12">
        <v>0</v>
      </c>
      <c r="I15" s="13">
        <f>I14-('Konfigurasi Model'!$B$11*T14)</f>
        <v>0.23204850285656239</v>
      </c>
      <c r="J15" s="13">
        <f>J14-('Konfigurasi Model'!$B$11*U14)</f>
        <v>-0.513602862270505</v>
      </c>
      <c r="K15" s="13">
        <f>K14-('Konfigurasi Model'!$B$11*V14)</f>
        <v>-0.50391438496641949</v>
      </c>
      <c r="L15" s="13">
        <f>L14-('Konfigurasi Model'!$B$11*W14)</f>
        <v>0.9519028010859214</v>
      </c>
      <c r="M15" s="13">
        <f>M14-('Konfigurasi Model'!$B$11*X14)</f>
        <v>0.7906987980265261</v>
      </c>
      <c r="N15" s="13">
        <f t="shared" si="0"/>
        <v>-2.8198962165457302</v>
      </c>
      <c r="O15" s="13">
        <f t="shared" si="1"/>
        <v>5.6258443539087231E-2</v>
      </c>
      <c r="P15" s="12">
        <f t="shared" si="2"/>
        <v>0</v>
      </c>
      <c r="Q15" s="13">
        <f t="shared" si="3"/>
        <v>5.6258443539087231E-2</v>
      </c>
      <c r="R15" s="13">
        <f t="shared" si="4"/>
        <v>3.1650124694406661E-3</v>
      </c>
      <c r="T15" s="14">
        <f t="shared" si="5"/>
        <v>5.9739075882562619E-3</v>
      </c>
      <c r="U15" s="14">
        <f t="shared" si="6"/>
        <v>3.225910097658382E-2</v>
      </c>
      <c r="V15" s="14">
        <f t="shared" si="7"/>
        <v>2.210345807654817E-2</v>
      </c>
      <c r="W15" s="14">
        <f t="shared" si="8"/>
        <v>8.960861382384392E-3</v>
      </c>
      <c r="X15" s="14">
        <f t="shared" si="9"/>
        <v>1.1947815176512524E-3</v>
      </c>
      <c r="Y15" s="12">
        <f t="shared" si="10"/>
        <v>1</v>
      </c>
    </row>
    <row r="16" spans="1:25" x14ac:dyDescent="0.3">
      <c r="A16" s="23"/>
      <c r="B16" s="12">
        <v>12</v>
      </c>
      <c r="C16" s="12">
        <v>4.8</v>
      </c>
      <c r="D16" s="12">
        <v>3.4</v>
      </c>
      <c r="E16" s="12">
        <v>1.6</v>
      </c>
      <c r="F16" s="12">
        <v>0.2</v>
      </c>
      <c r="G16" s="12">
        <v>0</v>
      </c>
      <c r="I16" s="13">
        <f>I15-('Konfigurasi Model'!$B$11*T15)</f>
        <v>0.23145111209773678</v>
      </c>
      <c r="J16" s="13">
        <f>J15-('Konfigurasi Model'!$B$11*U15)</f>
        <v>-0.51682877236816338</v>
      </c>
      <c r="K16" s="13">
        <f>K15-('Konfigurasi Model'!$B$11*V15)</f>
        <v>-0.50612473077407427</v>
      </c>
      <c r="L16" s="13">
        <f>L15-('Konfigurasi Model'!$B$11*W15)</f>
        <v>0.95100671494768296</v>
      </c>
      <c r="M16" s="13">
        <f>M15-('Konfigurasi Model'!$B$11*X15)</f>
        <v>0.79057931987476093</v>
      </c>
      <c r="N16" s="13">
        <f t="shared" si="0"/>
        <v>-2.2904244720100548</v>
      </c>
      <c r="O16" s="13">
        <f t="shared" si="1"/>
        <v>9.1919113118876614E-2</v>
      </c>
      <c r="P16" s="12">
        <f t="shared" si="2"/>
        <v>0</v>
      </c>
      <c r="Q16" s="13">
        <f t="shared" si="3"/>
        <v>9.1919113118876614E-2</v>
      </c>
      <c r="R16" s="13">
        <f t="shared" si="4"/>
        <v>8.449123356560834E-3</v>
      </c>
      <c r="T16" s="14">
        <f t="shared" si="5"/>
        <v>1.5344974861987555E-2</v>
      </c>
      <c r="U16" s="14">
        <f t="shared" si="6"/>
        <v>7.3655879337540267E-2</v>
      </c>
      <c r="V16" s="14">
        <f t="shared" si="7"/>
        <v>5.2172914530757689E-2</v>
      </c>
      <c r="W16" s="14">
        <f t="shared" si="8"/>
        <v>2.455195977918009E-2</v>
      </c>
      <c r="X16" s="14">
        <f t="shared" si="9"/>
        <v>3.0689949723975113E-3</v>
      </c>
      <c r="Y16" s="12">
        <f t="shared" si="10"/>
        <v>1</v>
      </c>
    </row>
    <row r="17" spans="1:25" x14ac:dyDescent="0.3">
      <c r="A17" s="23"/>
      <c r="B17" s="12">
        <v>13</v>
      </c>
      <c r="C17" s="12">
        <v>4.8</v>
      </c>
      <c r="D17" s="12">
        <v>3</v>
      </c>
      <c r="E17" s="12">
        <v>1.4</v>
      </c>
      <c r="F17" s="12">
        <v>0.1</v>
      </c>
      <c r="G17" s="12">
        <v>0</v>
      </c>
      <c r="I17" s="13">
        <f>I16-('Konfigurasi Model'!$B$11*T16)</f>
        <v>0.22991661461153803</v>
      </c>
      <c r="J17" s="13">
        <f>J16-('Konfigurasi Model'!$B$11*U16)</f>
        <v>-0.52419436030191746</v>
      </c>
      <c r="K17" s="13">
        <f>K16-('Konfigurasi Model'!$B$11*V16)</f>
        <v>-0.51134202222715008</v>
      </c>
      <c r="L17" s="13">
        <f>L16-('Konfigurasi Model'!$B$11*W16)</f>
        <v>0.94855151896976497</v>
      </c>
      <c r="M17" s="13">
        <f>M16-('Konfigurasi Model'!$B$11*X16)</f>
        <v>0.79027242037752121</v>
      </c>
      <c r="N17" s="13">
        <f t="shared" si="0"/>
        <v>-2.4132430129236933</v>
      </c>
      <c r="O17" s="13">
        <f t="shared" si="1"/>
        <v>8.2168408950203969E-2</v>
      </c>
      <c r="P17" s="12">
        <f t="shared" si="2"/>
        <v>0</v>
      </c>
      <c r="Q17" s="13">
        <f t="shared" si="3"/>
        <v>8.2168408950203969E-2</v>
      </c>
      <c r="R17" s="13">
        <f t="shared" si="4"/>
        <v>6.7516474294079601E-3</v>
      </c>
      <c r="T17" s="14">
        <f t="shared" si="5"/>
        <v>1.2393750604681548E-2</v>
      </c>
      <c r="U17" s="14">
        <f t="shared" si="6"/>
        <v>5.9490002902471431E-2</v>
      </c>
      <c r="V17" s="14">
        <f t="shared" si="7"/>
        <v>3.7181251814044643E-2</v>
      </c>
      <c r="W17" s="14">
        <f t="shared" si="8"/>
        <v>1.7351250846554166E-2</v>
      </c>
      <c r="X17" s="14">
        <f t="shared" si="9"/>
        <v>1.2393750604681548E-3</v>
      </c>
      <c r="Y17" s="12">
        <f t="shared" si="10"/>
        <v>1</v>
      </c>
    </row>
    <row r="18" spans="1:25" x14ac:dyDescent="0.3">
      <c r="A18" s="23"/>
      <c r="B18" s="12">
        <v>14</v>
      </c>
      <c r="C18" s="12">
        <v>4.3</v>
      </c>
      <c r="D18" s="12">
        <v>3</v>
      </c>
      <c r="E18" s="12">
        <v>1.1000000000000001</v>
      </c>
      <c r="F18" s="12">
        <v>0.1</v>
      </c>
      <c r="G18" s="12">
        <v>0</v>
      </c>
      <c r="I18" s="13">
        <f>I17-('Konfigurasi Model'!$B$11*T17)</f>
        <v>0.22867723955106989</v>
      </c>
      <c r="J18" s="13">
        <f>J17-('Konfigurasi Model'!$B$11*U17)</f>
        <v>-0.5301433605921646</v>
      </c>
      <c r="K18" s="13">
        <f>K17-('Konfigurasi Model'!$B$11*V17)</f>
        <v>-0.51506014740855455</v>
      </c>
      <c r="L18" s="13">
        <f>L17-('Konfigurasi Model'!$B$11*W17)</f>
        <v>0.94681639388510952</v>
      </c>
      <c r="M18" s="13">
        <f>M17-('Konfigurasi Model'!$B$11*X17)</f>
        <v>0.79014848287147443</v>
      </c>
      <c r="N18" s="13">
        <f t="shared" si="0"/>
        <v>-2.4756067716601331</v>
      </c>
      <c r="O18" s="13">
        <f t="shared" si="1"/>
        <v>7.7586026940093658E-2</v>
      </c>
      <c r="P18" s="12">
        <f t="shared" si="2"/>
        <v>0</v>
      </c>
      <c r="Q18" s="13">
        <f t="shared" si="3"/>
        <v>7.7586026940093658E-2</v>
      </c>
      <c r="R18" s="13">
        <f t="shared" si="4"/>
        <v>6.0195915763489385E-3</v>
      </c>
      <c r="T18" s="14">
        <f t="shared" si="5"/>
        <v>1.1105110764275939E-2</v>
      </c>
      <c r="U18" s="14">
        <f t="shared" si="6"/>
        <v>4.7751976286386534E-2</v>
      </c>
      <c r="V18" s="14">
        <f t="shared" si="7"/>
        <v>3.3315332292827821E-2</v>
      </c>
      <c r="W18" s="14">
        <f t="shared" si="8"/>
        <v>1.2215621840703534E-2</v>
      </c>
      <c r="X18" s="14">
        <f t="shared" si="9"/>
        <v>1.1105110764275939E-3</v>
      </c>
      <c r="Y18" s="12">
        <f t="shared" si="10"/>
        <v>1</v>
      </c>
    </row>
    <row r="19" spans="1:25" x14ac:dyDescent="0.3">
      <c r="A19" s="23"/>
      <c r="B19" s="12">
        <v>15</v>
      </c>
      <c r="C19" s="12">
        <v>5.8</v>
      </c>
      <c r="D19" s="12">
        <v>4</v>
      </c>
      <c r="E19" s="12">
        <v>1.2</v>
      </c>
      <c r="F19" s="12">
        <v>0.2</v>
      </c>
      <c r="G19" s="12">
        <v>0</v>
      </c>
      <c r="I19" s="13">
        <f>I18-('Konfigurasi Model'!$B$11*T18)</f>
        <v>0.22756672847464229</v>
      </c>
      <c r="J19" s="13">
        <f>J18-('Konfigurasi Model'!$B$11*U18)</f>
        <v>-0.53491855822080325</v>
      </c>
      <c r="K19" s="13">
        <f>K18-('Konfigurasi Model'!$B$11*V18)</f>
        <v>-0.51839168063783736</v>
      </c>
      <c r="L19" s="13">
        <f>L18-('Konfigurasi Model'!$B$11*W18)</f>
        <v>0.9455948317010392</v>
      </c>
      <c r="M19" s="13">
        <f>M18-('Konfigurasi Model'!$B$11*X18)</f>
        <v>0.79003743176383168</v>
      </c>
      <c r="N19" s="13">
        <f t="shared" si="0"/>
        <v>-3.6558063473633524</v>
      </c>
      <c r="O19" s="13">
        <f t="shared" si="1"/>
        <v>2.518973339005998E-2</v>
      </c>
      <c r="P19" s="12">
        <f t="shared" si="2"/>
        <v>0</v>
      </c>
      <c r="Q19" s="13">
        <f t="shared" si="3"/>
        <v>2.518973339005998E-2</v>
      </c>
      <c r="R19" s="13">
        <f t="shared" si="4"/>
        <v>6.3452266826230258E-4</v>
      </c>
      <c r="T19" s="14">
        <f t="shared" si="5"/>
        <v>1.2370784228376514E-3</v>
      </c>
      <c r="U19" s="14">
        <f t="shared" si="6"/>
        <v>7.1750548524583775E-3</v>
      </c>
      <c r="V19" s="14">
        <f t="shared" si="7"/>
        <v>4.9483136913506054E-3</v>
      </c>
      <c r="W19" s="14">
        <f t="shared" si="8"/>
        <v>1.4844941074051816E-3</v>
      </c>
      <c r="X19" s="14">
        <f t="shared" si="9"/>
        <v>2.4741568456753028E-4</v>
      </c>
      <c r="Y19" s="12">
        <f t="shared" si="10"/>
        <v>1</v>
      </c>
    </row>
    <row r="20" spans="1:25" x14ac:dyDescent="0.3">
      <c r="A20" s="23"/>
      <c r="B20" s="12">
        <v>16</v>
      </c>
      <c r="C20" s="12">
        <v>5.7</v>
      </c>
      <c r="D20" s="12">
        <v>4.4000000000000004</v>
      </c>
      <c r="E20" s="12">
        <v>1.5</v>
      </c>
      <c r="F20" s="12">
        <v>0.4</v>
      </c>
      <c r="G20" s="12">
        <v>0</v>
      </c>
      <c r="I20" s="13">
        <f>I19-('Konfigurasi Model'!$B$11*T19)</f>
        <v>0.22744302063235852</v>
      </c>
      <c r="J20" s="13">
        <f>J19-('Konfigurasi Model'!$B$11*U19)</f>
        <v>-0.5356360637060491</v>
      </c>
      <c r="K20" s="13">
        <f>K19-('Konfigurasi Model'!$B$11*V19)</f>
        <v>-0.51888651200697244</v>
      </c>
      <c r="L20" s="13">
        <f>L19-('Konfigurasi Model'!$B$11*W19)</f>
        <v>0.94544638229029865</v>
      </c>
      <c r="M20" s="13">
        <f>M19-('Konfigurasi Model'!$B$11*X19)</f>
        <v>0.7900126901953749</v>
      </c>
      <c r="N20" s="13">
        <f t="shared" si="0"/>
        <v>-3.3746085458092021</v>
      </c>
      <c r="O20" s="13">
        <f t="shared" si="1"/>
        <v>3.3098503804936528E-2</v>
      </c>
      <c r="P20" s="12">
        <f t="shared" si="2"/>
        <v>0</v>
      </c>
      <c r="Q20" s="13">
        <f t="shared" si="3"/>
        <v>3.3098503804936528E-2</v>
      </c>
      <c r="R20" s="13">
        <f t="shared" si="4"/>
        <v>1.0955109541253979E-3</v>
      </c>
      <c r="T20" s="14">
        <f t="shared" si="5"/>
        <v>2.1185023612838574E-3</v>
      </c>
      <c r="U20" s="14">
        <f t="shared" si="6"/>
        <v>1.2075463459317988E-2</v>
      </c>
      <c r="V20" s="14">
        <f t="shared" si="7"/>
        <v>9.3214103896489733E-3</v>
      </c>
      <c r="W20" s="14">
        <f t="shared" si="8"/>
        <v>3.1777535419257861E-3</v>
      </c>
      <c r="X20" s="14">
        <f t="shared" si="9"/>
        <v>8.47400944513543E-4</v>
      </c>
      <c r="Y20" s="12">
        <f t="shared" si="10"/>
        <v>1</v>
      </c>
    </row>
    <row r="21" spans="1:25" x14ac:dyDescent="0.3">
      <c r="A21" s="23"/>
      <c r="B21" s="12">
        <v>17</v>
      </c>
      <c r="C21" s="12">
        <v>5.4</v>
      </c>
      <c r="D21" s="12">
        <v>3.9</v>
      </c>
      <c r="E21" s="12">
        <v>1.3</v>
      </c>
      <c r="F21" s="12">
        <v>0.4</v>
      </c>
      <c r="G21" s="12">
        <v>0</v>
      </c>
      <c r="I21" s="13">
        <f>I20-('Konfigurasi Model'!$B$11*T20)</f>
        <v>0.22723117039623014</v>
      </c>
      <c r="J21" s="13">
        <f>J20-('Konfigurasi Model'!$B$11*U20)</f>
        <v>-0.53684361005198089</v>
      </c>
      <c r="K21" s="13">
        <f>K20-('Konfigurasi Model'!$B$11*V20)</f>
        <v>-0.51981865304593733</v>
      </c>
      <c r="L21" s="13">
        <f>L20-('Konfigurasi Model'!$B$11*W20)</f>
        <v>0.94512860693610612</v>
      </c>
      <c r="M21" s="13">
        <f>M20-('Konfigurasi Model'!$B$11*X20)</f>
        <v>0.78992795010092354</v>
      </c>
      <c r="N21" s="13">
        <f t="shared" si="0"/>
        <v>-3.1543787017063147</v>
      </c>
      <c r="O21" s="13">
        <f t="shared" si="1"/>
        <v>4.0919091429716149E-2</v>
      </c>
      <c r="P21" s="12">
        <f t="shared" si="2"/>
        <v>0</v>
      </c>
      <c r="Q21" s="13">
        <f t="shared" si="3"/>
        <v>4.0919091429716149E-2</v>
      </c>
      <c r="R21" s="13">
        <f t="shared" si="4"/>
        <v>1.6743720434334696E-3</v>
      </c>
      <c r="T21" s="14">
        <f t="shared" si="5"/>
        <v>3.2117165214017094E-3</v>
      </c>
      <c r="U21" s="14">
        <f t="shared" si="6"/>
        <v>1.7343269215569231E-2</v>
      </c>
      <c r="V21" s="14">
        <f t="shared" si="7"/>
        <v>1.2525694433466666E-2</v>
      </c>
      <c r="W21" s="14">
        <f t="shared" si="8"/>
        <v>4.1752314778222225E-3</v>
      </c>
      <c r="X21" s="14">
        <f t="shared" si="9"/>
        <v>1.2846866085606838E-3</v>
      </c>
      <c r="Y21" s="12">
        <f t="shared" si="10"/>
        <v>1</v>
      </c>
    </row>
    <row r="22" spans="1:25" x14ac:dyDescent="0.3">
      <c r="A22" s="23"/>
      <c r="B22" s="12">
        <v>18</v>
      </c>
      <c r="C22" s="12">
        <v>5.0999999999999996</v>
      </c>
      <c r="D22" s="12">
        <v>3.5</v>
      </c>
      <c r="E22" s="12">
        <v>1.4</v>
      </c>
      <c r="F22" s="12">
        <v>0.3</v>
      </c>
      <c r="G22" s="12">
        <v>0</v>
      </c>
      <c r="I22" s="13">
        <f>I21-('Konfigurasi Model'!$B$11*T21)</f>
        <v>0.22690999874408996</v>
      </c>
      <c r="J22" s="13">
        <f>J21-('Konfigurasi Model'!$B$11*U21)</f>
        <v>-0.53857793697353784</v>
      </c>
      <c r="K22" s="13">
        <f>K21-('Konfigurasi Model'!$B$11*V21)</f>
        <v>-0.52107122248928395</v>
      </c>
      <c r="L22" s="13">
        <f>L21-('Konfigurasi Model'!$B$11*W21)</f>
        <v>0.94471108378832391</v>
      </c>
      <c r="M22" s="13">
        <f>M21-('Konfigurasi Model'!$B$11*X21)</f>
        <v>0.78979948144006751</v>
      </c>
      <c r="N22" s="13">
        <f t="shared" si="0"/>
        <v>-2.7840513967977722</v>
      </c>
      <c r="O22" s="13">
        <f t="shared" si="1"/>
        <v>5.8192117673600149E-2</v>
      </c>
      <c r="P22" s="12">
        <f t="shared" si="2"/>
        <v>0</v>
      </c>
      <c r="Q22" s="13">
        <f t="shared" si="3"/>
        <v>5.8192117673600149E-2</v>
      </c>
      <c r="R22" s="13">
        <f t="shared" si="4"/>
        <v>3.3863225593381268E-3</v>
      </c>
      <c r="T22" s="14">
        <f t="shared" si="5"/>
        <v>6.3785305569687119E-3</v>
      </c>
      <c r="U22" s="14">
        <f t="shared" si="6"/>
        <v>3.253050584054043E-2</v>
      </c>
      <c r="V22" s="14">
        <f t="shared" si="7"/>
        <v>2.232485694939049E-2</v>
      </c>
      <c r="W22" s="14">
        <f t="shared" si="8"/>
        <v>8.9299427797561969E-3</v>
      </c>
      <c r="X22" s="14">
        <f t="shared" si="9"/>
        <v>1.9135591670906135E-3</v>
      </c>
      <c r="Y22" s="12">
        <f t="shared" si="10"/>
        <v>1</v>
      </c>
    </row>
    <row r="23" spans="1:25" x14ac:dyDescent="0.3">
      <c r="A23" s="23"/>
      <c r="B23" s="12">
        <v>19</v>
      </c>
      <c r="C23" s="12">
        <v>5.7</v>
      </c>
      <c r="D23" s="12">
        <v>3.8</v>
      </c>
      <c r="E23" s="12">
        <v>1.7</v>
      </c>
      <c r="F23" s="12">
        <v>0.3</v>
      </c>
      <c r="G23" s="12">
        <v>0</v>
      </c>
      <c r="I23" s="13">
        <f>I22-('Konfigurasi Model'!$B$11*T22)</f>
        <v>0.2262721456883931</v>
      </c>
      <c r="J23" s="13">
        <f>J22-('Konfigurasi Model'!$B$11*U22)</f>
        <v>-0.54183098755759185</v>
      </c>
      <c r="K23" s="13">
        <f>K22-('Konfigurasi Model'!$B$11*V22)</f>
        <v>-0.523303708184223</v>
      </c>
      <c r="L23" s="13">
        <f>L22-('Konfigurasi Model'!$B$11*W22)</f>
        <v>0.94381808951034829</v>
      </c>
      <c r="M23" s="13">
        <f>M22-('Konfigurasi Model'!$B$11*X22)</f>
        <v>0.78960812552335846</v>
      </c>
      <c r="N23" s="13">
        <f t="shared" si="0"/>
        <v>-3.0093453846653286</v>
      </c>
      <c r="O23" s="13">
        <f t="shared" si="1"/>
        <v>4.7005461098437062E-2</v>
      </c>
      <c r="P23" s="12">
        <f t="shared" si="2"/>
        <v>0</v>
      </c>
      <c r="Q23" s="13">
        <f t="shared" si="3"/>
        <v>4.7005461098437062E-2</v>
      </c>
      <c r="R23" s="13">
        <f t="shared" si="4"/>
        <v>2.20951337307668E-3</v>
      </c>
      <c r="T23" s="14">
        <f t="shared" si="5"/>
        <v>4.2113083563440953E-3</v>
      </c>
      <c r="U23" s="14">
        <f t="shared" si="6"/>
        <v>2.4004457631161345E-2</v>
      </c>
      <c r="V23" s="14">
        <f t="shared" si="7"/>
        <v>1.6002971754107562E-2</v>
      </c>
      <c r="W23" s="14">
        <f t="shared" si="8"/>
        <v>7.1592242057849616E-3</v>
      </c>
      <c r="X23" s="14">
        <f t="shared" si="9"/>
        <v>1.2633925069032285E-3</v>
      </c>
      <c r="Y23" s="12">
        <f t="shared" si="10"/>
        <v>1</v>
      </c>
    </row>
    <row r="24" spans="1:25" x14ac:dyDescent="0.3">
      <c r="A24" s="23"/>
      <c r="B24" s="12">
        <v>20</v>
      </c>
      <c r="C24" s="12">
        <v>5.0999999999999996</v>
      </c>
      <c r="D24" s="12">
        <v>3.8</v>
      </c>
      <c r="E24" s="12">
        <v>1.5</v>
      </c>
      <c r="F24" s="12">
        <v>0.3</v>
      </c>
      <c r="G24" s="12">
        <v>0</v>
      </c>
      <c r="I24" s="13">
        <f>I23-('Konfigurasi Model'!$B$11*T23)</f>
        <v>0.22585101485275869</v>
      </c>
      <c r="J24" s="13">
        <f>J23-('Konfigurasi Model'!$B$11*U23)</f>
        <v>-0.544231433320708</v>
      </c>
      <c r="K24" s="13">
        <f>K23-('Konfigurasi Model'!$B$11*V23)</f>
        <v>-0.52490400535963377</v>
      </c>
      <c r="L24" s="13">
        <f>L23-('Konfigurasi Model'!$B$11*W23)</f>
        <v>0.94310216708976979</v>
      </c>
      <c r="M24" s="13">
        <f>M23-('Konfigurasi Model'!$B$11*X23)</f>
        <v>0.78948178627266818</v>
      </c>
      <c r="N24" s="13">
        <f t="shared" si="0"/>
        <v>-2.8928667289330057</v>
      </c>
      <c r="O24" s="13">
        <f t="shared" si="1"/>
        <v>5.2507314723996654E-2</v>
      </c>
      <c r="P24" s="12">
        <f t="shared" si="2"/>
        <v>0</v>
      </c>
      <c r="Q24" s="13">
        <f t="shared" si="3"/>
        <v>5.2507314723996654E-2</v>
      </c>
      <c r="R24" s="13">
        <f t="shared" si="4"/>
        <v>2.7570180995248358E-3</v>
      </c>
      <c r="T24" s="14">
        <f t="shared" si="5"/>
        <v>5.2245089649466609E-3</v>
      </c>
      <c r="U24" s="14">
        <f t="shared" si="6"/>
        <v>2.6644995721227967E-2</v>
      </c>
      <c r="V24" s="14">
        <f t="shared" si="7"/>
        <v>1.9853134066797309E-2</v>
      </c>
      <c r="W24" s="14">
        <f t="shared" si="8"/>
        <v>7.8367634474199917E-3</v>
      </c>
      <c r="X24" s="14">
        <f t="shared" si="9"/>
        <v>1.5673526894839983E-3</v>
      </c>
      <c r="Y24" s="12">
        <f t="shared" si="10"/>
        <v>1</v>
      </c>
    </row>
    <row r="25" spans="1:25" x14ac:dyDescent="0.3">
      <c r="A25" s="23"/>
      <c r="B25" s="12">
        <v>21</v>
      </c>
      <c r="C25" s="12">
        <v>7</v>
      </c>
      <c r="D25" s="12">
        <v>3.2</v>
      </c>
      <c r="E25" s="12">
        <v>4.7</v>
      </c>
      <c r="F25" s="12">
        <v>1.4</v>
      </c>
      <c r="G25" s="12">
        <v>1</v>
      </c>
      <c r="I25" s="13">
        <f>I24-('Konfigurasi Model'!$B$11*T24)</f>
        <v>0.22532856395626402</v>
      </c>
      <c r="J25" s="13">
        <f>J24-('Konfigurasi Model'!$B$11*U24)</f>
        <v>-0.54689593289283078</v>
      </c>
      <c r="K25" s="13">
        <f>K24-('Konfigurasi Model'!$B$11*V24)</f>
        <v>-0.52688931876631351</v>
      </c>
      <c r="L25" s="13">
        <f>L24-('Konfigurasi Model'!$B$11*W24)</f>
        <v>0.94231849074502783</v>
      </c>
      <c r="M25" s="13">
        <f>M24-('Konfigurasi Model'!$B$11*X24)</f>
        <v>0.78932505100371975</v>
      </c>
      <c r="N25" s="13">
        <f t="shared" si="0"/>
        <v>0.24496319156108415</v>
      </c>
      <c r="O25" s="13">
        <f t="shared" si="1"/>
        <v>0.56093638491400011</v>
      </c>
      <c r="P25" s="12">
        <f t="shared" si="2"/>
        <v>1</v>
      </c>
      <c r="Q25" s="13">
        <f t="shared" si="3"/>
        <v>-0.43906361508599989</v>
      </c>
      <c r="R25" s="13">
        <f t="shared" si="4"/>
        <v>0.19277685809238707</v>
      </c>
      <c r="T25" s="14">
        <f t="shared" si="5"/>
        <v>-0.2162711077468456</v>
      </c>
      <c r="U25" s="14">
        <f t="shared" si="6"/>
        <v>-1.5138977542279193</v>
      </c>
      <c r="V25" s="14">
        <f t="shared" si="7"/>
        <v>-0.69206754478990595</v>
      </c>
      <c r="W25" s="14">
        <f t="shared" si="8"/>
        <v>-1.0164742064101744</v>
      </c>
      <c r="X25" s="14">
        <f t="shared" si="9"/>
        <v>-0.30277955084558383</v>
      </c>
      <c r="Y25" s="12">
        <f t="shared" si="10"/>
        <v>1</v>
      </c>
    </row>
    <row r="26" spans="1:25" x14ac:dyDescent="0.3">
      <c r="A26" s="23"/>
      <c r="B26" s="12">
        <v>22</v>
      </c>
      <c r="C26" s="12">
        <v>6.4</v>
      </c>
      <c r="D26" s="12">
        <v>3.2</v>
      </c>
      <c r="E26" s="12">
        <v>4.5</v>
      </c>
      <c r="F26" s="12">
        <v>1.5</v>
      </c>
      <c r="G26" s="12">
        <v>1</v>
      </c>
      <c r="I26" s="13">
        <f>I25-('Konfigurasi Model'!$B$11*T25)</f>
        <v>0.24695567473094859</v>
      </c>
      <c r="J26" s="13">
        <f>J25-('Konfigurasi Model'!$B$11*U25)</f>
        <v>-0.39550615747003881</v>
      </c>
      <c r="K26" s="13">
        <f>K25-('Konfigurasi Model'!$B$11*V25)</f>
        <v>-0.4576825642873229</v>
      </c>
      <c r="L26" s="13">
        <f>L25-('Konfigurasi Model'!$B$11*W25)</f>
        <v>1.0439659113860453</v>
      </c>
      <c r="M26" s="13">
        <f>M25-('Konfigurasi Model'!$B$11*X25)</f>
        <v>0.81960300608827819</v>
      </c>
      <c r="N26" s="13">
        <f t="shared" si="0"/>
        <v>2.1783831715728881</v>
      </c>
      <c r="O26" s="13">
        <f t="shared" si="1"/>
        <v>0.89829144741245048</v>
      </c>
      <c r="P26" s="12">
        <f t="shared" si="2"/>
        <v>1</v>
      </c>
      <c r="Q26" s="13">
        <f t="shared" si="3"/>
        <v>-0.10170855258754952</v>
      </c>
      <c r="R26" s="13">
        <f t="shared" si="4"/>
        <v>1.0344629669454326E-2</v>
      </c>
      <c r="T26" s="14">
        <f t="shared" si="5"/>
        <v>-1.8584984717439811E-2</v>
      </c>
      <c r="U26" s="14">
        <f t="shared" si="6"/>
        <v>-0.1189439021916148</v>
      </c>
      <c r="V26" s="14">
        <f t="shared" si="7"/>
        <v>-5.9471951095807399E-2</v>
      </c>
      <c r="W26" s="14">
        <f t="shared" si="8"/>
        <v>-8.3632431228479145E-2</v>
      </c>
      <c r="X26" s="14">
        <f t="shared" si="9"/>
        <v>-2.7877477076159715E-2</v>
      </c>
      <c r="Y26" s="12">
        <f t="shared" si="10"/>
        <v>1</v>
      </c>
    </row>
    <row r="27" spans="1:25" x14ac:dyDescent="0.3">
      <c r="A27" s="23"/>
      <c r="B27" s="12">
        <v>23</v>
      </c>
      <c r="C27" s="12">
        <v>6.9</v>
      </c>
      <c r="D27" s="12">
        <v>3.1</v>
      </c>
      <c r="E27" s="12">
        <v>4.9000000000000004</v>
      </c>
      <c r="F27" s="12">
        <v>1.5</v>
      </c>
      <c r="G27" s="12">
        <v>1</v>
      </c>
      <c r="I27" s="13">
        <f>I26-('Konfigurasi Model'!$B$11*T26)</f>
        <v>0.24881417320269258</v>
      </c>
      <c r="J27" s="13">
        <f>J26-('Konfigurasi Model'!$B$11*U26)</f>
        <v>-0.38361176725087731</v>
      </c>
      <c r="K27" s="13">
        <f>K26-('Konfigurasi Model'!$B$11*V26)</f>
        <v>-0.45173536917774215</v>
      </c>
      <c r="L27" s="13">
        <f>L26-('Konfigurasi Model'!$B$11*W26)</f>
        <v>1.0523291545088933</v>
      </c>
      <c r="M27" s="13">
        <f>M26-('Konfigurasi Model'!$B$11*X26)</f>
        <v>0.8223907537958941</v>
      </c>
      <c r="N27" s="13">
        <f t="shared" si="0"/>
        <v>2.5915123225080574</v>
      </c>
      <c r="O27" s="13">
        <f t="shared" si="1"/>
        <v>0.93031332548745382</v>
      </c>
      <c r="P27" s="12">
        <f t="shared" si="2"/>
        <v>1</v>
      </c>
      <c r="Q27" s="13">
        <f t="shared" si="3"/>
        <v>-6.9686674512546176E-2</v>
      </c>
      <c r="R27" s="13">
        <f t="shared" si="4"/>
        <v>4.8562326046175525E-3</v>
      </c>
      <c r="T27" s="14">
        <f t="shared" si="5"/>
        <v>-9.0356358074847095E-3</v>
      </c>
      <c r="U27" s="14">
        <f t="shared" si="6"/>
        <v>-6.2345887071644499E-2</v>
      </c>
      <c r="V27" s="14">
        <f t="shared" si="7"/>
        <v>-2.80104710032026E-2</v>
      </c>
      <c r="W27" s="14">
        <f t="shared" si="8"/>
        <v>-4.4274615456675083E-2</v>
      </c>
      <c r="X27" s="14">
        <f t="shared" si="9"/>
        <v>-1.3553453711227063E-2</v>
      </c>
      <c r="Y27" s="12">
        <f t="shared" si="10"/>
        <v>1</v>
      </c>
    </row>
    <row r="28" spans="1:25" x14ac:dyDescent="0.3">
      <c r="A28" s="23"/>
      <c r="B28" s="12">
        <v>24</v>
      </c>
      <c r="C28" s="12">
        <v>5.5</v>
      </c>
      <c r="D28" s="12">
        <v>2.2999999999999998</v>
      </c>
      <c r="E28" s="12">
        <v>4</v>
      </c>
      <c r="F28" s="12">
        <v>1.3</v>
      </c>
      <c r="G28" s="12">
        <v>1</v>
      </c>
      <c r="I28" s="13">
        <f>I27-('Konfigurasi Model'!$B$11*T27)</f>
        <v>0.24971773678344106</v>
      </c>
      <c r="J28" s="13">
        <f>J27-('Konfigurasi Model'!$B$11*U27)</f>
        <v>-0.37737717854371289</v>
      </c>
      <c r="K28" s="13">
        <f>K27-('Konfigurasi Model'!$B$11*V27)</f>
        <v>-0.4489343220774219</v>
      </c>
      <c r="L28" s="13">
        <f>L27-('Konfigurasi Model'!$B$11*W27)</f>
        <v>1.0567566160545607</v>
      </c>
      <c r="M28" s="13">
        <f>M27-('Konfigurasi Model'!$B$11*X27)</f>
        <v>0.8237460991670168</v>
      </c>
      <c r="N28" s="13">
        <f t="shared" si="0"/>
        <v>2.4394907071503145</v>
      </c>
      <c r="O28" s="13">
        <f t="shared" si="1"/>
        <v>0.9197895218844665</v>
      </c>
      <c r="P28" s="12">
        <f t="shared" si="2"/>
        <v>1</v>
      </c>
      <c r="Q28" s="13">
        <f t="shared" si="3"/>
        <v>-8.0210478115533501E-2</v>
      </c>
      <c r="R28" s="13">
        <f t="shared" si="4"/>
        <v>6.433720799522479E-3</v>
      </c>
      <c r="T28" s="14">
        <f t="shared" si="5"/>
        <v>-1.1835337956261857E-2</v>
      </c>
      <c r="U28" s="14">
        <f t="shared" si="6"/>
        <v>-6.509435875944021E-2</v>
      </c>
      <c r="V28" s="14">
        <f t="shared" si="7"/>
        <v>-2.7221277299402269E-2</v>
      </c>
      <c r="W28" s="14">
        <f t="shared" si="8"/>
        <v>-4.734135182504743E-2</v>
      </c>
      <c r="X28" s="14">
        <f t="shared" si="9"/>
        <v>-1.5385939343140415E-2</v>
      </c>
      <c r="Y28" s="12">
        <f t="shared" si="10"/>
        <v>1</v>
      </c>
    </row>
    <row r="29" spans="1:25" x14ac:dyDescent="0.3">
      <c r="A29" s="23"/>
      <c r="B29" s="12">
        <v>25</v>
      </c>
      <c r="C29" s="12">
        <v>6.5</v>
      </c>
      <c r="D29" s="12">
        <v>2.8</v>
      </c>
      <c r="E29" s="12">
        <v>4.5999999999999996</v>
      </c>
      <c r="F29" s="12">
        <v>1.5</v>
      </c>
      <c r="G29" s="12">
        <v>1</v>
      </c>
      <c r="I29" s="13">
        <f>I28-('Konfigurasi Model'!$B$11*T28)</f>
        <v>0.25090127057906725</v>
      </c>
      <c r="J29" s="13">
        <f>J28-('Konfigurasi Model'!$B$11*U28)</f>
        <v>-0.37086774266776884</v>
      </c>
      <c r="K29" s="13">
        <f>K28-('Konfigurasi Model'!$B$11*V28)</f>
        <v>-0.44621219434748166</v>
      </c>
      <c r="L29" s="13">
        <f>L28-('Konfigurasi Model'!$B$11*W28)</f>
        <v>1.0614907512370655</v>
      </c>
      <c r="M29" s="13">
        <f>M28-('Konfigurasi Model'!$B$11*X28)</f>
        <v>0.82528469310133079</v>
      </c>
      <c r="N29" s="13">
        <f t="shared" si="0"/>
        <v>2.711651294408119</v>
      </c>
      <c r="O29" s="13">
        <f t="shared" si="1"/>
        <v>0.93771066942811498</v>
      </c>
      <c r="P29" s="12">
        <f t="shared" si="2"/>
        <v>1</v>
      </c>
      <c r="Q29" s="13">
        <f t="shared" si="3"/>
        <v>-6.2289330571885015E-2</v>
      </c>
      <c r="R29" s="13">
        <f t="shared" si="4"/>
        <v>3.879960703093569E-3</v>
      </c>
      <c r="T29" s="14">
        <f t="shared" si="5"/>
        <v>-7.2765610965053002E-3</v>
      </c>
      <c r="U29" s="14">
        <f t="shared" si="6"/>
        <v>-4.7297647127284452E-2</v>
      </c>
      <c r="V29" s="14">
        <f t="shared" si="7"/>
        <v>-2.037437107021484E-2</v>
      </c>
      <c r="W29" s="14">
        <f t="shared" si="8"/>
        <v>-3.3472181043924382E-2</v>
      </c>
      <c r="X29" s="14">
        <f t="shared" si="9"/>
        <v>-1.091484164475795E-2</v>
      </c>
      <c r="Y29" s="12">
        <f t="shared" si="10"/>
        <v>1</v>
      </c>
    </row>
    <row r="30" spans="1:25" x14ac:dyDescent="0.3">
      <c r="A30" s="23"/>
      <c r="B30" s="12">
        <v>26</v>
      </c>
      <c r="C30" s="12">
        <v>5.7</v>
      </c>
      <c r="D30" s="12">
        <v>2.8</v>
      </c>
      <c r="E30" s="12">
        <v>4.5</v>
      </c>
      <c r="F30" s="12">
        <v>1.3</v>
      </c>
      <c r="G30" s="12">
        <v>1</v>
      </c>
      <c r="I30" s="13">
        <f>I29-('Konfigurasi Model'!$B$11*T29)</f>
        <v>0.25162892668871778</v>
      </c>
      <c r="J30" s="13">
        <f>J29-('Konfigurasi Model'!$B$11*U29)</f>
        <v>-0.36613797795504038</v>
      </c>
      <c r="K30" s="13">
        <f>K29-('Konfigurasi Model'!$B$11*V29)</f>
        <v>-0.44417475724046018</v>
      </c>
      <c r="L30" s="13">
        <f>L29-('Konfigurasi Model'!$B$11*W29)</f>
        <v>1.064837969341458</v>
      </c>
      <c r="M30" s="13">
        <f>M29-('Konfigurasi Model'!$B$11*X29)</f>
        <v>0.82637617726580659</v>
      </c>
      <c r="N30" s="13">
        <f t="shared" si="0"/>
        <v>2.7870130245538087</v>
      </c>
      <c r="O30" s="13">
        <f t="shared" si="1"/>
        <v>0.94196998446604985</v>
      </c>
      <c r="P30" s="12">
        <f t="shared" si="2"/>
        <v>1</v>
      </c>
      <c r="Q30" s="13">
        <f t="shared" si="3"/>
        <v>-5.8030015533950152E-2</v>
      </c>
      <c r="R30" s="13">
        <f t="shared" si="4"/>
        <v>3.3674827028704959E-3</v>
      </c>
      <c r="T30" s="14">
        <f t="shared" si="5"/>
        <v>-6.3441352586252253E-3</v>
      </c>
      <c r="U30" s="14">
        <f t="shared" si="6"/>
        <v>-3.6161570974163788E-2</v>
      </c>
      <c r="V30" s="14">
        <f t="shared" si="7"/>
        <v>-1.776357872415063E-2</v>
      </c>
      <c r="W30" s="14">
        <f t="shared" si="8"/>
        <v>-2.8548608663813514E-2</v>
      </c>
      <c r="X30" s="14">
        <f t="shared" si="9"/>
        <v>-8.247375836212793E-3</v>
      </c>
      <c r="Y30" s="12">
        <f t="shared" si="10"/>
        <v>1</v>
      </c>
    </row>
    <row r="31" spans="1:25" x14ac:dyDescent="0.3">
      <c r="A31" s="23"/>
      <c r="B31" s="12">
        <v>27</v>
      </c>
      <c r="C31" s="12">
        <v>6.3</v>
      </c>
      <c r="D31" s="12">
        <v>3.3</v>
      </c>
      <c r="E31" s="12">
        <v>4.7</v>
      </c>
      <c r="F31" s="12">
        <v>1.6</v>
      </c>
      <c r="G31" s="12">
        <v>1</v>
      </c>
      <c r="I31" s="13">
        <f>I30-('Konfigurasi Model'!$B$11*T30)</f>
        <v>0.2522633402145803</v>
      </c>
      <c r="J31" s="13">
        <f>J30-('Konfigurasi Model'!$B$11*U30)</f>
        <v>-0.36252182085762402</v>
      </c>
      <c r="K31" s="13">
        <f>K30-('Konfigurasi Model'!$B$11*V30)</f>
        <v>-0.44239839936804515</v>
      </c>
      <c r="L31" s="13">
        <f>L30-('Konfigurasi Model'!$B$11*W30)</f>
        <v>1.0676928302078394</v>
      </c>
      <c r="M31" s="13">
        <f>M30-('Konfigurasi Model'!$B$11*X30)</f>
        <v>0.82720091484942782</v>
      </c>
      <c r="N31" s="13">
        <f t="shared" si="0"/>
        <v>2.8501389166329307</v>
      </c>
      <c r="O31" s="13">
        <f t="shared" si="1"/>
        <v>0.94532586311714306</v>
      </c>
      <c r="P31" s="12">
        <f t="shared" si="2"/>
        <v>1</v>
      </c>
      <c r="Q31" s="13">
        <f t="shared" si="3"/>
        <v>-5.4674136882856939E-2</v>
      </c>
      <c r="R31" s="13">
        <f t="shared" si="4"/>
        <v>2.9892612438853776E-3</v>
      </c>
      <c r="T31" s="14">
        <f t="shared" si="5"/>
        <v>-5.6516519309171382E-3</v>
      </c>
      <c r="U31" s="14">
        <f t="shared" si="6"/>
        <v>-3.5605407164777968E-2</v>
      </c>
      <c r="V31" s="14">
        <f t="shared" si="7"/>
        <v>-1.8650451372026554E-2</v>
      </c>
      <c r="W31" s="14">
        <f t="shared" si="8"/>
        <v>-2.6562764075310552E-2</v>
      </c>
      <c r="X31" s="14">
        <f t="shared" si="9"/>
        <v>-9.0426430894674208E-3</v>
      </c>
      <c r="Y31" s="12">
        <f t="shared" si="10"/>
        <v>1</v>
      </c>
    </row>
    <row r="32" spans="1:25" x14ac:dyDescent="0.3">
      <c r="A32" s="23"/>
      <c r="B32" s="12">
        <v>28</v>
      </c>
      <c r="C32" s="12">
        <v>4.9000000000000004</v>
      </c>
      <c r="D32" s="12">
        <v>2.4</v>
      </c>
      <c r="E32" s="12">
        <v>3.3</v>
      </c>
      <c r="F32" s="12">
        <v>1</v>
      </c>
      <c r="G32" s="12">
        <v>1</v>
      </c>
      <c r="I32" s="13">
        <f>I31-('Konfigurasi Model'!$B$11*T31)</f>
        <v>0.25282850540767199</v>
      </c>
      <c r="J32" s="13">
        <f>J31-('Konfigurasi Model'!$B$11*U31)</f>
        <v>-0.3589612801411462</v>
      </c>
      <c r="K32" s="13">
        <f>K31-('Konfigurasi Model'!$B$11*V31)</f>
        <v>-0.4405333542308425</v>
      </c>
      <c r="L32" s="13">
        <f>L31-('Konfigurasi Model'!$B$11*W31)</f>
        <v>1.0703491066153705</v>
      </c>
      <c r="M32" s="13">
        <f>M31-('Konfigurasi Model'!$B$11*X31)</f>
        <v>0.82810517915837456</v>
      </c>
      <c r="N32" s="13">
        <f t="shared" si="0"/>
        <v>1.7968954135511304</v>
      </c>
      <c r="O32" s="13">
        <f t="shared" si="1"/>
        <v>0.85777059546563394</v>
      </c>
      <c r="P32" s="12">
        <f t="shared" si="2"/>
        <v>1</v>
      </c>
      <c r="Q32" s="13">
        <f t="shared" si="3"/>
        <v>-0.14222940453436606</v>
      </c>
      <c r="R32" s="13">
        <f t="shared" si="4"/>
        <v>2.0229203514200347E-2</v>
      </c>
      <c r="T32" s="14">
        <f t="shared" si="5"/>
        <v>-3.470403188834225E-2</v>
      </c>
      <c r="U32" s="14">
        <f t="shared" si="6"/>
        <v>-0.17004975625287705</v>
      </c>
      <c r="V32" s="14">
        <f t="shared" si="7"/>
        <v>-8.3289676532021392E-2</v>
      </c>
      <c r="W32" s="14">
        <f t="shared" si="8"/>
        <v>-0.11452330523152943</v>
      </c>
      <c r="X32" s="14">
        <f t="shared" si="9"/>
        <v>-3.470403188834225E-2</v>
      </c>
      <c r="Y32" s="12">
        <f t="shared" si="10"/>
        <v>1</v>
      </c>
    </row>
    <row r="33" spans="1:25" x14ac:dyDescent="0.3">
      <c r="A33" s="23"/>
      <c r="B33" s="12">
        <v>29</v>
      </c>
      <c r="C33" s="12">
        <v>6.6</v>
      </c>
      <c r="D33" s="12">
        <v>2.9</v>
      </c>
      <c r="E33" s="12">
        <v>4.5999999999999996</v>
      </c>
      <c r="F33" s="12">
        <v>1.3</v>
      </c>
      <c r="G33" s="12">
        <v>1</v>
      </c>
      <c r="I33" s="13">
        <f>I32-('Konfigurasi Model'!$B$11*T32)</f>
        <v>0.25629890859650623</v>
      </c>
      <c r="J33" s="13">
        <f>J32-('Konfigurasi Model'!$B$11*U32)</f>
        <v>-0.34195630451585851</v>
      </c>
      <c r="K33" s="13">
        <f>K32-('Konfigurasi Model'!$B$11*V32)</f>
        <v>-0.43220438657764038</v>
      </c>
      <c r="L33" s="13">
        <f>L32-('Konfigurasi Model'!$B$11*W32)</f>
        <v>1.0818014371385234</v>
      </c>
      <c r="M33" s="13">
        <f>M32-('Konfigurasi Model'!$B$11*X32)</f>
        <v>0.83157558234720874</v>
      </c>
      <c r="N33" s="13">
        <f t="shared" si="0"/>
        <v>2.8033294456052618</v>
      </c>
      <c r="O33" s="13">
        <f t="shared" si="1"/>
        <v>0.94285547611603604</v>
      </c>
      <c r="P33" s="12">
        <f t="shared" si="2"/>
        <v>1</v>
      </c>
      <c r="Q33" s="13">
        <f t="shared" si="3"/>
        <v>-5.714452388396396E-2</v>
      </c>
      <c r="R33" s="13">
        <f t="shared" si="4"/>
        <v>3.2654966099249275E-3</v>
      </c>
      <c r="T33" s="14">
        <f t="shared" si="5"/>
        <v>-6.1577827218121384E-3</v>
      </c>
      <c r="U33" s="14">
        <f t="shared" si="6"/>
        <v>-4.0641365963960112E-2</v>
      </c>
      <c r="V33" s="14">
        <f t="shared" si="7"/>
        <v>-1.7857569893255199E-2</v>
      </c>
      <c r="W33" s="14">
        <f t="shared" si="8"/>
        <v>-2.8325800520335835E-2</v>
      </c>
      <c r="X33" s="14">
        <f t="shared" si="9"/>
        <v>-8.0051175383557809E-3</v>
      </c>
      <c r="Y33" s="12">
        <f t="shared" si="10"/>
        <v>1</v>
      </c>
    </row>
    <row r="34" spans="1:25" x14ac:dyDescent="0.3">
      <c r="A34" s="23"/>
      <c r="B34" s="12">
        <v>30</v>
      </c>
      <c r="C34" s="12">
        <v>5.2</v>
      </c>
      <c r="D34" s="12">
        <v>2.7</v>
      </c>
      <c r="E34" s="12">
        <v>3.9</v>
      </c>
      <c r="F34" s="12">
        <v>1.4</v>
      </c>
      <c r="G34" s="12">
        <v>1</v>
      </c>
      <c r="I34" s="13">
        <f>I33-('Konfigurasi Model'!$B$11*T33)</f>
        <v>0.25691468686868746</v>
      </c>
      <c r="J34" s="13">
        <f>J33-('Konfigurasi Model'!$B$11*U33)</f>
        <v>-0.33789216791946253</v>
      </c>
      <c r="K34" s="13">
        <f>K33-('Konfigurasi Model'!$B$11*V33)</f>
        <v>-0.43041862958831484</v>
      </c>
      <c r="L34" s="13">
        <f>L33-('Konfigurasi Model'!$B$11*W33)</f>
        <v>1.0846340171905571</v>
      </c>
      <c r="M34" s="13">
        <f>M33-('Konfigurasi Model'!$B$11*X33)</f>
        <v>0.83237609410104429</v>
      </c>
      <c r="N34" s="13">
        <f t="shared" si="0"/>
        <v>2.7331443125836667</v>
      </c>
      <c r="O34" s="13">
        <f t="shared" si="1"/>
        <v>0.93895431532495599</v>
      </c>
      <c r="P34" s="12">
        <f t="shared" si="2"/>
        <v>1</v>
      </c>
      <c r="Q34" s="13">
        <f t="shared" si="3"/>
        <v>-6.104568467504401E-2</v>
      </c>
      <c r="R34" s="13">
        <f t="shared" si="4"/>
        <v>3.7265756174449031E-3</v>
      </c>
      <c r="T34" s="14">
        <f t="shared" si="5"/>
        <v>-6.9981685147693087E-3</v>
      </c>
      <c r="U34" s="14">
        <f t="shared" si="6"/>
        <v>-3.6390476276800407E-2</v>
      </c>
      <c r="V34" s="14">
        <f t="shared" si="7"/>
        <v>-1.8895054989877133E-2</v>
      </c>
      <c r="W34" s="14">
        <f t="shared" si="8"/>
        <v>-2.7292857207600302E-2</v>
      </c>
      <c r="X34" s="14">
        <f t="shared" si="9"/>
        <v>-9.7974359206770313E-3</v>
      </c>
      <c r="Y34" s="12">
        <f t="shared" si="10"/>
        <v>1</v>
      </c>
    </row>
    <row r="35" spans="1:25" x14ac:dyDescent="0.3">
      <c r="A35" s="23"/>
      <c r="B35" s="12">
        <v>31</v>
      </c>
      <c r="C35" s="12">
        <v>5</v>
      </c>
      <c r="D35" s="12">
        <v>2</v>
      </c>
      <c r="E35" s="12">
        <v>3.5</v>
      </c>
      <c r="F35" s="12">
        <v>1</v>
      </c>
      <c r="G35" s="12">
        <v>1</v>
      </c>
      <c r="I35" s="13">
        <f>I34-('Konfigurasi Model'!$B$11*T34)</f>
        <v>0.25761450372016437</v>
      </c>
      <c r="J35" s="13">
        <f>J34-('Konfigurasi Model'!$B$11*U34)</f>
        <v>-0.3342531202917825</v>
      </c>
      <c r="K35" s="13">
        <f>K34-('Konfigurasi Model'!$B$11*V34)</f>
        <v>-0.42852912408932714</v>
      </c>
      <c r="L35" s="13">
        <f>L34-('Konfigurasi Model'!$B$11*W34)</f>
        <v>1.087363302911317</v>
      </c>
      <c r="M35" s="13">
        <f>M34-('Konfigurasi Model'!$B$11*X34)</f>
        <v>0.83335583769311194</v>
      </c>
      <c r="N35" s="13">
        <f t="shared" si="0"/>
        <v>2.3684180519653188</v>
      </c>
      <c r="O35" s="13">
        <f t="shared" si="1"/>
        <v>0.91438710155970215</v>
      </c>
      <c r="P35" s="12">
        <f t="shared" si="2"/>
        <v>1</v>
      </c>
      <c r="Q35" s="13">
        <f t="shared" si="3"/>
        <v>-8.5612898440297847E-2</v>
      </c>
      <c r="R35" s="13">
        <f t="shared" si="4"/>
        <v>7.3295683793487536E-3</v>
      </c>
      <c r="T35" s="14">
        <f t="shared" si="5"/>
        <v>-1.3404125572152701E-2</v>
      </c>
      <c r="U35" s="14">
        <f t="shared" si="6"/>
        <v>-6.7020627860763501E-2</v>
      </c>
      <c r="V35" s="14">
        <f t="shared" si="7"/>
        <v>-2.6808251144305403E-2</v>
      </c>
      <c r="W35" s="14">
        <f t="shared" si="8"/>
        <v>-4.6914439502534454E-2</v>
      </c>
      <c r="X35" s="14">
        <f t="shared" si="9"/>
        <v>-1.3404125572152701E-2</v>
      </c>
      <c r="Y35" s="12">
        <f t="shared" si="10"/>
        <v>1</v>
      </c>
    </row>
    <row r="36" spans="1:25" x14ac:dyDescent="0.3">
      <c r="A36" s="23"/>
      <c r="B36" s="12">
        <v>32</v>
      </c>
      <c r="C36" s="12">
        <v>5.9</v>
      </c>
      <c r="D36" s="12">
        <v>3</v>
      </c>
      <c r="E36" s="12">
        <v>4.2</v>
      </c>
      <c r="F36" s="12">
        <v>1.5</v>
      </c>
      <c r="G36" s="12">
        <v>1</v>
      </c>
      <c r="I36" s="13">
        <f>I35-('Konfigurasi Model'!$B$11*T35)</f>
        <v>0.25895491627737965</v>
      </c>
      <c r="J36" s="13">
        <f>J35-('Konfigurasi Model'!$B$11*U35)</f>
        <v>-0.32755105750570618</v>
      </c>
      <c r="K36" s="13">
        <f>K35-('Konfigurasi Model'!$B$11*V35)</f>
        <v>-0.42584829897489662</v>
      </c>
      <c r="L36" s="13">
        <f>L35-('Konfigurasi Model'!$B$11*W35)</f>
        <v>1.0920547468615704</v>
      </c>
      <c r="M36" s="13">
        <f>M35-('Konfigurasi Model'!$B$11*X35)</f>
        <v>0.83469625025032723</v>
      </c>
      <c r="N36" s="13">
        <f t="shared" si="0"/>
        <v>2.8875330922631104</v>
      </c>
      <c r="O36" s="13">
        <f t="shared" si="1"/>
        <v>0.94722670105874784</v>
      </c>
      <c r="P36" s="12">
        <f t="shared" si="2"/>
        <v>1</v>
      </c>
      <c r="Q36" s="13">
        <f t="shared" si="3"/>
        <v>-5.2773298941252156E-2</v>
      </c>
      <c r="R36" s="13">
        <f t="shared" si="4"/>
        <v>2.7850210811427661E-3</v>
      </c>
      <c r="T36" s="14">
        <f t="shared" si="5"/>
        <v>-5.276092662139859E-3</v>
      </c>
      <c r="U36" s="14">
        <f t="shared" si="6"/>
        <v>-3.1128946706625169E-2</v>
      </c>
      <c r="V36" s="14">
        <f t="shared" si="7"/>
        <v>-1.5828277986419576E-2</v>
      </c>
      <c r="W36" s="14">
        <f t="shared" si="8"/>
        <v>-2.2159589180987409E-2</v>
      </c>
      <c r="X36" s="14">
        <f t="shared" si="9"/>
        <v>-7.9141389932097881E-3</v>
      </c>
      <c r="Y36" s="12">
        <f t="shared" si="10"/>
        <v>1</v>
      </c>
    </row>
    <row r="37" spans="1:25" x14ac:dyDescent="0.3">
      <c r="A37" s="23"/>
      <c r="B37" s="12">
        <v>33</v>
      </c>
      <c r="C37" s="12">
        <v>6</v>
      </c>
      <c r="D37" s="12">
        <v>2.2000000000000002</v>
      </c>
      <c r="E37" s="12">
        <v>4</v>
      </c>
      <c r="F37" s="12">
        <v>1</v>
      </c>
      <c r="G37" s="12">
        <v>1</v>
      </c>
      <c r="I37" s="13">
        <f>I36-('Konfigurasi Model'!$B$11*T36)</f>
        <v>0.25948252554359363</v>
      </c>
      <c r="J37" s="13">
        <f>J36-('Konfigurasi Model'!$B$11*U36)</f>
        <v>-0.32443816283504368</v>
      </c>
      <c r="K37" s="13">
        <f>K36-('Konfigurasi Model'!$B$11*V36)</f>
        <v>-0.42426547117625468</v>
      </c>
      <c r="L37" s="13">
        <f>L36-('Konfigurasi Model'!$B$11*W36)</f>
        <v>1.0942707057796692</v>
      </c>
      <c r="M37" s="13">
        <f>M36-('Konfigurasi Model'!$B$11*X36)</f>
        <v>0.83548766414964826</v>
      </c>
      <c r="N37" s="13">
        <f t="shared" ref="N37:N68" si="11">I37+J37*C37+K37*D37+L37*E37+M37*F37</f>
        <v>2.5920399992138967</v>
      </c>
      <c r="O37" s="13">
        <f t="shared" ref="O37:O68" si="12">1/(1+EXP(-N37))</f>
        <v>0.93034752723461944</v>
      </c>
      <c r="P37" s="12">
        <f t="shared" ref="P37:P68" si="13">IF(O37&gt;0.5,1,0)</f>
        <v>1</v>
      </c>
      <c r="Q37" s="13">
        <f t="shared" ref="Q37:Q68" si="14">O37-G37</f>
        <v>-6.9652472765380558E-2</v>
      </c>
      <c r="R37" s="13">
        <f t="shared" ref="R37:R68" si="15">Q37^2</f>
        <v>4.8514669623320799E-3</v>
      </c>
      <c r="T37" s="14">
        <f t="shared" ref="T37:T68" si="16">2*(O37-G37)*(1-O37)*O37</f>
        <v>-9.0271005837322029E-3</v>
      </c>
      <c r="U37" s="14">
        <f t="shared" ref="U37:U68" si="17">2*(O37-G37)*(1-O37)*O37*C37</f>
        <v>-5.4162603502393214E-2</v>
      </c>
      <c r="V37" s="14">
        <f t="shared" ref="V37:V68" si="18">2*(O37-G37)*(1-O37)*O37*D37</f>
        <v>-1.9859621284210847E-2</v>
      </c>
      <c r="W37" s="14">
        <f t="shared" ref="W37:W68" si="19">2*(O37-G37)*(1-O37)*O37*E37</f>
        <v>-3.6108402334928812E-2</v>
      </c>
      <c r="X37" s="14">
        <f t="shared" ref="X37:X68" si="20">2*(O37-G37)*(1-O37)*O37*F37</f>
        <v>-9.0271005837322029E-3</v>
      </c>
      <c r="Y37" s="12">
        <f t="shared" ref="Y37:Y68" si="21">IF(P37=G37,1,0)</f>
        <v>1</v>
      </c>
    </row>
    <row r="38" spans="1:25" x14ac:dyDescent="0.3">
      <c r="A38" s="23"/>
      <c r="B38" s="12">
        <v>34</v>
      </c>
      <c r="C38" s="12">
        <v>6.1</v>
      </c>
      <c r="D38" s="12">
        <v>2.9</v>
      </c>
      <c r="E38" s="12">
        <v>4.7</v>
      </c>
      <c r="F38" s="12">
        <v>1.4</v>
      </c>
      <c r="G38" s="12">
        <v>1</v>
      </c>
      <c r="I38" s="13">
        <f>I37-('Konfigurasi Model'!$B$11*T37)</f>
        <v>0.26038523560196686</v>
      </c>
      <c r="J38" s="13">
        <f>J37-('Konfigurasi Model'!$B$11*U37)</f>
        <v>-0.31902190248480433</v>
      </c>
      <c r="K38" s="13">
        <f>K37-('Konfigurasi Model'!$B$11*V37)</f>
        <v>-0.42227950904783362</v>
      </c>
      <c r="L38" s="13">
        <f>L37-('Konfigurasi Model'!$B$11*W37)</f>
        <v>1.0978815460131621</v>
      </c>
      <c r="M38" s="13">
        <f>M37-('Konfigurasi Model'!$B$11*X37)</f>
        <v>0.83639037420802143</v>
      </c>
      <c r="N38" s="13">
        <f t="shared" si="11"/>
        <v>3.420730844359035</v>
      </c>
      <c r="O38" s="13">
        <f t="shared" si="12"/>
        <v>0.96834618102553527</v>
      </c>
      <c r="P38" s="12">
        <f t="shared" si="13"/>
        <v>1</v>
      </c>
      <c r="Q38" s="13">
        <f t="shared" si="14"/>
        <v>-3.1653818974464731E-2</v>
      </c>
      <c r="R38" s="13">
        <f t="shared" si="15"/>
        <v>1.0019642556681834E-3</v>
      </c>
      <c r="T38" s="14">
        <f t="shared" si="16"/>
        <v>-1.9404965210007567E-3</v>
      </c>
      <c r="U38" s="14">
        <f t="shared" si="17"/>
        <v>-1.1837028778104615E-2</v>
      </c>
      <c r="V38" s="14">
        <f t="shared" si="18"/>
        <v>-5.6274399109021945E-3</v>
      </c>
      <c r="W38" s="14">
        <f t="shared" si="19"/>
        <v>-9.1203336487035574E-3</v>
      </c>
      <c r="X38" s="14">
        <f t="shared" si="20"/>
        <v>-2.7166951294010592E-3</v>
      </c>
      <c r="Y38" s="12">
        <f t="shared" si="21"/>
        <v>1</v>
      </c>
    </row>
    <row r="39" spans="1:25" x14ac:dyDescent="0.3">
      <c r="A39" s="23"/>
      <c r="B39" s="12">
        <v>35</v>
      </c>
      <c r="C39" s="12">
        <v>5.6</v>
      </c>
      <c r="D39" s="12">
        <v>2.9</v>
      </c>
      <c r="E39" s="12">
        <v>3.6</v>
      </c>
      <c r="F39" s="12">
        <v>1.3</v>
      </c>
      <c r="G39" s="12">
        <v>1</v>
      </c>
      <c r="I39" s="13">
        <f>I38-('Konfigurasi Model'!$B$11*T38)</f>
        <v>0.26057928525406693</v>
      </c>
      <c r="J39" s="13">
        <f>J38-('Konfigurasi Model'!$B$11*U38)</f>
        <v>-0.31783819960699389</v>
      </c>
      <c r="K39" s="13">
        <f>K38-('Konfigurasi Model'!$B$11*V38)</f>
        <v>-0.42171676505674338</v>
      </c>
      <c r="L39" s="13">
        <f>L38-('Konfigurasi Model'!$B$11*W38)</f>
        <v>1.0987935793780326</v>
      </c>
      <c r="M39" s="13">
        <f>M38-('Konfigurasi Model'!$B$11*X38)</f>
        <v>0.83666204372096153</v>
      </c>
      <c r="N39" s="13">
        <f t="shared" si="11"/>
        <v>2.3010242913885128</v>
      </c>
      <c r="O39" s="13">
        <f t="shared" si="12"/>
        <v>0.90896183483371495</v>
      </c>
      <c r="P39" s="12">
        <f t="shared" si="13"/>
        <v>1</v>
      </c>
      <c r="Q39" s="13">
        <f t="shared" si="14"/>
        <v>-9.1038165166285046E-2</v>
      </c>
      <c r="R39" s="13">
        <f t="shared" si="15"/>
        <v>8.2879475168437956E-3</v>
      </c>
      <c r="T39" s="14">
        <f t="shared" si="16"/>
        <v>-1.5066855963831735E-2</v>
      </c>
      <c r="U39" s="14">
        <f t="shared" si="17"/>
        <v>-8.4374393397457711E-2</v>
      </c>
      <c r="V39" s="14">
        <f t="shared" si="18"/>
        <v>-4.3693882295112028E-2</v>
      </c>
      <c r="W39" s="14">
        <f t="shared" si="19"/>
        <v>-5.4240681469794251E-2</v>
      </c>
      <c r="X39" s="14">
        <f t="shared" si="20"/>
        <v>-1.9586912752981255E-2</v>
      </c>
      <c r="Y39" s="12">
        <f t="shared" si="21"/>
        <v>1</v>
      </c>
    </row>
    <row r="40" spans="1:25" x14ac:dyDescent="0.3">
      <c r="A40" s="23"/>
      <c r="B40" s="12">
        <v>36</v>
      </c>
      <c r="C40" s="12">
        <v>6.7</v>
      </c>
      <c r="D40" s="12">
        <v>3.1</v>
      </c>
      <c r="E40" s="12">
        <v>4.4000000000000004</v>
      </c>
      <c r="F40" s="12">
        <v>1.4</v>
      </c>
      <c r="G40" s="12">
        <v>1</v>
      </c>
      <c r="I40" s="13">
        <f>I39-('Konfigurasi Model'!$B$11*T39)</f>
        <v>0.2620859708504501</v>
      </c>
      <c r="J40" s="13">
        <f>J39-('Konfigurasi Model'!$B$11*U39)</f>
        <v>-0.30940076026724811</v>
      </c>
      <c r="K40" s="13">
        <f>K39-('Konfigurasi Model'!$B$11*V39)</f>
        <v>-0.41734737682723216</v>
      </c>
      <c r="L40" s="13">
        <f>L39-('Konfigurasi Model'!$B$11*W39)</f>
        <v>1.1042176475250121</v>
      </c>
      <c r="M40" s="13">
        <f>M39-('Konfigurasi Model'!$B$11*X39)</f>
        <v>0.83862073499625966</v>
      </c>
      <c r="N40" s="13">
        <f t="shared" si="11"/>
        <v>2.9279506870002843</v>
      </c>
      <c r="O40" s="13">
        <f t="shared" si="12"/>
        <v>0.94921096960409557</v>
      </c>
      <c r="P40" s="12">
        <f t="shared" si="13"/>
        <v>1</v>
      </c>
      <c r="Q40" s="13">
        <f t="shared" si="14"/>
        <v>-5.0789030395904433E-2</v>
      </c>
      <c r="R40" s="13">
        <f t="shared" si="15"/>
        <v>2.5795256085561044E-3</v>
      </c>
      <c r="T40" s="14">
        <f t="shared" si="16"/>
        <v>-4.8970280080322687E-3</v>
      </c>
      <c r="U40" s="14">
        <f t="shared" si="17"/>
        <v>-3.2810087653816204E-2</v>
      </c>
      <c r="V40" s="14">
        <f t="shared" si="18"/>
        <v>-1.5180786824900034E-2</v>
      </c>
      <c r="W40" s="14">
        <f t="shared" si="19"/>
        <v>-2.1546923235341985E-2</v>
      </c>
      <c r="X40" s="14">
        <f t="shared" si="20"/>
        <v>-6.8558392112451757E-3</v>
      </c>
      <c r="Y40" s="12">
        <f t="shared" si="21"/>
        <v>1</v>
      </c>
    </row>
    <row r="41" spans="1:25" x14ac:dyDescent="0.3">
      <c r="A41" s="23"/>
      <c r="B41" s="12">
        <v>37</v>
      </c>
      <c r="C41" s="12">
        <v>5.6</v>
      </c>
      <c r="D41" s="12">
        <v>3</v>
      </c>
      <c r="E41" s="12">
        <v>4.5</v>
      </c>
      <c r="F41" s="12">
        <v>1.5</v>
      </c>
      <c r="G41" s="12">
        <v>1</v>
      </c>
      <c r="I41" s="13">
        <f>I40-('Konfigurasi Model'!$B$11*T40)</f>
        <v>0.26257567365125334</v>
      </c>
      <c r="J41" s="13">
        <f>J40-('Konfigurasi Model'!$B$11*U40)</f>
        <v>-0.30611975150186649</v>
      </c>
      <c r="K41" s="13">
        <f>K40-('Konfigurasi Model'!$B$11*V40)</f>
        <v>-0.41582929814474218</v>
      </c>
      <c r="L41" s="13">
        <f>L40-('Konfigurasi Model'!$B$11*W40)</f>
        <v>1.1063723398485463</v>
      </c>
      <c r="M41" s="13">
        <f>M40-('Konfigurasi Model'!$B$11*X40)</f>
        <v>0.83930631891738416</v>
      </c>
      <c r="N41" s="13">
        <f t="shared" si="11"/>
        <v>3.5384521785011094</v>
      </c>
      <c r="O41" s="13">
        <f t="shared" si="12"/>
        <v>0.97176227024976314</v>
      </c>
      <c r="P41" s="12">
        <f t="shared" si="13"/>
        <v>1</v>
      </c>
      <c r="Q41" s="13">
        <f t="shared" si="14"/>
        <v>-2.8237729750236862E-2</v>
      </c>
      <c r="R41" s="13">
        <f t="shared" si="15"/>
        <v>7.9736938144741199E-4</v>
      </c>
      <c r="T41" s="14">
        <f t="shared" si="16"/>
        <v>-1.5497069606859729E-3</v>
      </c>
      <c r="U41" s="14">
        <f t="shared" si="17"/>
        <v>-8.6783589798414482E-3</v>
      </c>
      <c r="V41" s="14">
        <f t="shared" si="18"/>
        <v>-4.6491208820579185E-3</v>
      </c>
      <c r="W41" s="14">
        <f t="shared" si="19"/>
        <v>-6.9736813230868782E-3</v>
      </c>
      <c r="X41" s="14">
        <f t="shared" si="20"/>
        <v>-2.3245604410289593E-3</v>
      </c>
      <c r="Y41" s="12">
        <f t="shared" si="21"/>
        <v>1</v>
      </c>
    </row>
    <row r="42" spans="1:25" x14ac:dyDescent="0.3">
      <c r="A42" s="23"/>
      <c r="B42" s="12">
        <v>38</v>
      </c>
      <c r="C42" s="12">
        <v>5.8</v>
      </c>
      <c r="D42" s="12">
        <v>2.7</v>
      </c>
      <c r="E42" s="12">
        <v>4.0999999999999996</v>
      </c>
      <c r="F42" s="12">
        <v>1</v>
      </c>
      <c r="G42" s="12">
        <v>1</v>
      </c>
      <c r="I42" s="13">
        <f>I41-('Konfigurasi Model'!$B$11*T41)</f>
        <v>0.26273064434732196</v>
      </c>
      <c r="J42" s="13">
        <f>J41-('Konfigurasi Model'!$B$11*U41)</f>
        <v>-0.30525191560388232</v>
      </c>
      <c r="K42" s="13">
        <f>K41-('Konfigurasi Model'!$B$11*V41)</f>
        <v>-0.41536438605653636</v>
      </c>
      <c r="L42" s="13">
        <f>L41-('Konfigurasi Model'!$B$11*W41)</f>
        <v>1.1070697079808549</v>
      </c>
      <c r="M42" s="13">
        <f>M41-('Konfigurasi Model'!$B$11*X41)</f>
        <v>0.8395387749614871</v>
      </c>
      <c r="N42" s="13">
        <f t="shared" si="11"/>
        <v>2.7493102691751483</v>
      </c>
      <c r="O42" s="13">
        <f t="shared" si="12"/>
        <v>0.93987438459783412</v>
      </c>
      <c r="P42" s="12">
        <f t="shared" si="13"/>
        <v>1</v>
      </c>
      <c r="Q42" s="13">
        <f t="shared" si="14"/>
        <v>-6.0125615402165877E-2</v>
      </c>
      <c r="R42" s="13">
        <f t="shared" si="15"/>
        <v>3.6150896274891667E-3</v>
      </c>
      <c r="T42" s="14">
        <f t="shared" si="16"/>
        <v>-6.7954602778047875E-3</v>
      </c>
      <c r="U42" s="14">
        <f t="shared" si="17"/>
        <v>-3.9413669611267764E-2</v>
      </c>
      <c r="V42" s="14">
        <f t="shared" si="18"/>
        <v>-1.8347742750072928E-2</v>
      </c>
      <c r="W42" s="14">
        <f t="shared" si="19"/>
        <v>-2.7861387138999626E-2</v>
      </c>
      <c r="X42" s="14">
        <f t="shared" si="20"/>
        <v>-6.7954602778047875E-3</v>
      </c>
      <c r="Y42" s="12">
        <f t="shared" si="21"/>
        <v>1</v>
      </c>
    </row>
    <row r="43" spans="1:25" x14ac:dyDescent="0.3">
      <c r="A43" s="23"/>
      <c r="B43" s="12">
        <v>39</v>
      </c>
      <c r="C43" s="12">
        <v>6.2</v>
      </c>
      <c r="D43" s="12">
        <v>2.2000000000000002</v>
      </c>
      <c r="E43" s="12">
        <v>4.5</v>
      </c>
      <c r="F43" s="12">
        <v>1.5</v>
      </c>
      <c r="G43" s="12">
        <v>1</v>
      </c>
      <c r="I43" s="13">
        <f>I42-('Konfigurasi Model'!$B$11*T42)</f>
        <v>0.26341019037510244</v>
      </c>
      <c r="J43" s="13">
        <f>J42-('Konfigurasi Model'!$B$11*U42)</f>
        <v>-0.30131054864275553</v>
      </c>
      <c r="K43" s="13">
        <f>K42-('Konfigurasi Model'!$B$11*V42)</f>
        <v>-0.41352961178152908</v>
      </c>
      <c r="L43" s="13">
        <f>L42-('Konfigurasi Model'!$B$11*W42)</f>
        <v>1.1098558466947548</v>
      </c>
      <c r="M43" s="13">
        <f>M42-('Konfigurasi Model'!$B$11*X42)</f>
        <v>0.84021832098926763</v>
      </c>
      <c r="N43" s="13">
        <f t="shared" si="11"/>
        <v>3.740198434480952</v>
      </c>
      <c r="O43" s="13">
        <f t="shared" si="12"/>
        <v>0.97680155885942443</v>
      </c>
      <c r="P43" s="12">
        <f t="shared" si="13"/>
        <v>1</v>
      </c>
      <c r="Q43" s="13">
        <f t="shared" si="14"/>
        <v>-2.3198441140575565E-2</v>
      </c>
      <c r="R43" s="13">
        <f t="shared" si="15"/>
        <v>5.3816767135274899E-4</v>
      </c>
      <c r="T43" s="14">
        <f t="shared" si="16"/>
        <v>-1.0513660406102233E-3</v>
      </c>
      <c r="U43" s="14">
        <f t="shared" si="17"/>
        <v>-6.5184694517833848E-3</v>
      </c>
      <c r="V43" s="14">
        <f t="shared" si="18"/>
        <v>-2.3130052893424913E-3</v>
      </c>
      <c r="W43" s="14">
        <f t="shared" si="19"/>
        <v>-4.7311471827460047E-3</v>
      </c>
      <c r="X43" s="14">
        <f t="shared" si="20"/>
        <v>-1.5770490609153349E-3</v>
      </c>
      <c r="Y43" s="12">
        <f t="shared" si="21"/>
        <v>1</v>
      </c>
    </row>
    <row r="44" spans="1:25" x14ac:dyDescent="0.3">
      <c r="A44" s="23"/>
      <c r="B44" s="12">
        <v>40</v>
      </c>
      <c r="C44" s="12">
        <v>5.6</v>
      </c>
      <c r="D44" s="12">
        <v>2.5</v>
      </c>
      <c r="E44" s="12">
        <v>3.9</v>
      </c>
      <c r="F44" s="12">
        <v>1.1000000000000001</v>
      </c>
      <c r="G44" s="12">
        <v>1</v>
      </c>
      <c r="I44" s="13">
        <f>I43-('Konfigurasi Model'!$B$11*T43)</f>
        <v>0.26351532697916347</v>
      </c>
      <c r="J44" s="13">
        <f>J43-('Konfigurasi Model'!$B$11*U43)</f>
        <v>-0.30065870169757719</v>
      </c>
      <c r="K44" s="13">
        <f>K43-('Konfigurasi Model'!$B$11*V43)</f>
        <v>-0.41329831125259481</v>
      </c>
      <c r="L44" s="13">
        <f>L43-('Konfigurasi Model'!$B$11*W43)</f>
        <v>1.1103289614130294</v>
      </c>
      <c r="M44" s="13">
        <f>M43-('Konfigurasi Model'!$B$11*X43)</f>
        <v>0.8403760258953592</v>
      </c>
      <c r="N44" s="13">
        <f t="shared" si="11"/>
        <v>2.8012773973369538</v>
      </c>
      <c r="O44" s="13">
        <f t="shared" si="12"/>
        <v>0.94274481322415316</v>
      </c>
      <c r="P44" s="12">
        <f t="shared" si="13"/>
        <v>1</v>
      </c>
      <c r="Q44" s="13">
        <f t="shared" si="14"/>
        <v>-5.7255186775846845E-2</v>
      </c>
      <c r="R44" s="13">
        <f t="shared" si="15"/>
        <v>3.2781564127371075E-3</v>
      </c>
      <c r="T44" s="14">
        <f t="shared" si="16"/>
        <v>-6.1809299100908082E-3</v>
      </c>
      <c r="U44" s="14">
        <f t="shared" si="17"/>
        <v>-3.4613207496508522E-2</v>
      </c>
      <c r="V44" s="14">
        <f t="shared" si="18"/>
        <v>-1.5452324775227021E-2</v>
      </c>
      <c r="W44" s="14">
        <f t="shared" si="19"/>
        <v>-2.4105626649354152E-2</v>
      </c>
      <c r="X44" s="14">
        <f t="shared" si="20"/>
        <v>-6.7990229010998892E-3</v>
      </c>
      <c r="Y44" s="12">
        <f t="shared" si="21"/>
        <v>1</v>
      </c>
    </row>
    <row r="45" spans="1:25" x14ac:dyDescent="0.3">
      <c r="A45" s="23"/>
      <c r="B45" s="12">
        <v>41</v>
      </c>
      <c r="C45" s="12">
        <v>5.4</v>
      </c>
      <c r="D45" s="12">
        <v>3.4</v>
      </c>
      <c r="E45" s="12">
        <v>1.7</v>
      </c>
      <c r="F45" s="12">
        <v>0.2</v>
      </c>
      <c r="G45" s="12">
        <v>0</v>
      </c>
      <c r="I45" s="13">
        <f>I44-('Konfigurasi Model'!$B$11*T44)</f>
        <v>0.26413341997017253</v>
      </c>
      <c r="J45" s="13">
        <f>J44-('Konfigurasi Model'!$B$11*U44)</f>
        <v>-0.29719738094792636</v>
      </c>
      <c r="K45" s="13">
        <f>K44-('Konfigurasi Model'!$B$11*V44)</f>
        <v>-0.41175307877507211</v>
      </c>
      <c r="L45" s="13">
        <f>L44-('Konfigurasi Model'!$B$11*W44)</f>
        <v>1.1127395240779647</v>
      </c>
      <c r="M45" s="13">
        <f>M44-('Konfigurasi Model'!$B$11*X44)</f>
        <v>0.84105592818546915</v>
      </c>
      <c r="N45" s="13">
        <f t="shared" si="11"/>
        <v>-0.6808245284142409</v>
      </c>
      <c r="O45" s="13">
        <f t="shared" si="12"/>
        <v>0.33607730124848306</v>
      </c>
      <c r="P45" s="12">
        <f t="shared" si="13"/>
        <v>0</v>
      </c>
      <c r="Q45" s="13">
        <f t="shared" si="14"/>
        <v>0.33607730124848306</v>
      </c>
      <c r="R45" s="13">
        <f t="shared" si="15"/>
        <v>0.11294795241446363</v>
      </c>
      <c r="T45" s="14">
        <f t="shared" si="16"/>
        <v>0.14997741877093723</v>
      </c>
      <c r="U45" s="14">
        <f t="shared" si="17"/>
        <v>0.80987806136306106</v>
      </c>
      <c r="V45" s="14">
        <f t="shared" si="18"/>
        <v>0.5099232238211866</v>
      </c>
      <c r="W45" s="14">
        <f t="shared" si="19"/>
        <v>0.2549616119105933</v>
      </c>
      <c r="X45" s="14">
        <f t="shared" si="20"/>
        <v>2.9995483754187448E-2</v>
      </c>
      <c r="Y45" s="12">
        <f t="shared" si="21"/>
        <v>1</v>
      </c>
    </row>
    <row r="46" spans="1:25" x14ac:dyDescent="0.3">
      <c r="A46" s="23"/>
      <c r="B46" s="12">
        <v>42</v>
      </c>
      <c r="C46" s="12">
        <v>5.0999999999999996</v>
      </c>
      <c r="D46" s="12">
        <v>3.7</v>
      </c>
      <c r="E46" s="12">
        <v>1.5</v>
      </c>
      <c r="F46" s="12">
        <v>0.4</v>
      </c>
      <c r="G46" s="12">
        <v>0</v>
      </c>
      <c r="I46" s="13">
        <f>I45-('Konfigurasi Model'!$B$11*T45)</f>
        <v>0.24913567809307882</v>
      </c>
      <c r="J46" s="13">
        <f>J45-('Konfigurasi Model'!$B$11*U45)</f>
        <v>-0.37818518708423249</v>
      </c>
      <c r="K46" s="13">
        <f>K45-('Konfigurasi Model'!$B$11*V45)</f>
        <v>-0.46274540115719076</v>
      </c>
      <c r="L46" s="13">
        <f>L45-('Konfigurasi Model'!$B$11*W45)</f>
        <v>1.0872433628869054</v>
      </c>
      <c r="M46" s="13">
        <f>M45-('Konfigurasi Model'!$B$11*X45)</f>
        <v>0.83805637981005043</v>
      </c>
      <c r="N46" s="13">
        <f t="shared" si="11"/>
        <v>-1.4256791640637343</v>
      </c>
      <c r="O46" s="13">
        <f t="shared" si="12"/>
        <v>0.19377281341147909</v>
      </c>
      <c r="P46" s="12">
        <f t="shared" si="13"/>
        <v>0</v>
      </c>
      <c r="Q46" s="13">
        <f t="shared" si="14"/>
        <v>0.19377281341147909</v>
      </c>
      <c r="R46" s="13">
        <f t="shared" si="15"/>
        <v>3.754790321739989E-2</v>
      </c>
      <c r="T46" s="14">
        <f t="shared" si="16"/>
        <v>6.0544280746524771E-2</v>
      </c>
      <c r="U46" s="14">
        <f t="shared" si="17"/>
        <v>0.3087758318072763</v>
      </c>
      <c r="V46" s="14">
        <f t="shared" si="18"/>
        <v>0.22401383876214168</v>
      </c>
      <c r="W46" s="14">
        <f t="shared" si="19"/>
        <v>9.0816421119787161E-2</v>
      </c>
      <c r="X46" s="14">
        <f t="shared" si="20"/>
        <v>2.421771229860991E-2</v>
      </c>
      <c r="Y46" s="12">
        <f t="shared" si="21"/>
        <v>1</v>
      </c>
    </row>
    <row r="47" spans="1:25" x14ac:dyDescent="0.3">
      <c r="A47" s="23"/>
      <c r="B47" s="12">
        <v>43</v>
      </c>
      <c r="C47" s="12">
        <v>4.5999999999999996</v>
      </c>
      <c r="D47" s="12">
        <v>3.6</v>
      </c>
      <c r="E47" s="12">
        <v>1</v>
      </c>
      <c r="F47" s="12">
        <v>0.2</v>
      </c>
      <c r="G47" s="12">
        <v>0</v>
      </c>
      <c r="I47" s="13">
        <f>I46-('Konfigurasi Model'!$B$11*T46)</f>
        <v>0.24308125001842634</v>
      </c>
      <c r="J47" s="13">
        <f>J46-('Konfigurasi Model'!$B$11*U46)</f>
        <v>-0.40906277026496013</v>
      </c>
      <c r="K47" s="13">
        <f>K46-('Konfigurasi Model'!$B$11*V46)</f>
        <v>-0.48514678503340491</v>
      </c>
      <c r="L47" s="13">
        <f>L46-('Konfigurasi Model'!$B$11*W46)</f>
        <v>1.0781617207749266</v>
      </c>
      <c r="M47" s="13">
        <f>M46-('Konfigurasi Model'!$B$11*X46)</f>
        <v>0.83563460858018945</v>
      </c>
      <c r="N47" s="13">
        <f t="shared" si="11"/>
        <v>-2.1398472768296837</v>
      </c>
      <c r="O47" s="13">
        <f t="shared" si="12"/>
        <v>0.1052837750407503</v>
      </c>
      <c r="P47" s="12">
        <f t="shared" si="13"/>
        <v>0</v>
      </c>
      <c r="Q47" s="13">
        <f t="shared" si="14"/>
        <v>0.1052837750407503</v>
      </c>
      <c r="R47" s="13">
        <f t="shared" si="15"/>
        <v>1.1084673286831317E-2</v>
      </c>
      <c r="T47" s="14">
        <f t="shared" si="16"/>
        <v>1.9835274076200709E-2</v>
      </c>
      <c r="U47" s="14">
        <f t="shared" si="17"/>
        <v>9.124226075052326E-2</v>
      </c>
      <c r="V47" s="14">
        <f t="shared" si="18"/>
        <v>7.1406986674322548E-2</v>
      </c>
      <c r="W47" s="14">
        <f t="shared" si="19"/>
        <v>1.9835274076200709E-2</v>
      </c>
      <c r="X47" s="14">
        <f t="shared" si="20"/>
        <v>3.9670548152401421E-3</v>
      </c>
      <c r="Y47" s="12">
        <f t="shared" si="21"/>
        <v>1</v>
      </c>
    </row>
    <row r="48" spans="1:25" x14ac:dyDescent="0.3">
      <c r="A48" s="23"/>
      <c r="B48" s="12">
        <v>44</v>
      </c>
      <c r="C48" s="12">
        <v>5.0999999999999996</v>
      </c>
      <c r="D48" s="12">
        <v>3.3</v>
      </c>
      <c r="E48" s="12">
        <v>1.7</v>
      </c>
      <c r="F48" s="12">
        <v>0.5</v>
      </c>
      <c r="G48" s="12">
        <v>0</v>
      </c>
      <c r="I48" s="13">
        <f>I47-('Konfigurasi Model'!$B$11*T47)</f>
        <v>0.24109772261080628</v>
      </c>
      <c r="J48" s="13">
        <f>J47-('Konfigurasi Model'!$B$11*U47)</f>
        <v>-0.41818699634001244</v>
      </c>
      <c r="K48" s="13">
        <f>K47-('Konfigurasi Model'!$B$11*V47)</f>
        <v>-0.49228748370083719</v>
      </c>
      <c r="L48" s="13">
        <f>L47-('Konfigurasi Model'!$B$11*W47)</f>
        <v>1.0761781933673065</v>
      </c>
      <c r="M48" s="13">
        <f>M47-('Konfigurasi Model'!$B$11*X47)</f>
        <v>0.83523790309866541</v>
      </c>
      <c r="N48" s="13">
        <f t="shared" si="11"/>
        <v>-1.2690827746622666</v>
      </c>
      <c r="O48" s="13">
        <f t="shared" si="12"/>
        <v>0.21941430637133463</v>
      </c>
      <c r="P48" s="12">
        <f t="shared" si="13"/>
        <v>0</v>
      </c>
      <c r="Q48" s="13">
        <f t="shared" si="14"/>
        <v>0.21941430637133463</v>
      </c>
      <c r="R48" s="13">
        <f t="shared" si="15"/>
        <v>4.81426378404139E-2</v>
      </c>
      <c r="T48" s="14">
        <f t="shared" si="16"/>
        <v>7.5158908703546232E-2</v>
      </c>
      <c r="U48" s="14">
        <f t="shared" si="17"/>
        <v>0.38331043438808576</v>
      </c>
      <c r="V48" s="14">
        <f t="shared" si="18"/>
        <v>0.24802439872170254</v>
      </c>
      <c r="W48" s="14">
        <f t="shared" si="19"/>
        <v>0.12777014479602858</v>
      </c>
      <c r="X48" s="14">
        <f t="shared" si="20"/>
        <v>3.7579454351773116E-2</v>
      </c>
      <c r="Y48" s="12">
        <f t="shared" si="21"/>
        <v>1</v>
      </c>
    </row>
    <row r="49" spans="1:25" x14ac:dyDescent="0.3">
      <c r="A49" s="23"/>
      <c r="B49" s="12">
        <v>45</v>
      </c>
      <c r="C49" s="12">
        <v>4.8</v>
      </c>
      <c r="D49" s="12">
        <v>3.4</v>
      </c>
      <c r="E49" s="12">
        <v>1.9</v>
      </c>
      <c r="F49" s="12">
        <v>0.2</v>
      </c>
      <c r="G49" s="12">
        <v>0</v>
      </c>
      <c r="I49" s="13">
        <f>I48-('Konfigurasi Model'!$B$11*T48)</f>
        <v>0.23358183174045166</v>
      </c>
      <c r="J49" s="13">
        <f>J48-('Konfigurasi Model'!$B$11*U48)</f>
        <v>-0.45651803977882099</v>
      </c>
      <c r="K49" s="13">
        <f>K48-('Konfigurasi Model'!$B$11*V48)</f>
        <v>-0.51708992357300743</v>
      </c>
      <c r="L49" s="13">
        <f>L48-('Konfigurasi Model'!$B$11*W48)</f>
        <v>1.0634011788877036</v>
      </c>
      <c r="M49" s="13">
        <f>M48-('Konfigurasi Model'!$B$11*X48)</f>
        <v>0.83147995766348815</v>
      </c>
      <c r="N49" s="13">
        <f t="shared" si="11"/>
        <v>-1.52905226792678</v>
      </c>
      <c r="O49" s="13">
        <f t="shared" si="12"/>
        <v>0.17813239261799413</v>
      </c>
      <c r="P49" s="12">
        <f t="shared" si="13"/>
        <v>0</v>
      </c>
      <c r="Q49" s="13">
        <f t="shared" si="14"/>
        <v>0.17813239261799413</v>
      </c>
      <c r="R49" s="13">
        <f t="shared" si="15"/>
        <v>3.1731149299811211E-2</v>
      </c>
      <c r="T49" s="14">
        <f t="shared" si="16"/>
        <v>5.2157607509034108E-2</v>
      </c>
      <c r="U49" s="14">
        <f t="shared" si="17"/>
        <v>0.25035651604336373</v>
      </c>
      <c r="V49" s="14">
        <f t="shared" si="18"/>
        <v>0.17733586553071595</v>
      </c>
      <c r="W49" s="14">
        <f t="shared" si="19"/>
        <v>9.9099454267164808E-2</v>
      </c>
      <c r="X49" s="14">
        <f t="shared" si="20"/>
        <v>1.0431521501806823E-2</v>
      </c>
      <c r="Y49" s="12">
        <f t="shared" si="21"/>
        <v>1</v>
      </c>
    </row>
    <row r="50" spans="1:25" x14ac:dyDescent="0.3">
      <c r="A50" s="23"/>
      <c r="B50" s="12">
        <v>46</v>
      </c>
      <c r="C50" s="12">
        <v>5</v>
      </c>
      <c r="D50" s="12">
        <v>3</v>
      </c>
      <c r="E50" s="12">
        <v>1.6</v>
      </c>
      <c r="F50" s="12">
        <v>0.2</v>
      </c>
      <c r="G50" s="12">
        <v>0</v>
      </c>
      <c r="I50" s="13">
        <f>I49-('Konfigurasi Model'!$B$11*T49)</f>
        <v>0.22836607098954825</v>
      </c>
      <c r="J50" s="13">
        <f>J49-('Konfigurasi Model'!$B$11*U49)</f>
        <v>-0.48155369138315735</v>
      </c>
      <c r="K50" s="13">
        <f>K49-('Konfigurasi Model'!$B$11*V49)</f>
        <v>-0.53482351012607898</v>
      </c>
      <c r="L50" s="13">
        <f>L49-('Konfigurasi Model'!$B$11*W49)</f>
        <v>1.0534912334609872</v>
      </c>
      <c r="M50" s="13">
        <f>M49-('Konfigurasi Model'!$B$11*X49)</f>
        <v>0.83043680551330745</v>
      </c>
      <c r="N50" s="13">
        <f t="shared" si="11"/>
        <v>-1.9321995816642346</v>
      </c>
      <c r="O50" s="13">
        <f t="shared" si="12"/>
        <v>0.12650731952357125</v>
      </c>
      <c r="P50" s="12">
        <f t="shared" si="13"/>
        <v>0</v>
      </c>
      <c r="Q50" s="13">
        <f t="shared" si="14"/>
        <v>0.12650731952357125</v>
      </c>
      <c r="R50" s="13">
        <f t="shared" si="15"/>
        <v>1.6004101893038952E-2</v>
      </c>
      <c r="T50" s="14">
        <f t="shared" si="16"/>
        <v>2.795893172233696E-2</v>
      </c>
      <c r="U50" s="14">
        <f t="shared" si="17"/>
        <v>0.1397946586116848</v>
      </c>
      <c r="V50" s="14">
        <f t="shared" si="18"/>
        <v>8.3876795167010881E-2</v>
      </c>
      <c r="W50" s="14">
        <f t="shared" si="19"/>
        <v>4.4734290755739141E-2</v>
      </c>
      <c r="X50" s="14">
        <f t="shared" si="20"/>
        <v>5.5917863444673926E-3</v>
      </c>
      <c r="Y50" s="12">
        <f t="shared" si="21"/>
        <v>1</v>
      </c>
    </row>
    <row r="51" spans="1:25" x14ac:dyDescent="0.3">
      <c r="A51" s="23"/>
      <c r="B51" s="12">
        <v>47</v>
      </c>
      <c r="C51" s="12">
        <v>5</v>
      </c>
      <c r="D51" s="12">
        <v>3.4</v>
      </c>
      <c r="E51" s="12">
        <v>1.6</v>
      </c>
      <c r="F51" s="12">
        <v>0.4</v>
      </c>
      <c r="G51" s="12">
        <v>0</v>
      </c>
      <c r="I51" s="13">
        <f>I50-('Konfigurasi Model'!$B$11*T50)</f>
        <v>0.22557017781731456</v>
      </c>
      <c r="J51" s="13">
        <f>J50-('Konfigurasi Model'!$B$11*U50)</f>
        <v>-0.49553315724432584</v>
      </c>
      <c r="K51" s="13">
        <f>K50-('Konfigurasi Model'!$B$11*V50)</f>
        <v>-0.54321118964278003</v>
      </c>
      <c r="L51" s="13">
        <f>L50-('Konfigurasi Model'!$B$11*W50)</f>
        <v>1.0490178043854133</v>
      </c>
      <c r="M51" s="13">
        <f>M50-('Konfigurasi Model'!$B$11*X50)</f>
        <v>0.82987762687886069</v>
      </c>
      <c r="N51" s="13">
        <f t="shared" si="11"/>
        <v>-2.0886341154215611</v>
      </c>
      <c r="O51" s="13">
        <f t="shared" si="12"/>
        <v>0.11020644305263322</v>
      </c>
      <c r="P51" s="12">
        <f t="shared" si="13"/>
        <v>0</v>
      </c>
      <c r="Q51" s="13">
        <f t="shared" si="14"/>
        <v>0.11020644305263322</v>
      </c>
      <c r="R51" s="13">
        <f t="shared" si="15"/>
        <v>1.2145460090313288E-2</v>
      </c>
      <c r="T51" s="14">
        <f t="shared" si="16"/>
        <v>2.1613904269044294E-2</v>
      </c>
      <c r="U51" s="14">
        <f t="shared" si="17"/>
        <v>0.10806952134522146</v>
      </c>
      <c r="V51" s="14">
        <f t="shared" si="18"/>
        <v>7.3487274514750595E-2</v>
      </c>
      <c r="W51" s="14">
        <f t="shared" si="19"/>
        <v>3.458224683047087E-2</v>
      </c>
      <c r="X51" s="14">
        <f t="shared" si="20"/>
        <v>8.6455617076177174E-3</v>
      </c>
      <c r="Y51" s="12">
        <f t="shared" si="21"/>
        <v>1</v>
      </c>
    </row>
    <row r="52" spans="1:25" x14ac:dyDescent="0.3">
      <c r="A52" s="23"/>
      <c r="B52" s="12">
        <v>48</v>
      </c>
      <c r="C52" s="12">
        <v>5.2</v>
      </c>
      <c r="D52" s="12">
        <v>3.5</v>
      </c>
      <c r="E52" s="12">
        <v>1.5</v>
      </c>
      <c r="F52" s="12">
        <v>0.2</v>
      </c>
      <c r="G52" s="12">
        <v>0</v>
      </c>
      <c r="I52" s="13">
        <f>I51-('Konfigurasi Model'!$B$11*T51)</f>
        <v>0.22340878739041012</v>
      </c>
      <c r="J52" s="13">
        <f>J51-('Konfigurasi Model'!$B$11*U51)</f>
        <v>-0.50634010937884799</v>
      </c>
      <c r="K52" s="13">
        <f>K51-('Konfigurasi Model'!$B$11*V51)</f>
        <v>-0.55055991709425511</v>
      </c>
      <c r="L52" s="13">
        <f>L51-('Konfigurasi Model'!$B$11*W51)</f>
        <v>1.0455595797023662</v>
      </c>
      <c r="M52" s="13">
        <f>M51-('Konfigurasi Model'!$B$11*X51)</f>
        <v>0.82901307070809893</v>
      </c>
      <c r="N52" s="13">
        <f t="shared" si="11"/>
        <v>-2.6023775075143236</v>
      </c>
      <c r="O52" s="13">
        <f t="shared" si="12"/>
        <v>6.8985564657243884E-2</v>
      </c>
      <c r="P52" s="12">
        <f t="shared" si="13"/>
        <v>0</v>
      </c>
      <c r="Q52" s="13">
        <f t="shared" si="14"/>
        <v>6.8985564657243884E-2</v>
      </c>
      <c r="R52" s="13">
        <f t="shared" si="15"/>
        <v>4.7590081310787766E-3</v>
      </c>
      <c r="T52" s="14">
        <f t="shared" si="16"/>
        <v>8.8614105358957827E-3</v>
      </c>
      <c r="U52" s="14">
        <f t="shared" si="17"/>
        <v>4.6079334786658072E-2</v>
      </c>
      <c r="V52" s="14">
        <f t="shared" si="18"/>
        <v>3.1014936875635238E-2</v>
      </c>
      <c r="W52" s="14">
        <f t="shared" si="19"/>
        <v>1.3292115803843674E-2</v>
      </c>
      <c r="X52" s="14">
        <f t="shared" si="20"/>
        <v>1.7722821071791566E-3</v>
      </c>
      <c r="Y52" s="12">
        <f t="shared" si="21"/>
        <v>1</v>
      </c>
    </row>
    <row r="53" spans="1:25" x14ac:dyDescent="0.3">
      <c r="A53" s="23"/>
      <c r="B53" s="12">
        <v>49</v>
      </c>
      <c r="C53" s="12">
        <v>5.2</v>
      </c>
      <c r="D53" s="12">
        <v>3.4</v>
      </c>
      <c r="E53" s="12">
        <v>1.4</v>
      </c>
      <c r="F53" s="12">
        <v>0.2</v>
      </c>
      <c r="G53" s="12">
        <v>0</v>
      </c>
      <c r="I53" s="13">
        <f>I52-('Konfigurasi Model'!$B$11*T52)</f>
        <v>0.22252264633682053</v>
      </c>
      <c r="J53" s="13">
        <f>J52-('Konfigurasi Model'!$B$11*U52)</f>
        <v>-0.51094804285751383</v>
      </c>
      <c r="K53" s="13">
        <f>K52-('Konfigurasi Model'!$B$11*V52)</f>
        <v>-0.55366141078181863</v>
      </c>
      <c r="L53" s="13">
        <f>L52-('Konfigurasi Model'!$B$11*W52)</f>
        <v>1.0442303681219818</v>
      </c>
      <c r="M53" s="13">
        <f>M52-('Konfigurasi Model'!$B$11*X52)</f>
        <v>0.82883584249738107</v>
      </c>
      <c r="N53" s="13">
        <f t="shared" si="11"/>
        <v>-2.6891662893101835</v>
      </c>
      <c r="O53" s="13">
        <f t="shared" si="12"/>
        <v>6.3615663341323583E-2</v>
      </c>
      <c r="P53" s="12">
        <f t="shared" si="13"/>
        <v>0</v>
      </c>
      <c r="Q53" s="13">
        <f t="shared" si="14"/>
        <v>6.3615663341323583E-2</v>
      </c>
      <c r="R53" s="13">
        <f t="shared" si="15"/>
        <v>4.0469526223566215E-3</v>
      </c>
      <c r="T53" s="14">
        <f t="shared" si="16"/>
        <v>7.5790060935489916E-3</v>
      </c>
      <c r="U53" s="14">
        <f t="shared" si="17"/>
        <v>3.9410831686454754E-2</v>
      </c>
      <c r="V53" s="14">
        <f t="shared" si="18"/>
        <v>2.5768620718066571E-2</v>
      </c>
      <c r="W53" s="14">
        <f t="shared" si="19"/>
        <v>1.0610608530968587E-2</v>
      </c>
      <c r="X53" s="14">
        <f t="shared" si="20"/>
        <v>1.5158012187097983E-3</v>
      </c>
      <c r="Y53" s="12">
        <f t="shared" si="21"/>
        <v>1</v>
      </c>
    </row>
    <row r="54" spans="1:25" x14ac:dyDescent="0.3">
      <c r="A54" s="23"/>
      <c r="B54" s="12">
        <v>50</v>
      </c>
      <c r="C54" s="12">
        <v>4.7</v>
      </c>
      <c r="D54" s="12">
        <v>3.2</v>
      </c>
      <c r="E54" s="12">
        <v>1.6</v>
      </c>
      <c r="F54" s="12">
        <v>0.2</v>
      </c>
      <c r="G54" s="12">
        <v>0</v>
      </c>
      <c r="I54" s="13">
        <f>I53-('Konfigurasi Model'!$B$11*T53)</f>
        <v>0.22176474572746563</v>
      </c>
      <c r="J54" s="13">
        <f>J53-('Konfigurasi Model'!$B$11*U53)</f>
        <v>-0.51488912602615933</v>
      </c>
      <c r="K54" s="13">
        <f>K53-('Konfigurasi Model'!$B$11*V53)</f>
        <v>-0.55623827285362526</v>
      </c>
      <c r="L54" s="13">
        <f>L53-('Konfigurasi Model'!$B$11*W53)</f>
        <v>1.043169307268885</v>
      </c>
      <c r="M54" s="13">
        <f>M53-('Konfigurasi Model'!$B$11*X53)</f>
        <v>0.82868426237551007</v>
      </c>
      <c r="N54" s="13">
        <f t="shared" si="11"/>
        <v>-2.1433688756217659</v>
      </c>
      <c r="O54" s="13">
        <f t="shared" si="12"/>
        <v>0.10495250441698482</v>
      </c>
      <c r="P54" s="12">
        <f t="shared" si="13"/>
        <v>0</v>
      </c>
      <c r="Q54" s="13">
        <f t="shared" si="14"/>
        <v>0.10495250441698482</v>
      </c>
      <c r="R54" s="13">
        <f t="shared" si="15"/>
        <v>1.1015028183397219E-2</v>
      </c>
      <c r="T54" s="14">
        <f t="shared" si="16"/>
        <v>1.9717946778652021E-2</v>
      </c>
      <c r="U54" s="14">
        <f t="shared" si="17"/>
        <v>9.2674349859664509E-2</v>
      </c>
      <c r="V54" s="14">
        <f t="shared" si="18"/>
        <v>6.3097429691686469E-2</v>
      </c>
      <c r="W54" s="14">
        <f t="shared" si="19"/>
        <v>3.1548714845843234E-2</v>
      </c>
      <c r="X54" s="14">
        <f t="shared" si="20"/>
        <v>3.9435893557304043E-3</v>
      </c>
      <c r="Y54" s="12">
        <f t="shared" si="21"/>
        <v>1</v>
      </c>
    </row>
    <row r="55" spans="1:25" x14ac:dyDescent="0.3">
      <c r="A55" s="23"/>
      <c r="B55" s="12">
        <v>51</v>
      </c>
      <c r="C55" s="12">
        <v>4.8</v>
      </c>
      <c r="D55" s="12">
        <v>3.1</v>
      </c>
      <c r="E55" s="12">
        <v>1.6</v>
      </c>
      <c r="F55" s="12">
        <v>0.2</v>
      </c>
      <c r="G55" s="12">
        <v>0</v>
      </c>
      <c r="I55" s="13">
        <f>I54-('Konfigurasi Model'!$B$11*T54)</f>
        <v>0.21979295104960042</v>
      </c>
      <c r="J55" s="13">
        <f>J54-('Konfigurasi Model'!$B$11*U54)</f>
        <v>-0.52415656101212582</v>
      </c>
      <c r="K55" s="13">
        <f>K54-('Konfigurasi Model'!$B$11*V54)</f>
        <v>-0.5625480158227939</v>
      </c>
      <c r="L55" s="13">
        <f>L54-('Konfigurasi Model'!$B$11*W54)</f>
        <v>1.0400144357843006</v>
      </c>
      <c r="M55" s="13">
        <f>M54-('Konfigurasi Model'!$B$11*X54)</f>
        <v>0.82828990343993703</v>
      </c>
      <c r="N55" s="13">
        <f t="shared" si="11"/>
        <v>-2.210376312916396</v>
      </c>
      <c r="O55" s="13">
        <f t="shared" si="12"/>
        <v>9.8822554947837246E-2</v>
      </c>
      <c r="P55" s="12">
        <f t="shared" si="13"/>
        <v>0</v>
      </c>
      <c r="Q55" s="13">
        <f t="shared" si="14"/>
        <v>9.8822554947837246E-2</v>
      </c>
      <c r="R55" s="13">
        <f t="shared" si="15"/>
        <v>9.7658973664183114E-3</v>
      </c>
      <c r="T55" s="14">
        <f t="shared" si="16"/>
        <v>1.7601612874621E-2</v>
      </c>
      <c r="U55" s="14">
        <f t="shared" si="17"/>
        <v>8.448774179818079E-2</v>
      </c>
      <c r="V55" s="14">
        <f t="shared" si="18"/>
        <v>5.4564999911325102E-2</v>
      </c>
      <c r="W55" s="14">
        <f t="shared" si="19"/>
        <v>2.81625805993936E-2</v>
      </c>
      <c r="X55" s="14">
        <f t="shared" si="20"/>
        <v>3.5203225749242E-3</v>
      </c>
      <c r="Y55" s="12">
        <f t="shared" si="21"/>
        <v>1</v>
      </c>
    </row>
    <row r="56" spans="1:25" x14ac:dyDescent="0.3">
      <c r="A56" s="23"/>
      <c r="B56" s="12">
        <v>52</v>
      </c>
      <c r="C56" s="12">
        <v>5.4</v>
      </c>
      <c r="D56" s="12">
        <v>3.4</v>
      </c>
      <c r="E56" s="12">
        <v>1.5</v>
      </c>
      <c r="F56" s="12">
        <v>0.4</v>
      </c>
      <c r="G56" s="12">
        <v>0</v>
      </c>
      <c r="I56" s="13">
        <f>I55-('Konfigurasi Model'!$B$11*T55)</f>
        <v>0.21803278976213833</v>
      </c>
      <c r="J56" s="13">
        <f>J55-('Konfigurasi Model'!$B$11*U55)</f>
        <v>-0.53260533519194386</v>
      </c>
      <c r="K56" s="13">
        <f>K55-('Konfigurasi Model'!$B$11*V55)</f>
        <v>-0.56800451581392641</v>
      </c>
      <c r="L56" s="13">
        <f>L55-('Konfigurasi Model'!$B$11*W55)</f>
        <v>1.0371981777243613</v>
      </c>
      <c r="M56" s="13">
        <f>M55-('Konfigurasi Model'!$B$11*X55)</f>
        <v>0.82793787118244455</v>
      </c>
      <c r="N56" s="13">
        <f t="shared" si="11"/>
        <v>-2.7022789589821889</v>
      </c>
      <c r="O56" s="13">
        <f t="shared" si="12"/>
        <v>6.2839013759090415E-2</v>
      </c>
      <c r="P56" s="12">
        <f t="shared" si="13"/>
        <v>0</v>
      </c>
      <c r="Q56" s="13">
        <f t="shared" si="14"/>
        <v>6.2839013759090415E-2</v>
      </c>
      <c r="R56" s="13">
        <f t="shared" si="15"/>
        <v>3.9487416502151547E-3</v>
      </c>
      <c r="T56" s="14">
        <f t="shared" si="16"/>
        <v>7.4012132386523819E-3</v>
      </c>
      <c r="U56" s="14">
        <f t="shared" si="17"/>
        <v>3.9966551488722864E-2</v>
      </c>
      <c r="V56" s="14">
        <f t="shared" si="18"/>
        <v>2.5164125011418098E-2</v>
      </c>
      <c r="W56" s="14">
        <f t="shared" si="19"/>
        <v>1.1101819857978572E-2</v>
      </c>
      <c r="X56" s="14">
        <f t="shared" si="20"/>
        <v>2.9604852954609531E-3</v>
      </c>
      <c r="Y56" s="12">
        <f t="shared" si="21"/>
        <v>1</v>
      </c>
    </row>
    <row r="57" spans="1:25" x14ac:dyDescent="0.3">
      <c r="A57" s="23"/>
      <c r="B57" s="12">
        <v>53</v>
      </c>
      <c r="C57" s="12">
        <v>5.2</v>
      </c>
      <c r="D57" s="12">
        <v>4.0999999999999996</v>
      </c>
      <c r="E57" s="12">
        <v>1.5</v>
      </c>
      <c r="F57" s="12">
        <v>0.1</v>
      </c>
      <c r="G57" s="12">
        <v>0</v>
      </c>
      <c r="I57" s="13">
        <f>I56-('Konfigurasi Model'!$B$11*T56)</f>
        <v>0.21729266843827308</v>
      </c>
      <c r="J57" s="13">
        <f>J56-('Konfigurasi Model'!$B$11*U56)</f>
        <v>-0.53660199034081613</v>
      </c>
      <c r="K57" s="13">
        <f>K56-('Konfigurasi Model'!$B$11*V56)</f>
        <v>-0.57052092831506818</v>
      </c>
      <c r="L57" s="13">
        <f>L56-('Konfigurasi Model'!$B$11*W56)</f>
        <v>1.0360879957385634</v>
      </c>
      <c r="M57" s="13">
        <f>M56-('Konfigurasi Model'!$B$11*X56)</f>
        <v>0.82764182265289843</v>
      </c>
      <c r="N57" s="13">
        <f t="shared" si="11"/>
        <v>-3.2752773115526157</v>
      </c>
      <c r="O57" s="13">
        <f t="shared" si="12"/>
        <v>3.6429129965817944E-2</v>
      </c>
      <c r="P57" s="12">
        <f t="shared" si="13"/>
        <v>0</v>
      </c>
      <c r="Q57" s="13">
        <f t="shared" si="14"/>
        <v>3.6429129965817944E-2</v>
      </c>
      <c r="R57" s="13">
        <f t="shared" si="15"/>
        <v>1.3270815100664549E-3</v>
      </c>
      <c r="T57" s="14">
        <f t="shared" si="16"/>
        <v>2.5574741705220202E-3</v>
      </c>
      <c r="U57" s="14">
        <f t="shared" si="17"/>
        <v>1.3298865686714506E-2</v>
      </c>
      <c r="V57" s="14">
        <f t="shared" si="18"/>
        <v>1.0485644099140282E-2</v>
      </c>
      <c r="W57" s="14">
        <f t="shared" si="19"/>
        <v>3.8362112557830301E-3</v>
      </c>
      <c r="X57" s="14">
        <f t="shared" si="20"/>
        <v>2.5574741705220203E-4</v>
      </c>
      <c r="Y57" s="12">
        <f t="shared" si="21"/>
        <v>1</v>
      </c>
    </row>
    <row r="58" spans="1:25" x14ac:dyDescent="0.3">
      <c r="A58" s="23"/>
      <c r="B58" s="12">
        <v>54</v>
      </c>
      <c r="C58" s="12">
        <v>5.5</v>
      </c>
      <c r="D58" s="12">
        <v>4.2</v>
      </c>
      <c r="E58" s="12">
        <v>1.4</v>
      </c>
      <c r="F58" s="12">
        <v>0.2</v>
      </c>
      <c r="G58" s="12">
        <v>0</v>
      </c>
      <c r="I58" s="13">
        <f>I57-('Konfigurasi Model'!$B$11*T57)</f>
        <v>0.21703692102122088</v>
      </c>
      <c r="J58" s="13">
        <f>J57-('Konfigurasi Model'!$B$11*U57)</f>
        <v>-0.53793187690948763</v>
      </c>
      <c r="K58" s="13">
        <f>K57-('Konfigurasi Model'!$B$11*V57)</f>
        <v>-0.57156949272498225</v>
      </c>
      <c r="L58" s="13">
        <f>L57-('Konfigurasi Model'!$B$11*W57)</f>
        <v>1.035704374612985</v>
      </c>
      <c r="M58" s="13">
        <f>M57-('Konfigurasi Model'!$B$11*X57)</f>
        <v>0.82761624791119326</v>
      </c>
      <c r="N58" s="13">
        <f t="shared" si="11"/>
        <v>-3.5266708973854692</v>
      </c>
      <c r="O58" s="13">
        <f t="shared" si="12"/>
        <v>2.8562815403881427E-2</v>
      </c>
      <c r="P58" s="12">
        <f t="shared" si="13"/>
        <v>0</v>
      </c>
      <c r="Q58" s="13">
        <f t="shared" si="14"/>
        <v>2.8562815403881427E-2</v>
      </c>
      <c r="R58" s="13">
        <f t="shared" si="15"/>
        <v>8.1583442379620612E-4</v>
      </c>
      <c r="T58" s="14">
        <f t="shared" si="16"/>
        <v>1.5850637914983663E-3</v>
      </c>
      <c r="U58" s="14">
        <f t="shared" si="17"/>
        <v>8.7178508532410152E-3</v>
      </c>
      <c r="V58" s="14">
        <f t="shared" si="18"/>
        <v>6.6572679242931383E-3</v>
      </c>
      <c r="W58" s="14">
        <f t="shared" si="19"/>
        <v>2.2190893080977128E-3</v>
      </c>
      <c r="X58" s="14">
        <f t="shared" si="20"/>
        <v>3.1701275829967325E-4</v>
      </c>
      <c r="Y58" s="12">
        <f t="shared" si="21"/>
        <v>1</v>
      </c>
    </row>
    <row r="59" spans="1:25" x14ac:dyDescent="0.3">
      <c r="A59" s="23"/>
      <c r="B59" s="12">
        <v>55</v>
      </c>
      <c r="C59" s="12">
        <v>4.9000000000000004</v>
      </c>
      <c r="D59" s="12">
        <v>3.1</v>
      </c>
      <c r="E59" s="12">
        <v>1.5</v>
      </c>
      <c r="F59" s="12">
        <v>0.1</v>
      </c>
      <c r="G59" s="12">
        <v>0</v>
      </c>
      <c r="I59" s="13">
        <f>I58-('Konfigurasi Model'!$B$11*T58)</f>
        <v>0.21687841464207105</v>
      </c>
      <c r="J59" s="13">
        <f>J58-('Konfigurasi Model'!$B$11*U58)</f>
        <v>-0.53880366199481178</v>
      </c>
      <c r="K59" s="13">
        <f>K58-('Konfigurasi Model'!$B$11*V58)</f>
        <v>-0.57223521951741152</v>
      </c>
      <c r="L59" s="13">
        <f>L58-('Konfigurasi Model'!$B$11*W58)</f>
        <v>1.0354824656821753</v>
      </c>
      <c r="M59" s="13">
        <f>M58-('Konfigurasi Model'!$B$11*X58)</f>
        <v>0.82758454663536329</v>
      </c>
      <c r="N59" s="13">
        <f t="shared" si="11"/>
        <v>-2.5612065564496835</v>
      </c>
      <c r="O59" s="13">
        <f t="shared" si="12"/>
        <v>7.1677216985986114E-2</v>
      </c>
      <c r="P59" s="12">
        <f t="shared" si="13"/>
        <v>0</v>
      </c>
      <c r="Q59" s="13">
        <f t="shared" si="14"/>
        <v>7.1677216985986114E-2</v>
      </c>
      <c r="R59" s="13">
        <f t="shared" si="15"/>
        <v>5.1376234348561364E-3</v>
      </c>
      <c r="T59" s="14">
        <f t="shared" si="16"/>
        <v>9.5387457702473324E-3</v>
      </c>
      <c r="U59" s="14">
        <f t="shared" si="17"/>
        <v>4.6739854274211935E-2</v>
      </c>
      <c r="V59" s="14">
        <f t="shared" si="18"/>
        <v>2.9570111887766731E-2</v>
      </c>
      <c r="W59" s="14">
        <f t="shared" si="19"/>
        <v>1.4308118655370999E-2</v>
      </c>
      <c r="X59" s="14">
        <f t="shared" si="20"/>
        <v>9.5387457702473329E-4</v>
      </c>
      <c r="Y59" s="12">
        <f t="shared" si="21"/>
        <v>1</v>
      </c>
    </row>
    <row r="60" spans="1:25" x14ac:dyDescent="0.3">
      <c r="A60" s="23"/>
      <c r="B60" s="12">
        <v>56</v>
      </c>
      <c r="C60" s="12">
        <v>5</v>
      </c>
      <c r="D60" s="12">
        <v>3.2</v>
      </c>
      <c r="E60" s="12">
        <v>1.2</v>
      </c>
      <c r="F60" s="12">
        <v>0.2</v>
      </c>
      <c r="G60" s="12">
        <v>0</v>
      </c>
      <c r="I60" s="13">
        <f>I59-('Konfigurasi Model'!$B$11*T59)</f>
        <v>0.21592454006504633</v>
      </c>
      <c r="J60" s="13">
        <f>J59-('Konfigurasi Model'!$B$11*U59)</f>
        <v>-0.54347764742223292</v>
      </c>
      <c r="K60" s="13">
        <f>K59-('Konfigurasi Model'!$B$11*V59)</f>
        <v>-0.57519223070618819</v>
      </c>
      <c r="L60" s="13">
        <f>L59-('Konfigurasi Model'!$B$11*W59)</f>
        <v>1.0340516538166382</v>
      </c>
      <c r="M60" s="13">
        <f>M59-('Konfigurasi Model'!$B$11*X59)</f>
        <v>0.82748915917766086</v>
      </c>
      <c r="N60" s="13">
        <f t="shared" si="11"/>
        <v>-2.9357190188904232</v>
      </c>
      <c r="O60" s="13">
        <f t="shared" si="12"/>
        <v>5.0415827176643307E-2</v>
      </c>
      <c r="P60" s="12">
        <f t="shared" si="13"/>
        <v>0</v>
      </c>
      <c r="Q60" s="13">
        <f t="shared" si="14"/>
        <v>5.0415827176643307E-2</v>
      </c>
      <c r="R60" s="13">
        <f t="shared" si="15"/>
        <v>2.5417556299051659E-3</v>
      </c>
      <c r="T60" s="14">
        <f t="shared" si="16"/>
        <v>4.8272218346852138E-3</v>
      </c>
      <c r="U60" s="14">
        <f t="shared" si="17"/>
        <v>2.4136109173426068E-2</v>
      </c>
      <c r="V60" s="14">
        <f t="shared" si="18"/>
        <v>1.5447109870992685E-2</v>
      </c>
      <c r="W60" s="14">
        <f t="shared" si="19"/>
        <v>5.7926662016222564E-3</v>
      </c>
      <c r="X60" s="14">
        <f t="shared" si="20"/>
        <v>9.654443669370428E-4</v>
      </c>
      <c r="Y60" s="12">
        <f t="shared" si="21"/>
        <v>1</v>
      </c>
    </row>
    <row r="61" spans="1:25" x14ac:dyDescent="0.3">
      <c r="A61" s="23"/>
      <c r="B61" s="12">
        <v>57</v>
      </c>
      <c r="C61" s="12">
        <v>5.5</v>
      </c>
      <c r="D61" s="12">
        <v>3.5</v>
      </c>
      <c r="E61" s="12">
        <v>1.3</v>
      </c>
      <c r="F61" s="12">
        <v>0.2</v>
      </c>
      <c r="G61" s="12">
        <v>0</v>
      </c>
      <c r="I61" s="13">
        <f>I60-('Konfigurasi Model'!$B$11*T60)</f>
        <v>0.21544181788157782</v>
      </c>
      <c r="J61" s="13">
        <f>J60-('Konfigurasi Model'!$B$11*U60)</f>
        <v>-0.54589125833957552</v>
      </c>
      <c r="K61" s="13">
        <f>K60-('Konfigurasi Model'!$B$11*V60)</f>
        <v>-0.57673694169328749</v>
      </c>
      <c r="L61" s="13">
        <f>L60-('Konfigurasi Model'!$B$11*W60)</f>
        <v>1.0334723871964759</v>
      </c>
      <c r="M61" s="13">
        <f>M60-('Konfigurasi Model'!$B$11*X60)</f>
        <v>0.82739261474096715</v>
      </c>
      <c r="N61" s="13">
        <f t="shared" si="11"/>
        <v>-3.2965467726089819</v>
      </c>
      <c r="O61" s="13">
        <f t="shared" si="12"/>
        <v>3.5689845456617873E-2</v>
      </c>
      <c r="P61" s="12">
        <f t="shared" si="13"/>
        <v>0</v>
      </c>
      <c r="Q61" s="13">
        <f t="shared" si="14"/>
        <v>3.5689845456617873E-2</v>
      </c>
      <c r="R61" s="13">
        <f t="shared" si="15"/>
        <v>1.2737650687172674E-3</v>
      </c>
      <c r="T61" s="14">
        <f t="shared" si="16"/>
        <v>2.4566091805334196E-3</v>
      </c>
      <c r="U61" s="14">
        <f t="shared" si="17"/>
        <v>1.3511350492933808E-2</v>
      </c>
      <c r="V61" s="14">
        <f t="shared" si="18"/>
        <v>8.5981321318669684E-3</v>
      </c>
      <c r="W61" s="14">
        <f t="shared" si="19"/>
        <v>3.1935919346934454E-3</v>
      </c>
      <c r="X61" s="14">
        <f t="shared" si="20"/>
        <v>4.9132183610668396E-4</v>
      </c>
      <c r="Y61" s="12">
        <f t="shared" si="21"/>
        <v>1</v>
      </c>
    </row>
    <row r="62" spans="1:25" x14ac:dyDescent="0.3">
      <c r="A62" s="23"/>
      <c r="B62" s="12">
        <v>58</v>
      </c>
      <c r="C62" s="12">
        <v>4.9000000000000004</v>
      </c>
      <c r="D62" s="12">
        <v>3.1</v>
      </c>
      <c r="E62" s="12">
        <v>1.5</v>
      </c>
      <c r="F62" s="12">
        <v>0.1</v>
      </c>
      <c r="G62" s="12">
        <v>0</v>
      </c>
      <c r="I62" s="13">
        <f>I61-('Konfigurasi Model'!$B$11*T61)</f>
        <v>0.21519615696352448</v>
      </c>
      <c r="J62" s="13">
        <f>J61-('Konfigurasi Model'!$B$11*U61)</f>
        <v>-0.54724239338886893</v>
      </c>
      <c r="K62" s="13">
        <f>K61-('Konfigurasi Model'!$B$11*V61)</f>
        <v>-0.57759675490647422</v>
      </c>
      <c r="L62" s="13">
        <f>L61-('Konfigurasi Model'!$B$11*W61)</f>
        <v>1.0331530280030066</v>
      </c>
      <c r="M62" s="13">
        <f>M61-('Konfigurasi Model'!$B$11*X61)</f>
        <v>0.82734348255735646</v>
      </c>
      <c r="N62" s="13">
        <f t="shared" si="11"/>
        <v>-2.6243776205917584</v>
      </c>
      <c r="O62" s="13">
        <f t="shared" si="12"/>
        <v>6.7585901720970731E-2</v>
      </c>
      <c r="P62" s="12">
        <f t="shared" si="13"/>
        <v>0</v>
      </c>
      <c r="Q62" s="13">
        <f t="shared" si="14"/>
        <v>6.7585901720970731E-2</v>
      </c>
      <c r="R62" s="13">
        <f t="shared" si="15"/>
        <v>4.5678541114367146E-3</v>
      </c>
      <c r="T62" s="14">
        <f t="shared" si="16"/>
        <v>8.518263144770841E-3</v>
      </c>
      <c r="U62" s="14">
        <f t="shared" si="17"/>
        <v>4.1739489409377127E-2</v>
      </c>
      <c r="V62" s="14">
        <f t="shared" si="18"/>
        <v>2.6406615748789608E-2</v>
      </c>
      <c r="W62" s="14">
        <f t="shared" si="19"/>
        <v>1.2777394717156262E-2</v>
      </c>
      <c r="X62" s="14">
        <f t="shared" si="20"/>
        <v>8.518263144770841E-4</v>
      </c>
      <c r="Y62" s="12">
        <f t="shared" si="21"/>
        <v>1</v>
      </c>
    </row>
    <row r="63" spans="1:25" x14ac:dyDescent="0.3">
      <c r="A63" s="23"/>
      <c r="B63" s="12">
        <v>59</v>
      </c>
      <c r="C63" s="12">
        <v>4.4000000000000004</v>
      </c>
      <c r="D63" s="12">
        <v>3</v>
      </c>
      <c r="E63" s="12">
        <v>1.3</v>
      </c>
      <c r="F63" s="12">
        <v>0.2</v>
      </c>
      <c r="G63" s="12">
        <v>0</v>
      </c>
      <c r="I63" s="13">
        <f>I62-('Konfigurasi Model'!$B$11*T62)</f>
        <v>0.2143443306490474</v>
      </c>
      <c r="J63" s="13">
        <f>J62-('Konfigurasi Model'!$B$11*U62)</f>
        <v>-0.55141634232980663</v>
      </c>
      <c r="K63" s="13">
        <f>K62-('Konfigurasi Model'!$B$11*V62)</f>
        <v>-0.58023741648135319</v>
      </c>
      <c r="L63" s="13">
        <f>L62-('Konfigurasi Model'!$B$11*W62)</f>
        <v>1.031875288531291</v>
      </c>
      <c r="M63" s="13">
        <f>M62-('Konfigurasi Model'!$B$11*X62)</f>
        <v>0.82725829992590871</v>
      </c>
      <c r="N63" s="13">
        <f t="shared" si="11"/>
        <v>-2.4457102899703016</v>
      </c>
      <c r="O63" s="13">
        <f t="shared" si="12"/>
        <v>7.9752813861328306E-2</v>
      </c>
      <c r="P63" s="12">
        <f t="shared" si="13"/>
        <v>0</v>
      </c>
      <c r="Q63" s="13">
        <f t="shared" si="14"/>
        <v>7.9752813861328306E-2</v>
      </c>
      <c r="R63" s="13">
        <f t="shared" si="15"/>
        <v>6.3605113187996803E-3</v>
      </c>
      <c r="T63" s="14">
        <f t="shared" si="16"/>
        <v>1.1706485287057155E-2</v>
      </c>
      <c r="U63" s="14">
        <f t="shared" si="17"/>
        <v>5.1508535263051484E-2</v>
      </c>
      <c r="V63" s="14">
        <f t="shared" si="18"/>
        <v>3.5119455861171461E-2</v>
      </c>
      <c r="W63" s="14">
        <f t="shared" si="19"/>
        <v>1.5218430873174302E-2</v>
      </c>
      <c r="X63" s="14">
        <f t="shared" si="20"/>
        <v>2.3412970574114311E-3</v>
      </c>
      <c r="Y63" s="12">
        <f t="shared" si="21"/>
        <v>1</v>
      </c>
    </row>
    <row r="64" spans="1:25" x14ac:dyDescent="0.3">
      <c r="A64" s="23"/>
      <c r="B64" s="12">
        <v>60</v>
      </c>
      <c r="C64" s="12">
        <v>5.0999999999999996</v>
      </c>
      <c r="D64" s="12">
        <v>3.4</v>
      </c>
      <c r="E64" s="12">
        <v>1.5</v>
      </c>
      <c r="F64" s="12">
        <v>0.2</v>
      </c>
      <c r="G64" s="12">
        <v>0</v>
      </c>
      <c r="I64" s="13">
        <f>I63-('Konfigurasi Model'!$B$11*T63)</f>
        <v>0.21317368212034168</v>
      </c>
      <c r="J64" s="13">
        <f>J63-('Konfigurasi Model'!$B$11*U63)</f>
        <v>-0.55656719585611181</v>
      </c>
      <c r="K64" s="13">
        <f>K63-('Konfigurasi Model'!$B$11*V63)</f>
        <v>-0.5837493620674703</v>
      </c>
      <c r="L64" s="13">
        <f>L63-('Konfigurasi Model'!$B$11*W63)</f>
        <v>1.0303534454439736</v>
      </c>
      <c r="M64" s="13">
        <f>M63-('Konfigurasi Model'!$B$11*X63)</f>
        <v>0.82702417022016761</v>
      </c>
      <c r="N64" s="13">
        <f t="shared" si="11"/>
        <v>-2.8991318455652326</v>
      </c>
      <c r="O64" s="13">
        <f t="shared" si="12"/>
        <v>5.2196495740033225E-2</v>
      </c>
      <c r="P64" s="12">
        <f t="shared" si="13"/>
        <v>0</v>
      </c>
      <c r="Q64" s="13">
        <f t="shared" si="14"/>
        <v>5.2196495740033225E-2</v>
      </c>
      <c r="R64" s="13">
        <f t="shared" si="15"/>
        <v>2.7244741675393064E-3</v>
      </c>
      <c r="T64" s="14">
        <f t="shared" si="16"/>
        <v>5.1645323265190213E-3</v>
      </c>
      <c r="U64" s="14">
        <f t="shared" si="17"/>
        <v>2.6339114865247006E-2</v>
      </c>
      <c r="V64" s="14">
        <f t="shared" si="18"/>
        <v>1.7559409910164671E-2</v>
      </c>
      <c r="W64" s="14">
        <f t="shared" si="19"/>
        <v>7.746798489778532E-3</v>
      </c>
      <c r="X64" s="14">
        <f t="shared" si="20"/>
        <v>1.0329064653038043E-3</v>
      </c>
      <c r="Y64" s="12">
        <f t="shared" si="21"/>
        <v>1</v>
      </c>
    </row>
    <row r="65" spans="1:25" x14ac:dyDescent="0.3">
      <c r="A65" s="23"/>
      <c r="B65" s="12">
        <v>61</v>
      </c>
      <c r="C65" s="12">
        <v>5.9</v>
      </c>
      <c r="D65" s="12">
        <v>3.2</v>
      </c>
      <c r="E65" s="12">
        <v>4.8</v>
      </c>
      <c r="F65" s="12">
        <v>1.8</v>
      </c>
      <c r="G65" s="12">
        <v>1</v>
      </c>
      <c r="I65" s="13">
        <f>I64-('Konfigurasi Model'!$B$11*T64)</f>
        <v>0.21265722888768979</v>
      </c>
      <c r="J65" s="13">
        <f>J64-('Konfigurasi Model'!$B$11*U64)</f>
        <v>-0.55920110734263651</v>
      </c>
      <c r="K65" s="13">
        <f>K64-('Konfigurasi Model'!$B$11*V64)</f>
        <v>-0.5855053030584868</v>
      </c>
      <c r="L65" s="13">
        <f>L64-('Konfigurasi Model'!$B$11*W64)</f>
        <v>1.0295787655949957</v>
      </c>
      <c r="M65" s="13">
        <f>M64-('Konfigurasi Model'!$B$11*X64)</f>
        <v>0.82692087957363725</v>
      </c>
      <c r="N65" s="13">
        <f t="shared" si="11"/>
        <v>1.4701893838675018</v>
      </c>
      <c r="O65" s="13">
        <f t="shared" si="12"/>
        <v>0.81308616974011416</v>
      </c>
      <c r="P65" s="12">
        <f t="shared" si="13"/>
        <v>1</v>
      </c>
      <c r="Q65" s="13">
        <f t="shared" si="14"/>
        <v>-0.18691383025988584</v>
      </c>
      <c r="R65" s="13">
        <f t="shared" si="15"/>
        <v>3.4936779942421413E-2</v>
      </c>
      <c r="T65" s="14">
        <f t="shared" si="16"/>
        <v>-5.6813225172873343E-2</v>
      </c>
      <c r="U65" s="14">
        <f t="shared" si="17"/>
        <v>-0.33519802851995273</v>
      </c>
      <c r="V65" s="14">
        <f t="shared" si="18"/>
        <v>-0.1818023205531947</v>
      </c>
      <c r="W65" s="14">
        <f t="shared" si="19"/>
        <v>-0.27270348082979201</v>
      </c>
      <c r="X65" s="14">
        <f t="shared" si="20"/>
        <v>-0.10226380531117202</v>
      </c>
      <c r="Y65" s="12">
        <f t="shared" si="21"/>
        <v>1</v>
      </c>
    </row>
    <row r="66" spans="1:25" x14ac:dyDescent="0.3">
      <c r="A66" s="23"/>
      <c r="B66" s="12">
        <v>62</v>
      </c>
      <c r="C66" s="12">
        <v>6.1</v>
      </c>
      <c r="D66" s="12">
        <v>2.8</v>
      </c>
      <c r="E66" s="12">
        <v>4</v>
      </c>
      <c r="F66" s="12">
        <v>1.3</v>
      </c>
      <c r="G66" s="12">
        <v>1</v>
      </c>
      <c r="I66" s="13">
        <f>I65-('Konfigurasi Model'!$B$11*T65)</f>
        <v>0.21833855140497713</v>
      </c>
      <c r="J66" s="13">
        <f>J65-('Konfigurasi Model'!$B$11*U65)</f>
        <v>-0.52568130449064121</v>
      </c>
      <c r="K66" s="13">
        <f>K65-('Konfigurasi Model'!$B$11*V65)</f>
        <v>-0.56732507100316731</v>
      </c>
      <c r="L66" s="13">
        <f>L65-('Konfigurasi Model'!$B$11*W65)</f>
        <v>1.056849113677975</v>
      </c>
      <c r="M66" s="13">
        <f>M65-('Konfigurasi Model'!$B$11*X65)</f>
        <v>0.83714726010475449</v>
      </c>
      <c r="N66" s="13">
        <f t="shared" si="11"/>
        <v>0.73886028805127801</v>
      </c>
      <c r="O66" s="13">
        <f t="shared" si="12"/>
        <v>0.67674658235755525</v>
      </c>
      <c r="P66" s="12">
        <f t="shared" si="13"/>
        <v>1</v>
      </c>
      <c r="Q66" s="13">
        <f t="shared" si="14"/>
        <v>-0.32325341764244475</v>
      </c>
      <c r="R66" s="13">
        <f t="shared" si="15"/>
        <v>0.10449277201752082</v>
      </c>
      <c r="T66" s="14">
        <f t="shared" si="16"/>
        <v>-0.14143025268784878</v>
      </c>
      <c r="U66" s="14">
        <f t="shared" si="17"/>
        <v>-0.86272454139587751</v>
      </c>
      <c r="V66" s="14">
        <f t="shared" si="18"/>
        <v>-0.39600470752597655</v>
      </c>
      <c r="W66" s="14">
        <f t="shared" si="19"/>
        <v>-0.56572101075139514</v>
      </c>
      <c r="X66" s="14">
        <f t="shared" si="20"/>
        <v>-0.18385932849420342</v>
      </c>
      <c r="Y66" s="12">
        <f t="shared" si="21"/>
        <v>1</v>
      </c>
    </row>
    <row r="67" spans="1:25" x14ac:dyDescent="0.3">
      <c r="A67" s="23"/>
      <c r="B67" s="12">
        <v>63</v>
      </c>
      <c r="C67" s="12">
        <v>6.3</v>
      </c>
      <c r="D67" s="12">
        <v>2.5</v>
      </c>
      <c r="E67" s="12">
        <v>4.9000000000000004</v>
      </c>
      <c r="F67" s="12">
        <v>1.5</v>
      </c>
      <c r="G67" s="12">
        <v>1</v>
      </c>
      <c r="I67" s="13">
        <f>I66-('Konfigurasi Model'!$B$11*T66)</f>
        <v>0.23248157667376201</v>
      </c>
      <c r="J67" s="13">
        <f>J66-('Konfigurasi Model'!$B$11*U66)</f>
        <v>-0.43940885035105348</v>
      </c>
      <c r="K67" s="13">
        <f>K66-('Konfigurasi Model'!$B$11*V66)</f>
        <v>-0.52772460025056966</v>
      </c>
      <c r="L67" s="13">
        <f>L66-('Konfigurasi Model'!$B$11*W66)</f>
        <v>1.1134212147531144</v>
      </c>
      <c r="M67" s="13">
        <f>M66-('Konfigurasi Model'!$B$11*X66)</f>
        <v>0.85553319295417485</v>
      </c>
      <c r="N67" s="13">
        <f t="shared" si="11"/>
        <v>2.8839580605572239</v>
      </c>
      <c r="O67" s="13">
        <f t="shared" si="12"/>
        <v>0.94704770538394878</v>
      </c>
      <c r="P67" s="12">
        <f t="shared" si="13"/>
        <v>1</v>
      </c>
      <c r="Q67" s="13">
        <f t="shared" si="14"/>
        <v>-5.2952294616051221E-2</v>
      </c>
      <c r="R67" s="13">
        <f t="shared" si="15"/>
        <v>2.8039455051050871E-3</v>
      </c>
      <c r="T67" s="14">
        <f t="shared" si="16"/>
        <v>-5.3109403132628203E-3</v>
      </c>
      <c r="U67" s="14">
        <f t="shared" si="17"/>
        <v>-3.3458923973555765E-2</v>
      </c>
      <c r="V67" s="14">
        <f t="shared" si="18"/>
        <v>-1.327735078315705E-2</v>
      </c>
      <c r="W67" s="14">
        <f t="shared" si="19"/>
        <v>-2.6023607534987822E-2</v>
      </c>
      <c r="X67" s="14">
        <f t="shared" si="20"/>
        <v>-7.9664104698942313E-3</v>
      </c>
      <c r="Y67" s="12">
        <f t="shared" si="21"/>
        <v>1</v>
      </c>
    </row>
    <row r="68" spans="1:25" x14ac:dyDescent="0.3">
      <c r="A68" s="23"/>
      <c r="B68" s="12">
        <v>64</v>
      </c>
      <c r="C68" s="12">
        <v>6.1</v>
      </c>
      <c r="D68" s="12">
        <v>2.8</v>
      </c>
      <c r="E68" s="12">
        <v>4.7</v>
      </c>
      <c r="F68" s="12">
        <v>1.2</v>
      </c>
      <c r="G68" s="12">
        <v>1</v>
      </c>
      <c r="I68" s="13">
        <f>I67-('Konfigurasi Model'!$B$11*T67)</f>
        <v>0.2330126707050883</v>
      </c>
      <c r="J68" s="13">
        <f>J67-('Konfigurasi Model'!$B$11*U67)</f>
        <v>-0.43606295795369793</v>
      </c>
      <c r="K68" s="13">
        <f>K67-('Konfigurasi Model'!$B$11*V67)</f>
        <v>-0.52639686517225392</v>
      </c>
      <c r="L68" s="13">
        <f>L67-('Konfigurasi Model'!$B$11*W67)</f>
        <v>1.1160235755066132</v>
      </c>
      <c r="M68" s="13">
        <f>M67-('Konfigurasi Model'!$B$11*X67)</f>
        <v>0.85632983400116425</v>
      </c>
      <c r="N68" s="13">
        <f t="shared" si="11"/>
        <v>2.3720240103876997</v>
      </c>
      <c r="O68" s="13">
        <f t="shared" si="12"/>
        <v>0.91466896650737883</v>
      </c>
      <c r="P68" s="12">
        <f t="shared" si="13"/>
        <v>1</v>
      </c>
      <c r="Q68" s="13">
        <f t="shared" si="14"/>
        <v>-8.5331033492621167E-2</v>
      </c>
      <c r="R68" s="13">
        <f t="shared" si="15"/>
        <v>7.2813852769188355E-3</v>
      </c>
      <c r="T68" s="14">
        <f t="shared" si="16"/>
        <v>-1.3320114291962792E-2</v>
      </c>
      <c r="U68" s="14">
        <f t="shared" si="17"/>
        <v>-8.1252697180973027E-2</v>
      </c>
      <c r="V68" s="14">
        <f t="shared" si="18"/>
        <v>-3.7296320017495811E-2</v>
      </c>
      <c r="W68" s="14">
        <f t="shared" si="19"/>
        <v>-6.2604537172225125E-2</v>
      </c>
      <c r="X68" s="14">
        <f t="shared" si="20"/>
        <v>-1.5984137150355349E-2</v>
      </c>
      <c r="Y68" s="12">
        <f t="shared" si="21"/>
        <v>1</v>
      </c>
    </row>
    <row r="69" spans="1:25" x14ac:dyDescent="0.3">
      <c r="A69" s="23"/>
      <c r="B69" s="12">
        <v>65</v>
      </c>
      <c r="C69" s="12">
        <v>6.4</v>
      </c>
      <c r="D69" s="12">
        <v>2.9</v>
      </c>
      <c r="E69" s="12">
        <v>4.3</v>
      </c>
      <c r="F69" s="12">
        <v>1.3</v>
      </c>
      <c r="G69" s="12">
        <v>1</v>
      </c>
      <c r="I69" s="13">
        <f>I68-('Konfigurasi Model'!$B$11*T68)</f>
        <v>0.23434468213428458</v>
      </c>
      <c r="J69" s="13">
        <f>J68-('Konfigurasi Model'!$B$11*U68)</f>
        <v>-0.42793768823560063</v>
      </c>
      <c r="K69" s="13">
        <f>K68-('Konfigurasi Model'!$B$11*V68)</f>
        <v>-0.52266723317050434</v>
      </c>
      <c r="L69" s="13">
        <f>L68-('Konfigurasi Model'!$B$11*W68)</f>
        <v>1.1222840292238359</v>
      </c>
      <c r="M69" s="13">
        <f>M68-('Konfigurasi Model'!$B$11*X68)</f>
        <v>0.8579282477161998</v>
      </c>
      <c r="N69" s="13">
        <f t="shared" ref="N69:N84" si="22">I69+J69*C69+K69*D69+L69*E69+M69*F69</f>
        <v>1.9209365489255315</v>
      </c>
      <c r="O69" s="13">
        <f t="shared" ref="O69:O84" si="23">1/(1+EXP(-N69))</f>
        <v>0.87224283465423691</v>
      </c>
      <c r="P69" s="12">
        <f t="shared" ref="P69:P84" si="24">IF(O69&gt;0.5,1,0)</f>
        <v>1</v>
      </c>
      <c r="Q69" s="13">
        <f t="shared" ref="Q69:Q84" si="25">O69-G69</f>
        <v>-0.12775716534576309</v>
      </c>
      <c r="R69" s="13">
        <f t="shared" ref="R69:R84" si="26">Q69^2</f>
        <v>1.6321893297184649E-2</v>
      </c>
      <c r="T69" s="14">
        <f t="shared" ref="T69:T84" si="27">2*(O69-G69)*(1-O69)*O69</f>
        <v>-2.8473308952920655E-2</v>
      </c>
      <c r="U69" s="14">
        <f t="shared" ref="U69:U84" si="28">2*(O69-G69)*(1-O69)*O69*C69</f>
        <v>-0.1822291772986922</v>
      </c>
      <c r="V69" s="14">
        <f t="shared" ref="V69:V84" si="29">2*(O69-G69)*(1-O69)*O69*D69</f>
        <v>-8.25725959634699E-2</v>
      </c>
      <c r="W69" s="14">
        <f t="shared" ref="W69:W84" si="30">2*(O69-G69)*(1-O69)*O69*E69</f>
        <v>-0.12243522849755881</v>
      </c>
      <c r="X69" s="14">
        <f t="shared" ref="X69:X84" si="31">2*(O69-G69)*(1-O69)*O69*F69</f>
        <v>-3.7015301638796849E-2</v>
      </c>
      <c r="Y69" s="12">
        <f t="shared" ref="Y69:Y84" si="32">IF(P69=G69,1,0)</f>
        <v>1</v>
      </c>
    </row>
    <row r="70" spans="1:25" x14ac:dyDescent="0.3">
      <c r="A70" s="23"/>
      <c r="B70" s="12">
        <v>66</v>
      </c>
      <c r="C70" s="12">
        <v>6.6</v>
      </c>
      <c r="D70" s="12">
        <v>3</v>
      </c>
      <c r="E70" s="12">
        <v>4.4000000000000004</v>
      </c>
      <c r="F70" s="12">
        <v>1.4</v>
      </c>
      <c r="G70" s="12">
        <v>1</v>
      </c>
      <c r="I70" s="13">
        <f>I69-('Konfigurasi Model'!$B$11*T69)</f>
        <v>0.23719201302957665</v>
      </c>
      <c r="J70" s="13">
        <f>J69-('Konfigurasi Model'!$B$11*U69)</f>
        <v>-0.40971477050573141</v>
      </c>
      <c r="K70" s="13">
        <f>K69-('Konfigurasi Model'!$B$11*V69)</f>
        <v>-0.5144099735741573</v>
      </c>
      <c r="L70" s="13">
        <f>L69-('Konfigurasi Model'!$B$11*W69)</f>
        <v>1.1345275520735918</v>
      </c>
      <c r="M70" s="13">
        <f>M69-('Konfigurasi Model'!$B$11*X69)</f>
        <v>0.86162977788007944</v>
      </c>
      <c r="N70" s="13">
        <f t="shared" si="22"/>
        <v>2.1880475251251932</v>
      </c>
      <c r="O70" s="13">
        <f t="shared" si="23"/>
        <v>0.89917102811156147</v>
      </c>
      <c r="P70" s="12">
        <f t="shared" si="24"/>
        <v>1</v>
      </c>
      <c r="Q70" s="13">
        <f t="shared" si="25"/>
        <v>-0.10082897188843853</v>
      </c>
      <c r="R70" s="13">
        <f t="shared" si="26"/>
        <v>1.0166481572079528E-2</v>
      </c>
      <c r="T70" s="14">
        <f t="shared" si="27"/>
        <v>-1.8282811374887985E-2</v>
      </c>
      <c r="U70" s="14">
        <f t="shared" si="28"/>
        <v>-0.12066655507426069</v>
      </c>
      <c r="V70" s="14">
        <f t="shared" si="29"/>
        <v>-5.4848434124663954E-2</v>
      </c>
      <c r="W70" s="14">
        <f t="shared" si="30"/>
        <v>-8.0444370049507136E-2</v>
      </c>
      <c r="X70" s="14">
        <f t="shared" si="31"/>
        <v>-2.5595935924843178E-2</v>
      </c>
      <c r="Y70" s="12">
        <f t="shared" si="32"/>
        <v>1</v>
      </c>
    </row>
    <row r="71" spans="1:25" x14ac:dyDescent="0.3">
      <c r="A71" s="23"/>
      <c r="B71" s="12">
        <v>67</v>
      </c>
      <c r="C71" s="12">
        <v>6.8</v>
      </c>
      <c r="D71" s="12">
        <v>2.8</v>
      </c>
      <c r="E71" s="12">
        <v>4.8</v>
      </c>
      <c r="F71" s="12">
        <v>1.4</v>
      </c>
      <c r="G71" s="12">
        <v>1</v>
      </c>
      <c r="I71" s="13">
        <f>I70-('Konfigurasi Model'!$B$11*T70)</f>
        <v>0.23902029416706544</v>
      </c>
      <c r="J71" s="13">
        <f>J70-('Konfigurasi Model'!$B$11*U70)</f>
        <v>-0.39764811499830532</v>
      </c>
      <c r="K71" s="13">
        <f>K70-('Konfigurasi Model'!$B$11*V70)</f>
        <v>-0.50892513016169094</v>
      </c>
      <c r="L71" s="13">
        <f>L70-('Konfigurasi Model'!$B$11*W70)</f>
        <v>1.1425719890785424</v>
      </c>
      <c r="M71" s="13">
        <f>M70-('Konfigurasi Model'!$B$11*X70)</f>
        <v>0.86418937147256381</v>
      </c>
      <c r="N71" s="13">
        <f t="shared" si="22"/>
        <v>2.8042334153644473</v>
      </c>
      <c r="O71" s="13">
        <f t="shared" si="23"/>
        <v>0.94290416163385693</v>
      </c>
      <c r="P71" s="12">
        <f t="shared" si="24"/>
        <v>1</v>
      </c>
      <c r="Q71" s="13">
        <f t="shared" si="25"/>
        <v>-5.709583836614307E-2</v>
      </c>
      <c r="R71" s="13">
        <f t="shared" si="26"/>
        <v>3.259934758732735E-3</v>
      </c>
      <c r="T71" s="14">
        <f t="shared" si="27"/>
        <v>-6.1476121013279185E-3</v>
      </c>
      <c r="U71" s="14">
        <f t="shared" si="28"/>
        <v>-4.1803762289029843E-2</v>
      </c>
      <c r="V71" s="14">
        <f t="shared" si="29"/>
        <v>-1.7213313883718169E-2</v>
      </c>
      <c r="W71" s="14">
        <f t="shared" si="30"/>
        <v>-2.9508538086374006E-2</v>
      </c>
      <c r="X71" s="14">
        <f t="shared" si="31"/>
        <v>-8.6066569418590845E-3</v>
      </c>
      <c r="Y71" s="12">
        <f t="shared" si="32"/>
        <v>1</v>
      </c>
    </row>
    <row r="72" spans="1:25" x14ac:dyDescent="0.3">
      <c r="A72" s="23"/>
      <c r="B72" s="12">
        <v>68</v>
      </c>
      <c r="C72" s="12">
        <v>6.7</v>
      </c>
      <c r="D72" s="12">
        <v>3</v>
      </c>
      <c r="E72" s="12">
        <v>5</v>
      </c>
      <c r="F72" s="12">
        <v>1.7</v>
      </c>
      <c r="G72" s="12">
        <v>1</v>
      </c>
      <c r="I72" s="13">
        <f>I71-('Konfigurasi Model'!$B$11*T71)</f>
        <v>0.23963505537719823</v>
      </c>
      <c r="J72" s="13">
        <f>J71-('Konfigurasi Model'!$B$11*U71)</f>
        <v>-0.39346773876940233</v>
      </c>
      <c r="K72" s="13">
        <f>K71-('Konfigurasi Model'!$B$11*V71)</f>
        <v>-0.50720379877331911</v>
      </c>
      <c r="L72" s="13">
        <f>L71-('Konfigurasi Model'!$B$11*W71)</f>
        <v>1.1455228428871798</v>
      </c>
      <c r="M72" s="13">
        <f>M71-('Konfigurasi Model'!$B$11*X71)</f>
        <v>0.86505003716674966</v>
      </c>
      <c r="N72" s="13">
        <f t="shared" si="22"/>
        <v>3.2799890869216188</v>
      </c>
      <c r="O72" s="13">
        <f t="shared" si="23"/>
        <v>0.96373590222596384</v>
      </c>
      <c r="P72" s="12">
        <f t="shared" si="24"/>
        <v>1</v>
      </c>
      <c r="Q72" s="13">
        <f t="shared" si="25"/>
        <v>-3.6264097774036164E-2</v>
      </c>
      <c r="R72" s="13">
        <f t="shared" si="26"/>
        <v>1.3150847873648547E-3</v>
      </c>
      <c r="T72" s="14">
        <f t="shared" si="27"/>
        <v>-2.5347888481094161E-3</v>
      </c>
      <c r="U72" s="14">
        <f t="shared" si="28"/>
        <v>-1.6983085282333089E-2</v>
      </c>
      <c r="V72" s="14">
        <f t="shared" si="29"/>
        <v>-7.6043665443282487E-3</v>
      </c>
      <c r="W72" s="14">
        <f t="shared" si="30"/>
        <v>-1.267394424054708E-2</v>
      </c>
      <c r="X72" s="14">
        <f t="shared" si="31"/>
        <v>-4.3091410417860077E-3</v>
      </c>
      <c r="Y72" s="12">
        <f t="shared" si="32"/>
        <v>1</v>
      </c>
    </row>
    <row r="73" spans="1:25" x14ac:dyDescent="0.3">
      <c r="A73" s="23"/>
      <c r="B73" s="12">
        <v>69</v>
      </c>
      <c r="C73" s="12">
        <v>6</v>
      </c>
      <c r="D73" s="12">
        <v>2.9</v>
      </c>
      <c r="E73" s="12">
        <v>4.5</v>
      </c>
      <c r="F73" s="12">
        <v>1.5</v>
      </c>
      <c r="G73" s="12">
        <v>1</v>
      </c>
      <c r="I73" s="13">
        <f>I72-('Konfigurasi Model'!$B$11*T72)</f>
        <v>0.23988853426200918</v>
      </c>
      <c r="J73" s="13">
        <f>J72-('Konfigurasi Model'!$B$11*U72)</f>
        <v>-0.391769430241169</v>
      </c>
      <c r="K73" s="13">
        <f>K72-('Konfigurasi Model'!$B$11*V72)</f>
        <v>-0.5064433621188863</v>
      </c>
      <c r="L73" s="13">
        <f>L72-('Konfigurasi Model'!$B$11*W72)</f>
        <v>1.1467902373112344</v>
      </c>
      <c r="M73" s="13">
        <f>M72-('Konfigurasi Model'!$B$11*X72)</f>
        <v>0.86548095127092828</v>
      </c>
      <c r="N73" s="13">
        <f t="shared" si="22"/>
        <v>2.8793636974771721</v>
      </c>
      <c r="O73" s="13">
        <f t="shared" si="23"/>
        <v>0.94681683187540011</v>
      </c>
      <c r="P73" s="12">
        <f t="shared" si="24"/>
        <v>1</v>
      </c>
      <c r="Q73" s="13">
        <f t="shared" si="25"/>
        <v>-5.3183168124599889E-2</v>
      </c>
      <c r="R73" s="13">
        <f t="shared" si="26"/>
        <v>2.8284493717694575E-3</v>
      </c>
      <c r="T73" s="14">
        <f t="shared" si="27"/>
        <v>-5.3560469465974469E-3</v>
      </c>
      <c r="U73" s="14">
        <f t="shared" si="28"/>
        <v>-3.2136281679584683E-2</v>
      </c>
      <c r="V73" s="14">
        <f t="shared" si="29"/>
        <v>-1.5532536145132595E-2</v>
      </c>
      <c r="W73" s="14">
        <f t="shared" si="30"/>
        <v>-2.4102211259688512E-2</v>
      </c>
      <c r="X73" s="14">
        <f t="shared" si="31"/>
        <v>-8.0340704198961707E-3</v>
      </c>
      <c r="Y73" s="12">
        <f t="shared" si="32"/>
        <v>1</v>
      </c>
    </row>
    <row r="74" spans="1:25" x14ac:dyDescent="0.3">
      <c r="A74" s="23"/>
      <c r="B74" s="12">
        <v>70</v>
      </c>
      <c r="C74" s="12">
        <v>5.7</v>
      </c>
      <c r="D74" s="12">
        <v>2.6</v>
      </c>
      <c r="E74" s="12">
        <v>3.5</v>
      </c>
      <c r="F74" s="12">
        <v>1</v>
      </c>
      <c r="G74" s="12">
        <v>1</v>
      </c>
      <c r="I74" s="13">
        <f>I73-('Konfigurasi Model'!$B$11*T73)</f>
        <v>0.24042413895666892</v>
      </c>
      <c r="J74" s="13">
        <f>J73-('Konfigurasi Model'!$B$11*U73)</f>
        <v>-0.38855580207321055</v>
      </c>
      <c r="K74" s="13">
        <f>K73-('Konfigurasi Model'!$B$11*V73)</f>
        <v>-0.50489010850437299</v>
      </c>
      <c r="L74" s="13">
        <f>L73-('Konfigurasi Model'!$B$11*W73)</f>
        <v>1.1492004584372033</v>
      </c>
      <c r="M74" s="13">
        <f>M73-('Konfigurasi Model'!$B$11*X73)</f>
        <v>0.86628435831291795</v>
      </c>
      <c r="N74" s="13">
        <f t="shared" si="22"/>
        <v>1.6014277478711283</v>
      </c>
      <c r="O74" s="13">
        <f t="shared" si="23"/>
        <v>0.83221783800808646</v>
      </c>
      <c r="P74" s="12">
        <f t="shared" si="24"/>
        <v>1</v>
      </c>
      <c r="Q74" s="13">
        <f t="shared" si="25"/>
        <v>-0.16778216199191354</v>
      </c>
      <c r="R74" s="13">
        <f t="shared" si="26"/>
        <v>2.8150853882680717E-2</v>
      </c>
      <c r="T74" s="14">
        <f t="shared" si="27"/>
        <v>-4.6855285512652188E-2</v>
      </c>
      <c r="U74" s="14">
        <f t="shared" si="28"/>
        <v>-0.26707512742211748</v>
      </c>
      <c r="V74" s="14">
        <f t="shared" si="29"/>
        <v>-0.1218237423328957</v>
      </c>
      <c r="W74" s="14">
        <f t="shared" si="30"/>
        <v>-0.16399349929428267</v>
      </c>
      <c r="X74" s="14">
        <f t="shared" si="31"/>
        <v>-4.6855285512652188E-2</v>
      </c>
      <c r="Y74" s="12">
        <f t="shared" si="32"/>
        <v>1</v>
      </c>
    </row>
    <row r="75" spans="1:25" x14ac:dyDescent="0.3">
      <c r="A75" s="23"/>
      <c r="B75" s="12">
        <v>71</v>
      </c>
      <c r="C75" s="12">
        <v>5.5</v>
      </c>
      <c r="D75" s="12">
        <v>2.4</v>
      </c>
      <c r="E75" s="12">
        <v>3.8</v>
      </c>
      <c r="F75" s="12">
        <v>1.1000000000000001</v>
      </c>
      <c r="G75" s="12">
        <v>1</v>
      </c>
      <c r="I75" s="13">
        <f>I74-('Konfigurasi Model'!$B$11*T74)</f>
        <v>0.24510966750793414</v>
      </c>
      <c r="J75" s="13">
        <f>J74-('Konfigurasi Model'!$B$11*U74)</f>
        <v>-0.36184828933099883</v>
      </c>
      <c r="K75" s="13">
        <f>K74-('Konfigurasi Model'!$B$11*V74)</f>
        <v>-0.49270773427108344</v>
      </c>
      <c r="L75" s="13">
        <f>L74-('Konfigurasi Model'!$B$11*W74)</f>
        <v>1.1655998083666317</v>
      </c>
      <c r="M75" s="13">
        <f>M74-('Konfigurasi Model'!$B$11*X74)</f>
        <v>0.8709698868641832</v>
      </c>
      <c r="N75" s="13">
        <f t="shared" si="22"/>
        <v>2.4597916612806423</v>
      </c>
      <c r="O75" s="13">
        <f t="shared" si="23"/>
        <v>0.92127455381698753</v>
      </c>
      <c r="P75" s="12">
        <f t="shared" si="24"/>
        <v>1</v>
      </c>
      <c r="Q75" s="13">
        <f t="shared" si="25"/>
        <v>-7.8725446183012471E-2</v>
      </c>
      <c r="R75" s="13">
        <f t="shared" si="26"/>
        <v>6.1976958767143925E-3</v>
      </c>
      <c r="T75" s="14">
        <f t="shared" si="27"/>
        <v>-1.1419559007026871E-2</v>
      </c>
      <c r="U75" s="14">
        <f t="shared" si="28"/>
        <v>-6.2807574538647798E-2</v>
      </c>
      <c r="V75" s="14">
        <f t="shared" si="29"/>
        <v>-2.7406941616864491E-2</v>
      </c>
      <c r="W75" s="14">
        <f t="shared" si="30"/>
        <v>-4.3394324226702106E-2</v>
      </c>
      <c r="X75" s="14">
        <f t="shared" si="31"/>
        <v>-1.2561514907729559E-2</v>
      </c>
      <c r="Y75" s="12">
        <f t="shared" si="32"/>
        <v>1</v>
      </c>
    </row>
    <row r="76" spans="1:25" x14ac:dyDescent="0.3">
      <c r="A76" s="23"/>
      <c r="B76" s="12">
        <v>72</v>
      </c>
      <c r="C76" s="12">
        <v>5.5</v>
      </c>
      <c r="D76" s="12">
        <v>2.4</v>
      </c>
      <c r="E76" s="12">
        <v>3.7</v>
      </c>
      <c r="F76" s="12">
        <v>1</v>
      </c>
      <c r="G76" s="12">
        <v>1</v>
      </c>
      <c r="I76" s="13">
        <f>I75-('Konfigurasi Model'!$B$11*T75)</f>
        <v>0.24625162340863682</v>
      </c>
      <c r="J76" s="13">
        <f>J75-('Konfigurasi Model'!$B$11*U75)</f>
        <v>-0.35556753187713402</v>
      </c>
      <c r="K76" s="13">
        <f>K75-('Konfigurasi Model'!$B$11*V75)</f>
        <v>-0.48996704010939701</v>
      </c>
      <c r="L76" s="13">
        <f>L75-('Konfigurasi Model'!$B$11*W75)</f>
        <v>1.1699392407893019</v>
      </c>
      <c r="M76" s="13">
        <f>M75-('Konfigurasi Model'!$B$11*X75)</f>
        <v>0.87222603835495616</v>
      </c>
      <c r="N76" s="13">
        <f t="shared" si="22"/>
        <v>2.3157105310972206</v>
      </c>
      <c r="O76" s="13">
        <f t="shared" si="23"/>
        <v>0.91016984719657346</v>
      </c>
      <c r="P76" s="12">
        <f t="shared" si="24"/>
        <v>1</v>
      </c>
      <c r="Q76" s="13">
        <f t="shared" si="25"/>
        <v>-8.9830152803426544E-2</v>
      </c>
      <c r="R76" s="13">
        <f t="shared" si="26"/>
        <v>8.0694563526869621E-3</v>
      </c>
      <c r="T76" s="14">
        <f t="shared" si="27"/>
        <v>-1.4689151710969022E-2</v>
      </c>
      <c r="U76" s="14">
        <f t="shared" si="28"/>
        <v>-8.0790334410329623E-2</v>
      </c>
      <c r="V76" s="14">
        <f t="shared" si="29"/>
        <v>-3.5253964106325655E-2</v>
      </c>
      <c r="W76" s="14">
        <f t="shared" si="30"/>
        <v>-5.4349861330585385E-2</v>
      </c>
      <c r="X76" s="14">
        <f t="shared" si="31"/>
        <v>-1.4689151710969022E-2</v>
      </c>
      <c r="Y76" s="12">
        <f t="shared" si="32"/>
        <v>1</v>
      </c>
    </row>
    <row r="77" spans="1:25" x14ac:dyDescent="0.3">
      <c r="A77" s="23"/>
      <c r="B77" s="12">
        <v>73</v>
      </c>
      <c r="C77" s="12">
        <v>5.8</v>
      </c>
      <c r="D77" s="12">
        <v>2.7</v>
      </c>
      <c r="E77" s="12">
        <v>3.9</v>
      </c>
      <c r="F77" s="12">
        <v>1.2</v>
      </c>
      <c r="G77" s="12">
        <v>1</v>
      </c>
      <c r="I77" s="13">
        <f>I76-('Konfigurasi Model'!$B$11*T76)</f>
        <v>0.24772053857973372</v>
      </c>
      <c r="J77" s="13">
        <f>J76-('Konfigurasi Model'!$B$11*U76)</f>
        <v>-0.34748849843610108</v>
      </c>
      <c r="K77" s="13">
        <f>K76-('Konfigurasi Model'!$B$11*V76)</f>
        <v>-0.48644164369876447</v>
      </c>
      <c r="L77" s="13">
        <f>L76-('Konfigurasi Model'!$B$11*W76)</f>
        <v>1.1753742269223604</v>
      </c>
      <c r="M77" s="13">
        <f>M76-('Konfigurasi Model'!$B$11*X76)</f>
        <v>0.87369495352605309</v>
      </c>
      <c r="N77" s="13">
        <f t="shared" si="22"/>
        <v>2.5512882388921523</v>
      </c>
      <c r="O77" s="13">
        <f t="shared" si="23"/>
        <v>0.92766001201707393</v>
      </c>
      <c r="P77" s="12">
        <f t="shared" si="24"/>
        <v>1</v>
      </c>
      <c r="Q77" s="13">
        <f t="shared" si="25"/>
        <v>-7.2339987982926068E-2</v>
      </c>
      <c r="R77" s="13">
        <f t="shared" si="26"/>
        <v>5.2330738613698882E-3</v>
      </c>
      <c r="T77" s="14">
        <f t="shared" si="27"/>
        <v>-9.7090267222492525E-3</v>
      </c>
      <c r="U77" s="14">
        <f t="shared" si="28"/>
        <v>-5.631235498904566E-2</v>
      </c>
      <c r="V77" s="14">
        <f t="shared" si="29"/>
        <v>-2.6214372150072985E-2</v>
      </c>
      <c r="W77" s="14">
        <f t="shared" si="30"/>
        <v>-3.7865204216772086E-2</v>
      </c>
      <c r="X77" s="14">
        <f t="shared" si="31"/>
        <v>-1.1650832066699103E-2</v>
      </c>
      <c r="Y77" s="12">
        <f t="shared" si="32"/>
        <v>1</v>
      </c>
    </row>
    <row r="78" spans="1:25" x14ac:dyDescent="0.3">
      <c r="A78" s="23"/>
      <c r="B78" s="12">
        <v>74</v>
      </c>
      <c r="C78" s="12">
        <v>6</v>
      </c>
      <c r="D78" s="12">
        <v>2.7</v>
      </c>
      <c r="E78" s="12">
        <v>5.0999999999999996</v>
      </c>
      <c r="F78" s="12">
        <v>1.6</v>
      </c>
      <c r="G78" s="12">
        <v>1</v>
      </c>
      <c r="I78" s="13">
        <f>I77-('Konfigurasi Model'!$B$11*T77)</f>
        <v>0.24869144125195866</v>
      </c>
      <c r="J78" s="13">
        <f>J77-('Konfigurasi Model'!$B$11*U77)</f>
        <v>-0.34185726293719654</v>
      </c>
      <c r="K78" s="13">
        <f>K77-('Konfigurasi Model'!$B$11*V77)</f>
        <v>-0.48382020648375718</v>
      </c>
      <c r="L78" s="13">
        <f>L77-('Konfigurasi Model'!$B$11*W77)</f>
        <v>1.1791607473440375</v>
      </c>
      <c r="M78" s="13">
        <f>M77-('Konfigurasi Model'!$B$11*X77)</f>
        <v>0.87486003673272295</v>
      </c>
      <c r="N78" s="13">
        <f t="shared" si="22"/>
        <v>4.3047291763495821</v>
      </c>
      <c r="O78" s="13">
        <f t="shared" si="23"/>
        <v>0.98667540022648448</v>
      </c>
      <c r="P78" s="12">
        <f t="shared" si="24"/>
        <v>1</v>
      </c>
      <c r="Q78" s="13">
        <f t="shared" si="25"/>
        <v>-1.3324599773515522E-2</v>
      </c>
      <c r="R78" s="13">
        <f t="shared" si="26"/>
        <v>1.775449591243699E-4</v>
      </c>
      <c r="T78" s="14">
        <f t="shared" si="27"/>
        <v>-3.5035848720446497E-4</v>
      </c>
      <c r="U78" s="14">
        <f t="shared" si="28"/>
        <v>-2.1021509232267898E-3</v>
      </c>
      <c r="V78" s="14">
        <f t="shared" si="29"/>
        <v>-9.4596791545205545E-4</v>
      </c>
      <c r="W78" s="14">
        <f t="shared" si="30"/>
        <v>-1.7868282847427713E-3</v>
      </c>
      <c r="X78" s="14">
        <f t="shared" si="31"/>
        <v>-5.6057357952714402E-4</v>
      </c>
      <c r="Y78" s="12">
        <f t="shared" si="32"/>
        <v>1</v>
      </c>
    </row>
    <row r="79" spans="1:25" x14ac:dyDescent="0.3">
      <c r="A79" s="23"/>
      <c r="B79" s="12">
        <v>75</v>
      </c>
      <c r="C79" s="12">
        <v>5.4</v>
      </c>
      <c r="D79" s="12">
        <v>3</v>
      </c>
      <c r="E79" s="12">
        <v>4.5</v>
      </c>
      <c r="F79" s="12">
        <v>1.5</v>
      </c>
      <c r="G79" s="12">
        <v>1</v>
      </c>
      <c r="I79" s="13">
        <f>I78-('Konfigurasi Model'!$B$11*T78)</f>
        <v>0.24872647710067911</v>
      </c>
      <c r="J79" s="13">
        <f>J78-('Konfigurasi Model'!$B$11*U78)</f>
        <v>-0.34164704784487387</v>
      </c>
      <c r="K79" s="13">
        <f>K78-('Konfigurasi Model'!$B$11*V78)</f>
        <v>-0.48372560969221196</v>
      </c>
      <c r="L79" s="13">
        <f>L78-('Konfigurasi Model'!$B$11*W78)</f>
        <v>1.1793394301725117</v>
      </c>
      <c r="M79" s="13">
        <f>M78-('Konfigurasi Model'!$B$11*X78)</f>
        <v>0.87491609409067561</v>
      </c>
      <c r="N79" s="13">
        <f t="shared" si="22"/>
        <v>3.5720571665740408</v>
      </c>
      <c r="O79" s="13">
        <f t="shared" si="23"/>
        <v>0.97266992820170417</v>
      </c>
      <c r="P79" s="12">
        <f t="shared" si="24"/>
        <v>1</v>
      </c>
      <c r="Q79" s="13">
        <f t="shared" si="25"/>
        <v>-2.733007179829583E-2</v>
      </c>
      <c r="R79" s="13">
        <f t="shared" si="26"/>
        <v>7.4693282450000501E-4</v>
      </c>
      <c r="T79" s="14">
        <f t="shared" si="27"/>
        <v>-1.453038193555832E-3</v>
      </c>
      <c r="U79" s="14">
        <f t="shared" si="28"/>
        <v>-7.846406245201493E-3</v>
      </c>
      <c r="V79" s="14">
        <f t="shared" si="29"/>
        <v>-4.3591145806674957E-3</v>
      </c>
      <c r="W79" s="14">
        <f t="shared" si="30"/>
        <v>-6.5386718710012436E-3</v>
      </c>
      <c r="X79" s="14">
        <f t="shared" si="31"/>
        <v>-2.1795572903337479E-3</v>
      </c>
      <c r="Y79" s="12">
        <f t="shared" si="32"/>
        <v>1</v>
      </c>
    </row>
    <row r="80" spans="1:25" x14ac:dyDescent="0.3">
      <c r="A80" s="23"/>
      <c r="B80" s="12">
        <v>76</v>
      </c>
      <c r="C80" s="12">
        <v>6</v>
      </c>
      <c r="D80" s="12">
        <v>3.4</v>
      </c>
      <c r="E80" s="12">
        <v>4.5</v>
      </c>
      <c r="F80" s="12">
        <v>1.6</v>
      </c>
      <c r="G80" s="12">
        <v>1</v>
      </c>
      <c r="I80" s="13">
        <f>I79-('Konfigurasi Model'!$B$11*T79)</f>
        <v>0.2488717809200347</v>
      </c>
      <c r="J80" s="13">
        <f>J79-('Konfigurasi Model'!$B$11*U79)</f>
        <v>-0.34086240722035371</v>
      </c>
      <c r="K80" s="13">
        <f>K79-('Konfigurasi Model'!$B$11*V79)</f>
        <v>-0.48328969823414519</v>
      </c>
      <c r="L80" s="13">
        <f>L79-('Konfigurasi Model'!$B$11*W79)</f>
        <v>1.1799932973596119</v>
      </c>
      <c r="M80" s="13">
        <f>M79-('Konfigurasi Model'!$B$11*X79)</f>
        <v>0.87513404981970899</v>
      </c>
      <c r="N80" s="13">
        <f t="shared" si="22"/>
        <v>3.2706966814316072</v>
      </c>
      <c r="O80" s="13">
        <f t="shared" si="23"/>
        <v>0.96340973866157709</v>
      </c>
      <c r="P80" s="12">
        <f t="shared" si="24"/>
        <v>1</v>
      </c>
      <c r="Q80" s="13">
        <f t="shared" si="25"/>
        <v>-3.6590261338422914E-2</v>
      </c>
      <c r="R80" s="13">
        <f t="shared" si="26"/>
        <v>1.3388472248140866E-3</v>
      </c>
      <c r="T80" s="14">
        <f t="shared" si="27"/>
        <v>-2.579716909931834E-3</v>
      </c>
      <c r="U80" s="14">
        <f t="shared" si="28"/>
        <v>-1.5478301459591004E-2</v>
      </c>
      <c r="V80" s="14">
        <f t="shared" si="29"/>
        <v>-8.7710374937682353E-3</v>
      </c>
      <c r="W80" s="14">
        <f t="shared" si="30"/>
        <v>-1.1608726094693253E-2</v>
      </c>
      <c r="X80" s="14">
        <f t="shared" si="31"/>
        <v>-4.1275470558909347E-3</v>
      </c>
      <c r="Y80" s="12">
        <f t="shared" si="32"/>
        <v>1</v>
      </c>
    </row>
    <row r="81" spans="1:25" x14ac:dyDescent="0.3">
      <c r="A81" s="23"/>
      <c r="B81" s="12">
        <v>77</v>
      </c>
      <c r="C81" s="12">
        <v>6.7</v>
      </c>
      <c r="D81" s="12">
        <v>3.1</v>
      </c>
      <c r="E81" s="12">
        <v>4.7</v>
      </c>
      <c r="F81" s="12">
        <v>1.5</v>
      </c>
      <c r="G81" s="12">
        <v>1</v>
      </c>
      <c r="I81" s="13">
        <f>I80-('Konfigurasi Model'!$B$11*T80)</f>
        <v>0.24912975261102788</v>
      </c>
      <c r="J81" s="13">
        <f>J80-('Konfigurasi Model'!$B$11*U80)</f>
        <v>-0.33931457707439461</v>
      </c>
      <c r="K81" s="13">
        <f>K80-('Konfigurasi Model'!$B$11*V80)</f>
        <v>-0.48241259448476836</v>
      </c>
      <c r="L81" s="13">
        <f>L80-('Konfigurasi Model'!$B$11*W80)</f>
        <v>1.1811541699690813</v>
      </c>
      <c r="M81" s="13">
        <f>M80-('Konfigurasi Model'!$B$11*X80)</f>
        <v>0.87554680452529809</v>
      </c>
      <c r="N81" s="13">
        <f t="shared" si="22"/>
        <v>3.3449878489524312</v>
      </c>
      <c r="O81" s="13">
        <f t="shared" si="23"/>
        <v>0.96594032253959228</v>
      </c>
      <c r="P81" s="12">
        <f t="shared" si="24"/>
        <v>1</v>
      </c>
      <c r="Q81" s="13">
        <f t="shared" si="25"/>
        <v>-3.4059677460407722E-2</v>
      </c>
      <c r="R81" s="13">
        <f t="shared" si="26"/>
        <v>1.1600616287070059E-3</v>
      </c>
      <c r="T81" s="14">
        <f t="shared" si="27"/>
        <v>-2.2411006075981001E-3</v>
      </c>
      <c r="U81" s="14">
        <f t="shared" si="28"/>
        <v>-1.5015374070907271E-2</v>
      </c>
      <c r="V81" s="14">
        <f t="shared" si="29"/>
        <v>-6.9474118835541106E-3</v>
      </c>
      <c r="W81" s="14">
        <f t="shared" si="30"/>
        <v>-1.053317285571107E-2</v>
      </c>
      <c r="X81" s="14">
        <f t="shared" si="31"/>
        <v>-3.3616509113971503E-3</v>
      </c>
      <c r="Y81" s="12">
        <f t="shared" si="32"/>
        <v>1</v>
      </c>
    </row>
    <row r="82" spans="1:25" x14ac:dyDescent="0.3">
      <c r="A82" s="23"/>
      <c r="B82" s="12">
        <v>78</v>
      </c>
      <c r="C82" s="12">
        <v>6.3</v>
      </c>
      <c r="D82" s="12">
        <v>2.2999999999999998</v>
      </c>
      <c r="E82" s="12">
        <v>4.4000000000000004</v>
      </c>
      <c r="F82" s="12">
        <v>1.3</v>
      </c>
      <c r="G82" s="12">
        <v>1</v>
      </c>
      <c r="I82" s="13">
        <f>I81-('Konfigurasi Model'!$B$11*T81)</f>
        <v>0.24935386267178769</v>
      </c>
      <c r="J82" s="13">
        <f>J81-('Konfigurasi Model'!$B$11*U81)</f>
        <v>-0.33781303966730386</v>
      </c>
      <c r="K82" s="13">
        <f>K81-('Konfigurasi Model'!$B$11*V81)</f>
        <v>-0.48171785329641298</v>
      </c>
      <c r="L82" s="13">
        <f>L81-('Konfigurasi Model'!$B$11*W81)</f>
        <v>1.1822074872546524</v>
      </c>
      <c r="M82" s="13">
        <f>M81-('Konfigurasi Model'!$B$11*X81)</f>
        <v>0.87588296961643786</v>
      </c>
      <c r="N82" s="13">
        <f t="shared" si="22"/>
        <v>3.3535414546078641</v>
      </c>
      <c r="O82" s="13">
        <f t="shared" si="23"/>
        <v>0.96622061407724003</v>
      </c>
      <c r="P82" s="12">
        <f t="shared" si="24"/>
        <v>1</v>
      </c>
      <c r="Q82" s="13">
        <f t="shared" si="25"/>
        <v>-3.3779385922759975E-2</v>
      </c>
      <c r="R82" s="13">
        <f t="shared" si="26"/>
        <v>1.1410469133187548E-3</v>
      </c>
      <c r="T82" s="14">
        <f t="shared" si="27"/>
        <v>-2.2050060985555728E-3</v>
      </c>
      <c r="U82" s="14">
        <f t="shared" si="28"/>
        <v>-1.3891538420900108E-2</v>
      </c>
      <c r="V82" s="14">
        <f t="shared" si="29"/>
        <v>-5.0715140266778171E-3</v>
      </c>
      <c r="W82" s="14">
        <f t="shared" si="30"/>
        <v>-9.7020268336445205E-3</v>
      </c>
      <c r="X82" s="14">
        <f t="shared" si="31"/>
        <v>-2.8665079281222448E-3</v>
      </c>
      <c r="Y82" s="12">
        <f t="shared" si="32"/>
        <v>1</v>
      </c>
    </row>
    <row r="83" spans="1:25" x14ac:dyDescent="0.3">
      <c r="A83" s="23"/>
      <c r="B83" s="12">
        <v>79</v>
      </c>
      <c r="C83" s="12">
        <v>5.6</v>
      </c>
      <c r="D83" s="12">
        <v>3</v>
      </c>
      <c r="E83" s="12">
        <v>4.0999999999999996</v>
      </c>
      <c r="F83" s="12">
        <v>1.3</v>
      </c>
      <c r="G83" s="12">
        <v>1</v>
      </c>
      <c r="I83" s="13">
        <f>I82-('Konfigurasi Model'!$B$11*T82)</f>
        <v>0.24957436328164326</v>
      </c>
      <c r="J83" s="13">
        <f>J82-('Konfigurasi Model'!$B$11*U82)</f>
        <v>-0.33642388582521388</v>
      </c>
      <c r="K83" s="13">
        <f>K82-('Konfigurasi Model'!$B$11*V82)</f>
        <v>-0.48121070189374521</v>
      </c>
      <c r="L83" s="13">
        <f>L82-('Konfigurasi Model'!$B$11*W82)</f>
        <v>1.1831776899380169</v>
      </c>
      <c r="M83" s="13">
        <f>M82-('Konfigurasi Model'!$B$11*X82)</f>
        <v>0.87616962040925006</v>
      </c>
      <c r="N83" s="13">
        <f t="shared" si="22"/>
        <v>2.9120175322571042</v>
      </c>
      <c r="O83" s="13">
        <f t="shared" si="23"/>
        <v>0.94843731918589236</v>
      </c>
      <c r="P83" s="12">
        <f t="shared" si="24"/>
        <v>1</v>
      </c>
      <c r="Q83" s="13">
        <f t="shared" si="25"/>
        <v>-5.1562680814107642E-2</v>
      </c>
      <c r="R83" s="13">
        <f t="shared" si="26"/>
        <v>2.6587100527375443E-3</v>
      </c>
      <c r="T83" s="14">
        <f t="shared" si="27"/>
        <v>-5.043239669821958E-3</v>
      </c>
      <c r="U83" s="14">
        <f t="shared" si="28"/>
        <v>-2.8242142151002961E-2</v>
      </c>
      <c r="V83" s="14">
        <f t="shared" si="29"/>
        <v>-1.5129719009465874E-2</v>
      </c>
      <c r="W83" s="14">
        <f t="shared" si="30"/>
        <v>-2.0677282646270025E-2</v>
      </c>
      <c r="X83" s="14">
        <f t="shared" si="31"/>
        <v>-6.5562115707685454E-3</v>
      </c>
      <c r="Y83" s="12">
        <f t="shared" si="32"/>
        <v>1</v>
      </c>
    </row>
    <row r="84" spans="1:25" x14ac:dyDescent="0.3">
      <c r="A84" s="23"/>
      <c r="B84" s="12">
        <v>80</v>
      </c>
      <c r="C84" s="12">
        <v>5.5</v>
      </c>
      <c r="D84" s="12">
        <v>2.5</v>
      </c>
      <c r="E84" s="12">
        <v>4</v>
      </c>
      <c r="F84" s="12">
        <v>1.3</v>
      </c>
      <c r="G84" s="12">
        <v>1</v>
      </c>
      <c r="I84" s="13">
        <f>I83-('Konfigurasi Model'!$B$11*T83)</f>
        <v>0.25007868724862548</v>
      </c>
      <c r="J84" s="13">
        <f>J83-('Konfigurasi Model'!$B$11*U83)</f>
        <v>-0.33359967161011356</v>
      </c>
      <c r="K84" s="13">
        <f>K83-('Konfigurasi Model'!$B$11*V83)</f>
        <v>-0.47969772999279864</v>
      </c>
      <c r="L84" s="13">
        <f>L83-('Konfigurasi Model'!$B$11*W83)</f>
        <v>1.185245418202644</v>
      </c>
      <c r="M84" s="13">
        <f>M83-('Konfigurasi Model'!$B$11*X83)</f>
        <v>0.87682524156632691</v>
      </c>
      <c r="N84" s="13">
        <f t="shared" si="22"/>
        <v>3.096890655257805</v>
      </c>
      <c r="O84" s="13">
        <f t="shared" si="23"/>
        <v>0.95676430527413436</v>
      </c>
      <c r="P84" s="12">
        <f t="shared" si="24"/>
        <v>1</v>
      </c>
      <c r="Q84" s="13">
        <f t="shared" si="25"/>
        <v>-4.3235694725865637E-2</v>
      </c>
      <c r="R84" s="13">
        <f t="shared" si="26"/>
        <v>1.8693252984282457E-3</v>
      </c>
      <c r="T84" s="14">
        <f t="shared" si="27"/>
        <v>-3.5770074409641286E-3</v>
      </c>
      <c r="U84" s="14">
        <f t="shared" si="28"/>
        <v>-1.9673540925302706E-2</v>
      </c>
      <c r="V84" s="14">
        <f t="shared" si="29"/>
        <v>-8.9425186024103213E-3</v>
      </c>
      <c r="W84" s="14">
        <f t="shared" si="30"/>
        <v>-1.4308029763856514E-2</v>
      </c>
      <c r="X84" s="14">
        <f t="shared" si="31"/>
        <v>-4.6501096732533675E-3</v>
      </c>
      <c r="Y84" s="12">
        <f t="shared" si="32"/>
        <v>1</v>
      </c>
    </row>
    <row r="85" spans="1:25" x14ac:dyDescent="0.3">
      <c r="Q85" s="15" t="s">
        <v>74</v>
      </c>
      <c r="R85" s="16">
        <f>AVERAGE(R5:R84)</f>
        <v>1.5115838788380121E-2</v>
      </c>
      <c r="X85" s="15" t="s">
        <v>75</v>
      </c>
      <c r="Y85" s="17">
        <f>AVERAGE(Y5:Y84)</f>
        <v>1</v>
      </c>
    </row>
    <row r="87" spans="1:25" ht="15.6" x14ac:dyDescent="0.3">
      <c r="A87" s="1" t="s">
        <v>97</v>
      </c>
    </row>
    <row r="88" spans="1:25" x14ac:dyDescent="0.3">
      <c r="G88" s="9" t="s">
        <v>48</v>
      </c>
      <c r="I88" s="25" t="s">
        <v>16</v>
      </c>
      <c r="J88" s="25"/>
      <c r="K88" s="26">
        <f>'Konfigurasi Model'!$B$11</f>
        <v>0.1</v>
      </c>
      <c r="L88" s="26"/>
      <c r="M88" s="26"/>
    </row>
    <row r="89" spans="1:25" ht="15" customHeight="1" x14ac:dyDescent="0.3">
      <c r="G89" s="9" t="s">
        <v>49</v>
      </c>
      <c r="I89" s="24" t="s">
        <v>50</v>
      </c>
      <c r="J89" s="24"/>
      <c r="K89" s="24"/>
      <c r="L89" s="24"/>
      <c r="M89" s="24"/>
      <c r="N89" s="10" t="s">
        <v>51</v>
      </c>
      <c r="O89" s="10" t="s">
        <v>17</v>
      </c>
      <c r="P89" s="24" t="s">
        <v>52</v>
      </c>
      <c r="Q89" s="24" t="s">
        <v>20</v>
      </c>
      <c r="R89" s="24" t="s">
        <v>23</v>
      </c>
    </row>
    <row r="90" spans="1:25" x14ac:dyDescent="0.3">
      <c r="A90" s="10" t="s">
        <v>53</v>
      </c>
      <c r="B90" s="10" t="s">
        <v>54</v>
      </c>
      <c r="C90" s="10" t="s">
        <v>55</v>
      </c>
      <c r="D90" s="10" t="s">
        <v>56</v>
      </c>
      <c r="E90" s="10" t="s">
        <v>57</v>
      </c>
      <c r="F90" s="10" t="s">
        <v>58</v>
      </c>
      <c r="G90" s="10" t="s">
        <v>59</v>
      </c>
      <c r="I90" s="10" t="s">
        <v>60</v>
      </c>
      <c r="J90" s="10" t="s">
        <v>61</v>
      </c>
      <c r="K90" s="10" t="s">
        <v>62</v>
      </c>
      <c r="L90" s="10" t="s">
        <v>63</v>
      </c>
      <c r="M90" s="10" t="s">
        <v>64</v>
      </c>
      <c r="N90" s="10" t="s">
        <v>65</v>
      </c>
      <c r="O90" s="10" t="s">
        <v>66</v>
      </c>
      <c r="P90" s="24"/>
      <c r="Q90" s="24"/>
      <c r="R90" s="24"/>
      <c r="T90" s="10" t="s">
        <v>72</v>
      </c>
    </row>
    <row r="91" spans="1:25" x14ac:dyDescent="0.3">
      <c r="A91" s="23" t="s">
        <v>77</v>
      </c>
      <c r="B91" s="12">
        <v>1</v>
      </c>
      <c r="C91" s="12">
        <v>5</v>
      </c>
      <c r="D91" s="12">
        <v>3.5</v>
      </c>
      <c r="E91" s="12">
        <v>1.3</v>
      </c>
      <c r="F91" s="12">
        <v>0.3</v>
      </c>
      <c r="G91" s="12">
        <v>0</v>
      </c>
      <c r="I91" s="13">
        <f>I84</f>
        <v>0.25007868724862548</v>
      </c>
      <c r="J91" s="13">
        <f>J84</f>
        <v>-0.33359967161011356</v>
      </c>
      <c r="K91" s="13">
        <f>K84</f>
        <v>-0.47969772999279864</v>
      </c>
      <c r="L91" s="13">
        <f>L84</f>
        <v>1.185245418202644</v>
      </c>
      <c r="M91" s="13">
        <f>M84</f>
        <v>0.87682524156632691</v>
      </c>
      <c r="N91" s="13">
        <f t="shared" ref="N91:N110" si="33">I91+J91*C91+K91*D91+L91*E91+M91*F91</f>
        <v>-1.2929951096434027</v>
      </c>
      <c r="O91" s="13">
        <f t="shared" ref="O91:O110" si="34">1/(1+EXP(-N91))</f>
        <v>0.21534628889660304</v>
      </c>
      <c r="P91" s="12">
        <f t="shared" ref="P91:P110" si="35">IF(O91&gt;0.5,1,0)</f>
        <v>0</v>
      </c>
      <c r="Q91" s="13">
        <f t="shared" ref="Q91:Q110" si="36">O91-G91</f>
        <v>0.21534628889660304</v>
      </c>
      <c r="R91" s="13">
        <f t="shared" ref="R91:R110" si="37">Q91^2</f>
        <v>4.6374024141539218E-2</v>
      </c>
      <c r="T91" s="12">
        <f t="shared" ref="T91:T110" si="38">IF(P91=G91,1,0)</f>
        <v>1</v>
      </c>
    </row>
    <row r="92" spans="1:25" x14ac:dyDescent="0.3">
      <c r="A92" s="23"/>
      <c r="B92" s="12">
        <v>2</v>
      </c>
      <c r="C92" s="12">
        <v>4.5</v>
      </c>
      <c r="D92" s="12">
        <v>2.2999999999999998</v>
      </c>
      <c r="E92" s="12">
        <v>1.3</v>
      </c>
      <c r="F92" s="12">
        <v>0.3</v>
      </c>
      <c r="G92" s="12">
        <v>0</v>
      </c>
      <c r="I92" s="13">
        <f t="shared" ref="I92:I110" si="39">I91</f>
        <v>0.25007868724862548</v>
      </c>
      <c r="J92" s="13">
        <f t="shared" ref="J92:J110" si="40">J91</f>
        <v>-0.33359967161011356</v>
      </c>
      <c r="K92" s="13">
        <f t="shared" ref="K92:K110" si="41">K91</f>
        <v>-0.47969772999279864</v>
      </c>
      <c r="L92" s="13">
        <f t="shared" ref="L92:L110" si="42">L91</f>
        <v>1.185245418202644</v>
      </c>
      <c r="M92" s="13">
        <f t="shared" ref="M92:M110" si="43">M91</f>
        <v>0.87682524156632691</v>
      </c>
      <c r="N92" s="13">
        <f t="shared" si="33"/>
        <v>-0.55055799784698711</v>
      </c>
      <c r="O92" s="13">
        <f t="shared" si="34"/>
        <v>0.3657349589161521</v>
      </c>
      <c r="P92" s="12">
        <f t="shared" si="35"/>
        <v>0</v>
      </c>
      <c r="Q92" s="13">
        <f t="shared" si="36"/>
        <v>0.3657349589161521</v>
      </c>
      <c r="R92" s="13">
        <f t="shared" si="37"/>
        <v>0.13376206017339945</v>
      </c>
      <c r="T92" s="12">
        <f t="shared" si="38"/>
        <v>1</v>
      </c>
    </row>
    <row r="93" spans="1:25" x14ac:dyDescent="0.3">
      <c r="A93" s="23"/>
      <c r="B93" s="12">
        <v>3</v>
      </c>
      <c r="C93" s="12">
        <v>4.4000000000000004</v>
      </c>
      <c r="D93" s="12">
        <v>3.2</v>
      </c>
      <c r="E93" s="12">
        <v>1.3</v>
      </c>
      <c r="F93" s="12">
        <v>0.2</v>
      </c>
      <c r="G93" s="12">
        <v>0</v>
      </c>
      <c r="I93" s="13">
        <f t="shared" si="39"/>
        <v>0.25007868724862548</v>
      </c>
      <c r="J93" s="13">
        <f t="shared" si="40"/>
        <v>-0.33359967161011356</v>
      </c>
      <c r="K93" s="13">
        <f t="shared" si="41"/>
        <v>-0.47969772999279864</v>
      </c>
      <c r="L93" s="13">
        <f t="shared" si="42"/>
        <v>1.185245418202644</v>
      </c>
      <c r="M93" s="13">
        <f t="shared" si="43"/>
        <v>0.87682524156632691</v>
      </c>
      <c r="N93" s="13">
        <f t="shared" si="33"/>
        <v>-1.0366085118361277</v>
      </c>
      <c r="O93" s="13">
        <f t="shared" si="34"/>
        <v>0.26180491373946224</v>
      </c>
      <c r="P93" s="12">
        <f t="shared" si="35"/>
        <v>0</v>
      </c>
      <c r="Q93" s="13">
        <f t="shared" si="36"/>
        <v>0.26180491373946224</v>
      </c>
      <c r="R93" s="13">
        <f t="shared" si="37"/>
        <v>6.8541812858127271E-2</v>
      </c>
      <c r="T93" s="12">
        <f t="shared" si="38"/>
        <v>1</v>
      </c>
    </row>
    <row r="94" spans="1:25" x14ac:dyDescent="0.3">
      <c r="A94" s="23"/>
      <c r="B94" s="12">
        <v>4</v>
      </c>
      <c r="C94" s="12">
        <v>5</v>
      </c>
      <c r="D94" s="12">
        <v>3.5</v>
      </c>
      <c r="E94" s="12">
        <v>1.6</v>
      </c>
      <c r="F94" s="12">
        <v>0.6</v>
      </c>
      <c r="G94" s="12">
        <v>0</v>
      </c>
      <c r="I94" s="13">
        <f t="shared" si="39"/>
        <v>0.25007868724862548</v>
      </c>
      <c r="J94" s="13">
        <f t="shared" si="40"/>
        <v>-0.33359967161011356</v>
      </c>
      <c r="K94" s="13">
        <f t="shared" si="41"/>
        <v>-0.47969772999279864</v>
      </c>
      <c r="L94" s="13">
        <f t="shared" si="42"/>
        <v>1.185245418202644</v>
      </c>
      <c r="M94" s="13">
        <f t="shared" si="43"/>
        <v>0.87682524156632691</v>
      </c>
      <c r="N94" s="13">
        <f t="shared" si="33"/>
        <v>-0.67437391171271144</v>
      </c>
      <c r="O94" s="13">
        <f t="shared" si="34"/>
        <v>0.33751814170480587</v>
      </c>
      <c r="P94" s="12">
        <f t="shared" si="35"/>
        <v>0</v>
      </c>
      <c r="Q94" s="13">
        <f t="shared" si="36"/>
        <v>0.33751814170480587</v>
      </c>
      <c r="R94" s="13">
        <f t="shared" si="37"/>
        <v>0.11391849597986542</v>
      </c>
      <c r="T94" s="12">
        <f t="shared" si="38"/>
        <v>1</v>
      </c>
    </row>
    <row r="95" spans="1:25" x14ac:dyDescent="0.3">
      <c r="A95" s="23"/>
      <c r="B95" s="12">
        <v>5</v>
      </c>
      <c r="C95" s="12">
        <v>5.0999999999999996</v>
      </c>
      <c r="D95" s="12">
        <v>3.8</v>
      </c>
      <c r="E95" s="12">
        <v>1.9</v>
      </c>
      <c r="F95" s="12">
        <v>0.4</v>
      </c>
      <c r="G95" s="12">
        <v>0</v>
      </c>
      <c r="I95" s="13">
        <f t="shared" si="39"/>
        <v>0.25007868724862548</v>
      </c>
      <c r="J95" s="13">
        <f t="shared" si="40"/>
        <v>-0.33359967161011356</v>
      </c>
      <c r="K95" s="13">
        <f t="shared" si="41"/>
        <v>-0.47969772999279864</v>
      </c>
      <c r="L95" s="13">
        <f t="shared" si="42"/>
        <v>1.185245418202644</v>
      </c>
      <c r="M95" s="13">
        <f t="shared" si="43"/>
        <v>0.87682524156632691</v>
      </c>
      <c r="N95" s="13">
        <f t="shared" si="33"/>
        <v>-0.67143462072403404</v>
      </c>
      <c r="O95" s="13">
        <f t="shared" si="34"/>
        <v>0.33817567968310952</v>
      </c>
      <c r="P95" s="12">
        <f t="shared" si="35"/>
        <v>0</v>
      </c>
      <c r="Q95" s="13">
        <f t="shared" si="36"/>
        <v>0.33817567968310952</v>
      </c>
      <c r="R95" s="13">
        <f t="shared" si="37"/>
        <v>0.11436279032913309</v>
      </c>
      <c r="T95" s="12">
        <f t="shared" si="38"/>
        <v>1</v>
      </c>
    </row>
    <row r="96" spans="1:25" x14ac:dyDescent="0.3">
      <c r="A96" s="23"/>
      <c r="B96" s="12">
        <v>6</v>
      </c>
      <c r="C96" s="12">
        <v>4.8</v>
      </c>
      <c r="D96" s="12">
        <v>3</v>
      </c>
      <c r="E96" s="12">
        <v>1.4</v>
      </c>
      <c r="F96" s="12">
        <v>0.3</v>
      </c>
      <c r="G96" s="12">
        <v>0</v>
      </c>
      <c r="I96" s="13">
        <f t="shared" si="39"/>
        <v>0.25007868724862548</v>
      </c>
      <c r="J96" s="13">
        <f t="shared" si="40"/>
        <v>-0.33359967161011356</v>
      </c>
      <c r="K96" s="13">
        <f t="shared" si="41"/>
        <v>-0.47969772999279864</v>
      </c>
      <c r="L96" s="13">
        <f t="shared" si="42"/>
        <v>1.185245418202644</v>
      </c>
      <c r="M96" s="13">
        <f t="shared" si="43"/>
        <v>0.87682524156632691</v>
      </c>
      <c r="N96" s="13">
        <f t="shared" si="33"/>
        <v>-0.86790176850471579</v>
      </c>
      <c r="O96" s="13">
        <f t="shared" si="34"/>
        <v>0.29569108781571002</v>
      </c>
      <c r="P96" s="12">
        <f t="shared" si="35"/>
        <v>0</v>
      </c>
      <c r="Q96" s="13">
        <f t="shared" si="36"/>
        <v>0.29569108781571002</v>
      </c>
      <c r="R96" s="13">
        <f t="shared" si="37"/>
        <v>8.7433219413637936E-2</v>
      </c>
      <c r="T96" s="12">
        <f t="shared" si="38"/>
        <v>1</v>
      </c>
    </row>
    <row r="97" spans="1:20" x14ac:dyDescent="0.3">
      <c r="A97" s="23"/>
      <c r="B97" s="12">
        <v>7</v>
      </c>
      <c r="C97" s="12">
        <v>5.0999999999999996</v>
      </c>
      <c r="D97" s="12">
        <v>3.8</v>
      </c>
      <c r="E97" s="12">
        <v>1.6</v>
      </c>
      <c r="F97" s="12">
        <v>0.2</v>
      </c>
      <c r="G97" s="12">
        <v>0</v>
      </c>
      <c r="I97" s="13">
        <f t="shared" si="39"/>
        <v>0.25007868724862548</v>
      </c>
      <c r="J97" s="13">
        <f t="shared" si="40"/>
        <v>-0.33359967161011356</v>
      </c>
      <c r="K97" s="13">
        <f t="shared" si="41"/>
        <v>-0.47969772999279864</v>
      </c>
      <c r="L97" s="13">
        <f t="shared" si="42"/>
        <v>1.185245418202644</v>
      </c>
      <c r="M97" s="13">
        <f t="shared" si="43"/>
        <v>0.87682524156632691</v>
      </c>
      <c r="N97" s="13">
        <f t="shared" si="33"/>
        <v>-1.2023732944980925</v>
      </c>
      <c r="O97" s="13">
        <f t="shared" si="34"/>
        <v>0.23105328969085495</v>
      </c>
      <c r="P97" s="12">
        <f t="shared" si="35"/>
        <v>0</v>
      </c>
      <c r="Q97" s="13">
        <f t="shared" si="36"/>
        <v>0.23105328969085495</v>
      </c>
      <c r="R97" s="13">
        <f t="shared" si="37"/>
        <v>5.3385622676966137E-2</v>
      </c>
      <c r="T97" s="12">
        <f t="shared" si="38"/>
        <v>1</v>
      </c>
    </row>
    <row r="98" spans="1:20" x14ac:dyDescent="0.3">
      <c r="A98" s="23"/>
      <c r="B98" s="12">
        <v>8</v>
      </c>
      <c r="C98" s="12">
        <v>4.5999999999999996</v>
      </c>
      <c r="D98" s="12">
        <v>3.2</v>
      </c>
      <c r="E98" s="12">
        <v>1.4</v>
      </c>
      <c r="F98" s="12">
        <v>0.2</v>
      </c>
      <c r="G98" s="12">
        <v>0</v>
      </c>
      <c r="I98" s="13">
        <f t="shared" si="39"/>
        <v>0.25007868724862548</v>
      </c>
      <c r="J98" s="13">
        <f t="shared" si="40"/>
        <v>-0.33359967161011356</v>
      </c>
      <c r="K98" s="13">
        <f t="shared" si="41"/>
        <v>-0.47969772999279864</v>
      </c>
      <c r="L98" s="13">
        <f t="shared" si="42"/>
        <v>1.185245418202644</v>
      </c>
      <c r="M98" s="13">
        <f t="shared" si="43"/>
        <v>0.87682524156632691</v>
      </c>
      <c r="N98" s="13">
        <f t="shared" si="33"/>
        <v>-0.98480390433788578</v>
      </c>
      <c r="O98" s="13">
        <f t="shared" si="34"/>
        <v>0.27193962467657606</v>
      </c>
      <c r="P98" s="12">
        <f t="shared" si="35"/>
        <v>0</v>
      </c>
      <c r="Q98" s="13">
        <f t="shared" si="36"/>
        <v>0.27193962467657606</v>
      </c>
      <c r="R98" s="13">
        <f t="shared" si="37"/>
        <v>7.3951159469237054E-2</v>
      </c>
      <c r="T98" s="12">
        <f t="shared" si="38"/>
        <v>1</v>
      </c>
    </row>
    <row r="99" spans="1:20" x14ac:dyDescent="0.3">
      <c r="A99" s="23"/>
      <c r="B99" s="12">
        <v>9</v>
      </c>
      <c r="C99" s="12">
        <v>5.3</v>
      </c>
      <c r="D99" s="12">
        <v>3.7</v>
      </c>
      <c r="E99" s="12">
        <v>1.5</v>
      </c>
      <c r="F99" s="12">
        <v>0.2</v>
      </c>
      <c r="G99" s="12">
        <v>0</v>
      </c>
      <c r="I99" s="13">
        <f t="shared" si="39"/>
        <v>0.25007868724862548</v>
      </c>
      <c r="J99" s="13">
        <f t="shared" si="40"/>
        <v>-0.33359967161011356</v>
      </c>
      <c r="K99" s="13">
        <f t="shared" si="41"/>
        <v>-0.47969772999279864</v>
      </c>
      <c r="L99" s="13">
        <f t="shared" si="42"/>
        <v>1.185245418202644</v>
      </c>
      <c r="M99" s="13">
        <f t="shared" si="43"/>
        <v>0.87682524156632691</v>
      </c>
      <c r="N99" s="13">
        <f t="shared" si="33"/>
        <v>-1.3396479976411004</v>
      </c>
      <c r="O99" s="13">
        <f t="shared" si="34"/>
        <v>0.20756795117864005</v>
      </c>
      <c r="P99" s="12">
        <f t="shared" si="35"/>
        <v>0</v>
      </c>
      <c r="Q99" s="13">
        <f t="shared" si="36"/>
        <v>0.20756795117864005</v>
      </c>
      <c r="R99" s="13">
        <f t="shared" si="37"/>
        <v>4.3084454356498297E-2</v>
      </c>
      <c r="T99" s="12">
        <f t="shared" si="38"/>
        <v>1</v>
      </c>
    </row>
    <row r="100" spans="1:20" x14ac:dyDescent="0.3">
      <c r="A100" s="23"/>
      <c r="B100" s="12">
        <v>10</v>
      </c>
      <c r="C100" s="12">
        <v>5</v>
      </c>
      <c r="D100" s="12">
        <v>3.3</v>
      </c>
      <c r="E100" s="12">
        <v>1.4</v>
      </c>
      <c r="F100" s="12">
        <v>0.2</v>
      </c>
      <c r="G100" s="12">
        <v>0</v>
      </c>
      <c r="I100" s="13">
        <f t="shared" si="39"/>
        <v>0.25007868724862548</v>
      </c>
      <c r="J100" s="13">
        <f t="shared" si="40"/>
        <v>-0.33359967161011356</v>
      </c>
      <c r="K100" s="13">
        <f t="shared" si="41"/>
        <v>-0.47969772999279864</v>
      </c>
      <c r="L100" s="13">
        <f t="shared" si="42"/>
        <v>1.185245418202644</v>
      </c>
      <c r="M100" s="13">
        <f t="shared" si="43"/>
        <v>0.87682524156632691</v>
      </c>
      <c r="N100" s="13">
        <f t="shared" si="33"/>
        <v>-1.1662135459812109</v>
      </c>
      <c r="O100" s="13">
        <f t="shared" si="34"/>
        <v>0.23754008544303859</v>
      </c>
      <c r="P100" s="12">
        <f t="shared" si="35"/>
        <v>0</v>
      </c>
      <c r="Q100" s="13">
        <f t="shared" si="36"/>
        <v>0.23754008544303859</v>
      </c>
      <c r="R100" s="13">
        <f t="shared" si="37"/>
        <v>5.6425292192286071E-2</v>
      </c>
      <c r="T100" s="12">
        <f t="shared" si="38"/>
        <v>1</v>
      </c>
    </row>
    <row r="101" spans="1:20" x14ac:dyDescent="0.3">
      <c r="A101" s="23"/>
      <c r="B101" s="12">
        <v>11</v>
      </c>
      <c r="C101" s="12">
        <v>5.5</v>
      </c>
      <c r="D101" s="12">
        <v>2.6</v>
      </c>
      <c r="E101" s="12">
        <v>4.4000000000000004</v>
      </c>
      <c r="F101" s="12">
        <v>1.2</v>
      </c>
      <c r="G101" s="12">
        <v>1</v>
      </c>
      <c r="I101" s="13">
        <f t="shared" si="39"/>
        <v>0.25007868724862548</v>
      </c>
      <c r="J101" s="13">
        <f t="shared" si="40"/>
        <v>-0.33359967161011356</v>
      </c>
      <c r="K101" s="13">
        <f t="shared" si="41"/>
        <v>-0.47969772999279864</v>
      </c>
      <c r="L101" s="13">
        <f t="shared" si="42"/>
        <v>1.185245418202644</v>
      </c>
      <c r="M101" s="13">
        <f t="shared" si="43"/>
        <v>0.87682524156632691</v>
      </c>
      <c r="N101" s="13">
        <f t="shared" si="33"/>
        <v>3.4353365253829504</v>
      </c>
      <c r="O101" s="13">
        <f t="shared" si="34"/>
        <v>0.96879082275551853</v>
      </c>
      <c r="P101" s="12">
        <f t="shared" si="35"/>
        <v>1</v>
      </c>
      <c r="Q101" s="13">
        <f t="shared" si="36"/>
        <v>-3.1209177244481467E-2</v>
      </c>
      <c r="R101" s="13">
        <f t="shared" si="37"/>
        <v>9.7401274427745988E-4</v>
      </c>
      <c r="T101" s="12">
        <f t="shared" si="38"/>
        <v>1</v>
      </c>
    </row>
    <row r="102" spans="1:20" x14ac:dyDescent="0.3">
      <c r="A102" s="23"/>
      <c r="B102" s="12">
        <v>12</v>
      </c>
      <c r="C102" s="12">
        <v>6.1</v>
      </c>
      <c r="D102" s="12">
        <v>3</v>
      </c>
      <c r="E102" s="12">
        <v>4.5999999999999996</v>
      </c>
      <c r="F102" s="12">
        <v>1.4</v>
      </c>
      <c r="G102" s="12">
        <v>1</v>
      </c>
      <c r="I102" s="13">
        <f t="shared" si="39"/>
        <v>0.25007868724862548</v>
      </c>
      <c r="J102" s="13">
        <f t="shared" si="40"/>
        <v>-0.33359967161011356</v>
      </c>
      <c r="K102" s="13">
        <f t="shared" si="41"/>
        <v>-0.47969772999279864</v>
      </c>
      <c r="L102" s="13">
        <f t="shared" si="42"/>
        <v>1.185245418202644</v>
      </c>
      <c r="M102" s="13">
        <f t="shared" si="43"/>
        <v>0.87682524156632691</v>
      </c>
      <c r="N102" s="13">
        <f t="shared" si="33"/>
        <v>3.4557117623735563</v>
      </c>
      <c r="O102" s="13">
        <f t="shared" si="34"/>
        <v>0.96940102183419286</v>
      </c>
      <c r="P102" s="12">
        <f t="shared" si="35"/>
        <v>1</v>
      </c>
      <c r="Q102" s="13">
        <f t="shared" si="36"/>
        <v>-3.0598978165807145E-2</v>
      </c>
      <c r="R102" s="13">
        <f t="shared" si="37"/>
        <v>9.3629746479154238E-4</v>
      </c>
      <c r="T102" s="12">
        <f t="shared" si="38"/>
        <v>1</v>
      </c>
    </row>
    <row r="103" spans="1:20" x14ac:dyDescent="0.3">
      <c r="A103" s="23"/>
      <c r="B103" s="12">
        <v>13</v>
      </c>
      <c r="C103" s="12">
        <v>5.8</v>
      </c>
      <c r="D103" s="12">
        <v>2.6</v>
      </c>
      <c r="E103" s="12">
        <v>4</v>
      </c>
      <c r="F103" s="12">
        <v>1.2</v>
      </c>
      <c r="G103" s="12">
        <v>1</v>
      </c>
      <c r="I103" s="13">
        <f t="shared" si="39"/>
        <v>0.25007868724862548</v>
      </c>
      <c r="J103" s="13">
        <f t="shared" si="40"/>
        <v>-0.33359967161011356</v>
      </c>
      <c r="K103" s="13">
        <f t="shared" si="41"/>
        <v>-0.47969772999279864</v>
      </c>
      <c r="L103" s="13">
        <f t="shared" si="42"/>
        <v>1.185245418202644</v>
      </c>
      <c r="M103" s="13">
        <f t="shared" si="43"/>
        <v>0.87682524156632691</v>
      </c>
      <c r="N103" s="13">
        <f t="shared" si="33"/>
        <v>2.8611584566188584</v>
      </c>
      <c r="O103" s="13">
        <f t="shared" si="34"/>
        <v>0.94589261969908134</v>
      </c>
      <c r="P103" s="12">
        <f t="shared" si="35"/>
        <v>1</v>
      </c>
      <c r="Q103" s="13">
        <f t="shared" si="36"/>
        <v>-5.4107380300918662E-2</v>
      </c>
      <c r="R103" s="13">
        <f t="shared" si="37"/>
        <v>2.927608603028241E-3</v>
      </c>
      <c r="T103" s="12">
        <f t="shared" si="38"/>
        <v>1</v>
      </c>
    </row>
    <row r="104" spans="1:20" x14ac:dyDescent="0.3">
      <c r="A104" s="23"/>
      <c r="B104" s="12">
        <v>14</v>
      </c>
      <c r="C104" s="12">
        <v>5</v>
      </c>
      <c r="D104" s="12">
        <v>2.2999999999999998</v>
      </c>
      <c r="E104" s="12">
        <v>3.3</v>
      </c>
      <c r="F104" s="12">
        <v>1</v>
      </c>
      <c r="G104" s="12">
        <v>1</v>
      </c>
      <c r="I104" s="13">
        <f t="shared" si="39"/>
        <v>0.25007868724862548</v>
      </c>
      <c r="J104" s="13">
        <f t="shared" si="40"/>
        <v>-0.33359967161011356</v>
      </c>
      <c r="K104" s="13">
        <f t="shared" si="41"/>
        <v>-0.47969772999279864</v>
      </c>
      <c r="L104" s="13">
        <f t="shared" si="42"/>
        <v>1.185245418202644</v>
      </c>
      <c r="M104" s="13">
        <f t="shared" si="43"/>
        <v>0.87682524156632691</v>
      </c>
      <c r="N104" s="13">
        <f t="shared" si="33"/>
        <v>2.266910671849673</v>
      </c>
      <c r="O104" s="13">
        <f t="shared" si="34"/>
        <v>0.90609926682506858</v>
      </c>
      <c r="P104" s="12">
        <f t="shared" si="35"/>
        <v>1</v>
      </c>
      <c r="Q104" s="13">
        <f t="shared" si="36"/>
        <v>-9.3900733174931417E-2</v>
      </c>
      <c r="R104" s="13">
        <f t="shared" si="37"/>
        <v>8.8173476907896647E-3</v>
      </c>
      <c r="T104" s="12">
        <f t="shared" si="38"/>
        <v>1</v>
      </c>
    </row>
    <row r="105" spans="1:20" x14ac:dyDescent="0.3">
      <c r="A105" s="23"/>
      <c r="B105" s="12">
        <v>15</v>
      </c>
      <c r="C105" s="12">
        <v>5.6</v>
      </c>
      <c r="D105" s="12">
        <v>2.7</v>
      </c>
      <c r="E105" s="12">
        <v>4.2</v>
      </c>
      <c r="F105" s="12">
        <v>1.3</v>
      </c>
      <c r="G105" s="12">
        <v>1</v>
      </c>
      <c r="I105" s="13">
        <f t="shared" si="39"/>
        <v>0.25007868724862548</v>
      </c>
      <c r="J105" s="13">
        <f t="shared" si="40"/>
        <v>-0.33359967161011356</v>
      </c>
      <c r="K105" s="13">
        <f t="shared" si="41"/>
        <v>-0.47969772999279864</v>
      </c>
      <c r="L105" s="13">
        <f t="shared" si="42"/>
        <v>1.185245418202644</v>
      </c>
      <c r="M105" s="13">
        <f t="shared" si="43"/>
        <v>0.87682524156632691</v>
      </c>
      <c r="N105" s="13">
        <f t="shared" si="33"/>
        <v>3.2046402257387632</v>
      </c>
      <c r="O105" s="13">
        <f t="shared" si="34"/>
        <v>0.96100852418807203</v>
      </c>
      <c r="P105" s="12">
        <f t="shared" si="35"/>
        <v>1</v>
      </c>
      <c r="Q105" s="13">
        <f t="shared" si="36"/>
        <v>-3.8991475811927967E-2</v>
      </c>
      <c r="R105" s="13">
        <f t="shared" si="37"/>
        <v>1.5203351859921638E-3</v>
      </c>
      <c r="T105" s="12">
        <f t="shared" si="38"/>
        <v>1</v>
      </c>
    </row>
    <row r="106" spans="1:20" x14ac:dyDescent="0.3">
      <c r="A106" s="23"/>
      <c r="B106" s="12">
        <v>16</v>
      </c>
      <c r="C106" s="12">
        <v>5.7</v>
      </c>
      <c r="D106" s="12">
        <v>3</v>
      </c>
      <c r="E106" s="12">
        <v>4.2</v>
      </c>
      <c r="F106" s="12">
        <v>1.2</v>
      </c>
      <c r="G106" s="12">
        <v>1</v>
      </c>
      <c r="I106" s="13">
        <f t="shared" si="39"/>
        <v>0.25007868724862548</v>
      </c>
      <c r="J106" s="13">
        <f t="shared" si="40"/>
        <v>-0.33359967161011356</v>
      </c>
      <c r="K106" s="13">
        <f t="shared" si="41"/>
        <v>-0.47969772999279864</v>
      </c>
      <c r="L106" s="13">
        <f t="shared" si="42"/>
        <v>1.185245418202644</v>
      </c>
      <c r="M106" s="13">
        <f t="shared" si="43"/>
        <v>0.87682524156632691</v>
      </c>
      <c r="N106" s="13">
        <f t="shared" si="33"/>
        <v>2.9396884154232792</v>
      </c>
      <c r="O106" s="13">
        <f t="shared" si="34"/>
        <v>0.94977386522703688</v>
      </c>
      <c r="P106" s="12">
        <f t="shared" si="35"/>
        <v>1</v>
      </c>
      <c r="Q106" s="13">
        <f t="shared" si="36"/>
        <v>-5.0226134772963116E-2</v>
      </c>
      <c r="R106" s="13">
        <f t="shared" si="37"/>
        <v>2.5226646142318546E-3</v>
      </c>
      <c r="T106" s="12">
        <f t="shared" si="38"/>
        <v>1</v>
      </c>
    </row>
    <row r="107" spans="1:20" x14ac:dyDescent="0.3">
      <c r="A107" s="23"/>
      <c r="B107" s="12">
        <v>17</v>
      </c>
      <c r="C107" s="12">
        <v>5.7</v>
      </c>
      <c r="D107" s="12">
        <v>2.9</v>
      </c>
      <c r="E107" s="12">
        <v>4.2</v>
      </c>
      <c r="F107" s="12">
        <v>1.3</v>
      </c>
      <c r="G107" s="12">
        <v>1</v>
      </c>
      <c r="I107" s="13">
        <f t="shared" si="39"/>
        <v>0.25007868724862548</v>
      </c>
      <c r="J107" s="13">
        <f t="shared" si="40"/>
        <v>-0.33359967161011356</v>
      </c>
      <c r="K107" s="13">
        <f t="shared" si="41"/>
        <v>-0.47969772999279864</v>
      </c>
      <c r="L107" s="13">
        <f t="shared" si="42"/>
        <v>1.185245418202644</v>
      </c>
      <c r="M107" s="13">
        <f t="shared" si="43"/>
        <v>0.87682524156632691</v>
      </c>
      <c r="N107" s="13">
        <f t="shared" si="33"/>
        <v>3.0753407125791918</v>
      </c>
      <c r="O107" s="13">
        <f t="shared" si="34"/>
        <v>0.95586403565020672</v>
      </c>
      <c r="P107" s="12">
        <f t="shared" si="35"/>
        <v>1</v>
      </c>
      <c r="Q107" s="13">
        <f t="shared" si="36"/>
        <v>-4.4135964349793277E-2</v>
      </c>
      <c r="R107" s="13">
        <f t="shared" si="37"/>
        <v>1.9479833490862232E-3</v>
      </c>
      <c r="T107" s="12">
        <f t="shared" si="38"/>
        <v>1</v>
      </c>
    </row>
    <row r="108" spans="1:20" x14ac:dyDescent="0.3">
      <c r="A108" s="23"/>
      <c r="B108" s="12">
        <v>18</v>
      </c>
      <c r="C108" s="12">
        <v>6.2</v>
      </c>
      <c r="D108" s="12">
        <v>2.9</v>
      </c>
      <c r="E108" s="12">
        <v>4.3</v>
      </c>
      <c r="F108" s="12">
        <v>1.3</v>
      </c>
      <c r="G108" s="12">
        <v>1</v>
      </c>
      <c r="I108" s="13">
        <f t="shared" si="39"/>
        <v>0.25007868724862548</v>
      </c>
      <c r="J108" s="13">
        <f t="shared" si="40"/>
        <v>-0.33359967161011356</v>
      </c>
      <c r="K108" s="13">
        <f t="shared" si="41"/>
        <v>-0.47969772999279864</v>
      </c>
      <c r="L108" s="13">
        <f t="shared" si="42"/>
        <v>1.185245418202644</v>
      </c>
      <c r="M108" s="13">
        <f t="shared" si="43"/>
        <v>0.87682524156632691</v>
      </c>
      <c r="N108" s="13">
        <f t="shared" si="33"/>
        <v>3.027065418594399</v>
      </c>
      <c r="O108" s="13">
        <f t="shared" si="34"/>
        <v>0.95378198313374041</v>
      </c>
      <c r="P108" s="12">
        <f t="shared" si="35"/>
        <v>1</v>
      </c>
      <c r="Q108" s="13">
        <f t="shared" si="36"/>
        <v>-4.6218016866259592E-2</v>
      </c>
      <c r="R108" s="13">
        <f t="shared" si="37"/>
        <v>2.1361050830498562E-3</v>
      </c>
      <c r="T108" s="12">
        <f t="shared" si="38"/>
        <v>1</v>
      </c>
    </row>
    <row r="109" spans="1:20" x14ac:dyDescent="0.3">
      <c r="A109" s="23"/>
      <c r="B109" s="12">
        <v>19</v>
      </c>
      <c r="C109" s="12">
        <v>5.0999999999999996</v>
      </c>
      <c r="D109" s="12">
        <v>2.5</v>
      </c>
      <c r="E109" s="12">
        <v>3</v>
      </c>
      <c r="F109" s="12">
        <v>1.1000000000000001</v>
      </c>
      <c r="G109" s="12">
        <v>1</v>
      </c>
      <c r="I109" s="13">
        <f t="shared" si="39"/>
        <v>0.25007868724862548</v>
      </c>
      <c r="J109" s="13">
        <f t="shared" si="40"/>
        <v>-0.33359967161011356</v>
      </c>
      <c r="K109" s="13">
        <f t="shared" si="41"/>
        <v>-0.47969772999279864</v>
      </c>
      <c r="L109" s="13">
        <f t="shared" si="42"/>
        <v>1.185245418202644</v>
      </c>
      <c r="M109" s="13">
        <f t="shared" si="43"/>
        <v>0.87682524156632691</v>
      </c>
      <c r="N109" s="13">
        <f t="shared" si="33"/>
        <v>1.8697200573859412</v>
      </c>
      <c r="O109" s="13">
        <f t="shared" si="34"/>
        <v>0.86642588245106855</v>
      </c>
      <c r="P109" s="12">
        <f t="shared" si="35"/>
        <v>1</v>
      </c>
      <c r="Q109" s="13">
        <f t="shared" si="36"/>
        <v>-0.13357411754893145</v>
      </c>
      <c r="R109" s="13">
        <f t="shared" si="37"/>
        <v>1.7842044878975755E-2</v>
      </c>
      <c r="T109" s="12">
        <f t="shared" si="38"/>
        <v>1</v>
      </c>
    </row>
    <row r="110" spans="1:20" x14ac:dyDescent="0.3">
      <c r="A110" s="23"/>
      <c r="B110" s="12">
        <v>20</v>
      </c>
      <c r="C110" s="12">
        <v>5.7</v>
      </c>
      <c r="D110" s="12">
        <v>2.8</v>
      </c>
      <c r="E110" s="12">
        <v>4.0999999999999996</v>
      </c>
      <c r="F110" s="12">
        <v>1.3</v>
      </c>
      <c r="G110" s="12">
        <v>1</v>
      </c>
      <c r="I110" s="13">
        <f t="shared" si="39"/>
        <v>0.25007868724862548</v>
      </c>
      <c r="J110" s="13">
        <f t="shared" si="40"/>
        <v>-0.33359967161011356</v>
      </c>
      <c r="K110" s="13">
        <f t="shared" si="41"/>
        <v>-0.47969772999279864</v>
      </c>
      <c r="L110" s="13">
        <f t="shared" si="42"/>
        <v>1.185245418202644</v>
      </c>
      <c r="M110" s="13">
        <f t="shared" si="43"/>
        <v>0.87682524156632691</v>
      </c>
      <c r="N110" s="13">
        <f t="shared" si="33"/>
        <v>3.0047859437582067</v>
      </c>
      <c r="O110" s="13">
        <f t="shared" si="34"/>
        <v>0.95278987206032151</v>
      </c>
      <c r="P110" s="12">
        <f t="shared" si="35"/>
        <v>1</v>
      </c>
      <c r="Q110" s="13">
        <f t="shared" si="36"/>
        <v>-4.7210127939678492E-2</v>
      </c>
      <c r="R110" s="13">
        <f t="shared" si="37"/>
        <v>2.2287961800808117E-3</v>
      </c>
      <c r="T110" s="12">
        <f t="shared" si="38"/>
        <v>1</v>
      </c>
    </row>
    <row r="111" spans="1:20" x14ac:dyDescent="0.3">
      <c r="Q111" s="15" t="s">
        <v>74</v>
      </c>
      <c r="R111" s="16">
        <f>AVERAGE(R91:R110)</f>
        <v>4.1654606369249669E-2</v>
      </c>
      <c r="T111" s="17">
        <f>AVERAGE(T91:T110)</f>
        <v>1</v>
      </c>
    </row>
    <row r="113" spans="1:10" x14ac:dyDescent="0.3">
      <c r="A113" s="2" t="s">
        <v>78</v>
      </c>
      <c r="I113" s="2" t="s">
        <v>79</v>
      </c>
    </row>
    <row r="114" spans="1:10" x14ac:dyDescent="0.3">
      <c r="C114" s="7" t="s">
        <v>52</v>
      </c>
      <c r="I114" s="10" t="s">
        <v>80</v>
      </c>
      <c r="J114" s="10" t="s">
        <v>81</v>
      </c>
    </row>
    <row r="115" spans="1:10" ht="28.8" x14ac:dyDescent="0.3">
      <c r="C115" s="10" t="s">
        <v>82</v>
      </c>
      <c r="D115" s="10" t="s">
        <v>83</v>
      </c>
      <c r="I115" s="4" t="s">
        <v>72</v>
      </c>
      <c r="J115" s="18">
        <f>(C116+D117)/SUM(C116:D117)*100</f>
        <v>100</v>
      </c>
    </row>
    <row r="116" spans="1:10" ht="28.8" x14ac:dyDescent="0.3">
      <c r="A116" s="10" t="s">
        <v>84</v>
      </c>
      <c r="B116" s="10" t="s">
        <v>82</v>
      </c>
      <c r="C116" s="12">
        <f>COUNTIFS($G$91:$G$110,0,$P$91:$P$110,0)</f>
        <v>10</v>
      </c>
      <c r="D116" s="12">
        <f>COUNTIFS($G$91:$G$110,0,$P$91:$P$110,1)</f>
        <v>0</v>
      </c>
      <c r="I116" s="4" t="s">
        <v>85</v>
      </c>
      <c r="J116" s="18">
        <f>IFERROR(D117/(D117+D116)*100,0)</f>
        <v>100</v>
      </c>
    </row>
    <row r="117" spans="1:10" ht="43.2" x14ac:dyDescent="0.3">
      <c r="B117" s="10" t="s">
        <v>83</v>
      </c>
      <c r="C117" s="12">
        <f>COUNTIFS($G$91:$G$110,1,$P$91:$P$110,0)</f>
        <v>0</v>
      </c>
      <c r="D117" s="12">
        <f>COUNTIFS($G$91:$G$110,1,$P$91:$P$110,1)</f>
        <v>10</v>
      </c>
      <c r="I117" s="4" t="s">
        <v>86</v>
      </c>
      <c r="J117" s="18">
        <f>IFERROR(D117/(D117+C117)*100,0)</f>
        <v>100</v>
      </c>
    </row>
    <row r="118" spans="1:10" x14ac:dyDescent="0.3">
      <c r="I118" s="4" t="s">
        <v>87</v>
      </c>
      <c r="J118" s="18">
        <f>IFERROR(2*(J116*J117)/(J116+J117),0)</f>
        <v>100</v>
      </c>
    </row>
    <row r="119" spans="1:10" x14ac:dyDescent="0.3">
      <c r="I119" s="8" t="s">
        <v>88</v>
      </c>
    </row>
  </sheetData>
  <mergeCells count="14">
    <mergeCell ref="I2:J2"/>
    <mergeCell ref="K2:M2"/>
    <mergeCell ref="I3:M3"/>
    <mergeCell ref="P3:P4"/>
    <mergeCell ref="Q3:Q4"/>
    <mergeCell ref="A91:A110"/>
    <mergeCell ref="R3:R4"/>
    <mergeCell ref="A5:A84"/>
    <mergeCell ref="I88:J88"/>
    <mergeCell ref="K88:M88"/>
    <mergeCell ref="I89:M89"/>
    <mergeCell ref="P89:P90"/>
    <mergeCell ref="Q89:Q90"/>
    <mergeCell ref="R89:R9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19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5.5546875" customWidth="1"/>
    <col min="3" max="6" width="9" customWidth="1"/>
    <col min="7" max="7" width="12.109375" bestFit="1" customWidth="1"/>
    <col min="8" max="8" width="2.44140625" customWidth="1"/>
    <col min="9" max="15" width="11.44140625" customWidth="1"/>
    <col min="16" max="16" width="10" customWidth="1"/>
    <col min="17" max="17" width="12" customWidth="1"/>
    <col min="18" max="18" width="17" customWidth="1"/>
    <col min="19" max="19" width="2.44140625" customWidth="1"/>
    <col min="20" max="24" width="11" customWidth="1"/>
    <col min="25" max="25" width="9" customWidth="1"/>
  </cols>
  <sheetData>
    <row r="1" spans="1:25" ht="15.6" x14ac:dyDescent="0.3">
      <c r="A1" s="1" t="s">
        <v>98</v>
      </c>
    </row>
    <row r="2" spans="1:25" x14ac:dyDescent="0.3">
      <c r="G2" s="9" t="s">
        <v>48</v>
      </c>
      <c r="I2" s="25" t="s">
        <v>16</v>
      </c>
      <c r="J2" s="25"/>
      <c r="K2" s="26">
        <f>'Konfigurasi Model'!$B$11</f>
        <v>0.1</v>
      </c>
      <c r="L2" s="26"/>
      <c r="M2" s="26"/>
    </row>
    <row r="3" spans="1:25" ht="15" customHeight="1" x14ac:dyDescent="0.3">
      <c r="G3" s="9" t="s">
        <v>49</v>
      </c>
      <c r="I3" s="24" t="s">
        <v>50</v>
      </c>
      <c r="J3" s="24"/>
      <c r="K3" s="24"/>
      <c r="L3" s="24"/>
      <c r="M3" s="24"/>
      <c r="N3" s="10" t="s">
        <v>51</v>
      </c>
      <c r="O3" s="10" t="s">
        <v>17</v>
      </c>
      <c r="P3" s="24" t="s">
        <v>52</v>
      </c>
      <c r="Q3" s="24" t="s">
        <v>20</v>
      </c>
      <c r="R3" s="24" t="s">
        <v>23</v>
      </c>
    </row>
    <row r="4" spans="1:25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  <c r="O4" s="10" t="s">
        <v>66</v>
      </c>
      <c r="P4" s="24"/>
      <c r="Q4" s="24"/>
      <c r="R4" s="24"/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0" t="s">
        <v>72</v>
      </c>
    </row>
    <row r="5" spans="1:25" x14ac:dyDescent="0.3">
      <c r="A5" s="23" t="s">
        <v>99</v>
      </c>
      <c r="B5" s="12">
        <v>1</v>
      </c>
      <c r="C5" s="12">
        <v>5.0999999999999996</v>
      </c>
      <c r="D5" s="12">
        <v>3.5</v>
      </c>
      <c r="E5" s="12">
        <v>1.4</v>
      </c>
      <c r="F5" s="12">
        <v>0.2</v>
      </c>
      <c r="G5" s="12">
        <v>0</v>
      </c>
      <c r="I5" s="13">
        <f>'Epoch 4'!I84</f>
        <v>0.25007868724862548</v>
      </c>
      <c r="J5" s="13">
        <f>'Epoch 4'!J84</f>
        <v>-0.33359967161011356</v>
      </c>
      <c r="K5" s="13">
        <f>'Epoch 4'!K84</f>
        <v>-0.47969772999279864</v>
      </c>
      <c r="L5" s="13">
        <f>'Epoch 4'!L84</f>
        <v>1.185245418202644</v>
      </c>
      <c r="M5" s="13">
        <f>'Epoch 4'!M84</f>
        <v>0.87682524156632691</v>
      </c>
      <c r="N5" s="13">
        <f t="shared" ref="N5:N36" si="0">I5+J5*C5+K5*D5+L5*E5+M5*F5</f>
        <v>-1.2955130591407817</v>
      </c>
      <c r="O5" s="13">
        <f t="shared" ref="O5:O36" si="1">1/(1+EXP(-N5))</f>
        <v>0.21492113022190831</v>
      </c>
      <c r="P5" s="12">
        <f t="shared" ref="P5:P36" si="2">IF(O5&gt;0.5,1,0)</f>
        <v>0</v>
      </c>
      <c r="Q5" s="13">
        <f t="shared" ref="Q5:Q36" si="3">O5-G5</f>
        <v>0.21492113022190831</v>
      </c>
      <c r="R5" s="13">
        <f t="shared" ref="R5:R36" si="4">Q5^2</f>
        <v>4.619109221586247E-2</v>
      </c>
      <c r="T5" s="14">
        <f t="shared" ref="T5:T36" si="5">2*(O5-G5)*(1-O5)*O5</f>
        <v>7.2527300941289841E-2</v>
      </c>
      <c r="U5" s="14">
        <f t="shared" ref="U5:U36" si="6">2*(O5-G5)*(1-O5)*O5*C5</f>
        <v>0.36988923480057817</v>
      </c>
      <c r="V5" s="14">
        <f t="shared" ref="V5:V36" si="7">2*(O5-G5)*(1-O5)*O5*D5</f>
        <v>0.25384555329451441</v>
      </c>
      <c r="W5" s="14">
        <f t="shared" ref="W5:W36" si="8">2*(O5-G5)*(1-O5)*O5*E5</f>
        <v>0.10153822131780577</v>
      </c>
      <c r="X5" s="14">
        <f t="shared" ref="X5:X36" si="9">2*(O5-G5)*(1-O5)*O5*F5</f>
        <v>1.450546018825797E-2</v>
      </c>
      <c r="Y5" s="12">
        <f t="shared" ref="Y5:Y36" si="10">IF(P5=G5,1,0)</f>
        <v>1</v>
      </c>
    </row>
    <row r="6" spans="1:25" x14ac:dyDescent="0.3">
      <c r="A6" s="23"/>
      <c r="B6" s="12">
        <v>2</v>
      </c>
      <c r="C6" s="12">
        <v>4.9000000000000004</v>
      </c>
      <c r="D6" s="12">
        <v>3</v>
      </c>
      <c r="E6" s="12">
        <v>1.4</v>
      </c>
      <c r="F6" s="12">
        <v>0.2</v>
      </c>
      <c r="G6" s="12">
        <v>0</v>
      </c>
      <c r="I6" s="13">
        <f>I5-('Konfigurasi Model'!$B$11*T5)</f>
        <v>0.24282595715449648</v>
      </c>
      <c r="J6" s="13">
        <f>J5-('Konfigurasi Model'!$B$11*U5)</f>
        <v>-0.37058859509017139</v>
      </c>
      <c r="K6" s="13">
        <f>K5-('Konfigurasi Model'!$B$11*V5)</f>
        <v>-0.50508228532225008</v>
      </c>
      <c r="L6" s="13">
        <f>L5-('Konfigurasi Model'!$B$11*W5)</f>
        <v>1.1750915960708634</v>
      </c>
      <c r="M6" s="13">
        <f>M5-('Konfigurasi Model'!$B$11*X5)</f>
        <v>0.87537469554750114</v>
      </c>
      <c r="N6" s="13">
        <f t="shared" si="0"/>
        <v>-1.268101841145385</v>
      </c>
      <c r="O6" s="13">
        <f t="shared" si="1"/>
        <v>0.219582358732058</v>
      </c>
      <c r="P6" s="12">
        <f t="shared" si="2"/>
        <v>0</v>
      </c>
      <c r="Q6" s="13">
        <f t="shared" si="3"/>
        <v>0.219582358732058</v>
      </c>
      <c r="R6" s="13">
        <f t="shared" si="4"/>
        <v>4.8216412266334212E-2</v>
      </c>
      <c r="T6" s="14">
        <f t="shared" si="5"/>
        <v>7.5257877462590411E-2</v>
      </c>
      <c r="U6" s="14">
        <f t="shared" si="6"/>
        <v>0.36876359956669302</v>
      </c>
      <c r="V6" s="14">
        <f t="shared" si="7"/>
        <v>0.22577363238777123</v>
      </c>
      <c r="W6" s="14">
        <f t="shared" si="8"/>
        <v>0.10536102844762657</v>
      </c>
      <c r="X6" s="14">
        <f t="shared" si="9"/>
        <v>1.5051575492518083E-2</v>
      </c>
      <c r="Y6" s="12">
        <f t="shared" si="10"/>
        <v>1</v>
      </c>
    </row>
    <row r="7" spans="1:25" x14ac:dyDescent="0.3">
      <c r="A7" s="23"/>
      <c r="B7" s="12">
        <v>3</v>
      </c>
      <c r="C7" s="12">
        <v>4.7</v>
      </c>
      <c r="D7" s="12">
        <v>3.2</v>
      </c>
      <c r="E7" s="12">
        <v>1.3</v>
      </c>
      <c r="F7" s="12">
        <v>0.2</v>
      </c>
      <c r="G7" s="12">
        <v>0</v>
      </c>
      <c r="I7" s="13">
        <f>I6-('Konfigurasi Model'!$B$11*T6)</f>
        <v>0.23530016940823745</v>
      </c>
      <c r="J7" s="13">
        <f>J6-('Konfigurasi Model'!$B$11*U6)</f>
        <v>-0.40746495504684072</v>
      </c>
      <c r="K7" s="13">
        <f>K6-('Konfigurasi Model'!$B$11*V6)</f>
        <v>-0.52765964856102721</v>
      </c>
      <c r="L7" s="13">
        <f>L6-('Konfigurasi Model'!$B$11*W6)</f>
        <v>1.1645554932261009</v>
      </c>
      <c r="M7" s="13">
        <f>M6-('Konfigurasi Model'!$B$11*X6)</f>
        <v>0.87386953799824929</v>
      </c>
      <c r="N7" s="13">
        <f t="shared" si="0"/>
        <v>-1.6795999459136197</v>
      </c>
      <c r="O7" s="13">
        <f t="shared" si="1"/>
        <v>0.15714844990764645</v>
      </c>
      <c r="P7" s="12">
        <f t="shared" si="2"/>
        <v>0</v>
      </c>
      <c r="Q7" s="13">
        <f t="shared" si="3"/>
        <v>0.15714844990764645</v>
      </c>
      <c r="R7" s="13">
        <f t="shared" si="4"/>
        <v>2.4695635308376068E-2</v>
      </c>
      <c r="T7" s="14">
        <f t="shared" si="5"/>
        <v>4.162950900036045E-2</v>
      </c>
      <c r="U7" s="14">
        <f t="shared" si="6"/>
        <v>0.19565869230169411</v>
      </c>
      <c r="V7" s="14">
        <f t="shared" si="7"/>
        <v>0.13321442880115344</v>
      </c>
      <c r="W7" s="14">
        <f t="shared" si="8"/>
        <v>5.411836170046859E-2</v>
      </c>
      <c r="X7" s="14">
        <f t="shared" si="9"/>
        <v>8.3259018000720903E-3</v>
      </c>
      <c r="Y7" s="12">
        <f t="shared" si="10"/>
        <v>1</v>
      </c>
    </row>
    <row r="8" spans="1:25" x14ac:dyDescent="0.3">
      <c r="A8" s="23"/>
      <c r="B8" s="12">
        <v>4</v>
      </c>
      <c r="C8" s="12">
        <v>4.5999999999999996</v>
      </c>
      <c r="D8" s="12">
        <v>3.1</v>
      </c>
      <c r="E8" s="12">
        <v>1.5</v>
      </c>
      <c r="F8" s="12">
        <v>0.2</v>
      </c>
      <c r="G8" s="12">
        <v>0</v>
      </c>
      <c r="I8" s="13">
        <f>I7-('Konfigurasi Model'!$B$11*T7)</f>
        <v>0.2311372185082014</v>
      </c>
      <c r="J8" s="13">
        <f>J7-('Konfigurasi Model'!$B$11*U7)</f>
        <v>-0.42703082427701011</v>
      </c>
      <c r="K8" s="13">
        <f>K7-('Konfigurasi Model'!$B$11*V7)</f>
        <v>-0.54098109144114259</v>
      </c>
      <c r="L8" s="13">
        <f>L7-('Konfigurasi Model'!$B$11*W7)</f>
        <v>1.159143657056054</v>
      </c>
      <c r="M8" s="13">
        <f>M7-('Konfigurasi Model'!$B$11*X7)</f>
        <v>0.87303694781824204</v>
      </c>
      <c r="N8" s="13">
        <f t="shared" si="0"/>
        <v>-1.4969230814858578</v>
      </c>
      <c r="O8" s="13">
        <f t="shared" si="1"/>
        <v>0.18288488378760359</v>
      </c>
      <c r="P8" s="12">
        <f t="shared" si="2"/>
        <v>0</v>
      </c>
      <c r="Q8" s="13">
        <f t="shared" si="3"/>
        <v>0.18288488378760359</v>
      </c>
      <c r="R8" s="13">
        <f t="shared" si="4"/>
        <v>3.3446880718005272E-2</v>
      </c>
      <c r="T8" s="14">
        <f t="shared" si="5"/>
        <v>5.465990364967007E-2</v>
      </c>
      <c r="U8" s="14">
        <f t="shared" si="6"/>
        <v>0.25143555678848228</v>
      </c>
      <c r="V8" s="14">
        <f t="shared" si="7"/>
        <v>0.16944570131397724</v>
      </c>
      <c r="W8" s="14">
        <f t="shared" si="8"/>
        <v>8.1989855474505102E-2</v>
      </c>
      <c r="X8" s="14">
        <f t="shared" si="9"/>
        <v>1.0931980729934015E-2</v>
      </c>
      <c r="Y8" s="12">
        <f t="shared" si="10"/>
        <v>1</v>
      </c>
    </row>
    <row r="9" spans="1:25" x14ac:dyDescent="0.3">
      <c r="A9" s="23"/>
      <c r="B9" s="12">
        <v>5</v>
      </c>
      <c r="C9" s="12">
        <v>5</v>
      </c>
      <c r="D9" s="12">
        <v>3.6</v>
      </c>
      <c r="E9" s="12">
        <v>1.4</v>
      </c>
      <c r="F9" s="12">
        <v>0.2</v>
      </c>
      <c r="G9" s="12">
        <v>0</v>
      </c>
      <c r="I9" s="13">
        <f>I8-('Konfigurasi Model'!$B$11*T8)</f>
        <v>0.2256712281432344</v>
      </c>
      <c r="J9" s="13">
        <f>J8-('Konfigurasi Model'!$B$11*U8)</f>
        <v>-0.45217437995585835</v>
      </c>
      <c r="K9" s="13">
        <f>K8-('Konfigurasi Model'!$B$11*V8)</f>
        <v>-0.55792566157254031</v>
      </c>
      <c r="L9" s="13">
        <f>L8-('Konfigurasi Model'!$B$11*W8)</f>
        <v>1.1509446715086036</v>
      </c>
      <c r="M9" s="13">
        <f>M8-('Konfigurasi Model'!$B$11*X8)</f>
        <v>0.87194374974524869</v>
      </c>
      <c r="N9" s="13">
        <f t="shared" si="0"/>
        <v>-2.2580217632361075</v>
      </c>
      <c r="O9" s="13">
        <f t="shared" si="1"/>
        <v>9.4659766558239294E-2</v>
      </c>
      <c r="P9" s="12">
        <f t="shared" si="2"/>
        <v>0</v>
      </c>
      <c r="Q9" s="13">
        <f t="shared" si="3"/>
        <v>9.4659766558239294E-2</v>
      </c>
      <c r="R9" s="13">
        <f t="shared" si="4"/>
        <v>8.9604714048603581E-3</v>
      </c>
      <c r="T9" s="14">
        <f t="shared" si="5"/>
        <v>1.6224550546848997E-2</v>
      </c>
      <c r="U9" s="14">
        <f t="shared" si="6"/>
        <v>8.1122752734244991E-2</v>
      </c>
      <c r="V9" s="14">
        <f t="shared" si="7"/>
        <v>5.8408381968656393E-2</v>
      </c>
      <c r="W9" s="14">
        <f t="shared" si="8"/>
        <v>2.2714370765588594E-2</v>
      </c>
      <c r="X9" s="14">
        <f t="shared" si="9"/>
        <v>3.2449101093697998E-3</v>
      </c>
      <c r="Y9" s="12">
        <f t="shared" si="10"/>
        <v>1</v>
      </c>
    </row>
    <row r="10" spans="1:25" x14ac:dyDescent="0.3">
      <c r="A10" s="23"/>
      <c r="B10" s="12">
        <v>6</v>
      </c>
      <c r="C10" s="12">
        <v>5.4</v>
      </c>
      <c r="D10" s="12">
        <v>3.9</v>
      </c>
      <c r="E10" s="12">
        <v>1.7</v>
      </c>
      <c r="F10" s="12">
        <v>0.4</v>
      </c>
      <c r="G10" s="12">
        <v>0</v>
      </c>
      <c r="I10" s="13">
        <f>I9-('Konfigurasi Model'!$B$11*T9)</f>
        <v>0.22404877308854951</v>
      </c>
      <c r="J10" s="13">
        <f>J9-('Konfigurasi Model'!$B$11*U9)</f>
        <v>-0.46028665522928286</v>
      </c>
      <c r="K10" s="13">
        <f>K9-('Konfigurasi Model'!$B$11*V9)</f>
        <v>-0.56376649976940596</v>
      </c>
      <c r="L10" s="13">
        <f>L9-('Konfigurasi Model'!$B$11*W9)</f>
        <v>1.1486732344320447</v>
      </c>
      <c r="M10" s="13">
        <f>M9-('Konfigurasi Model'!$B$11*X9)</f>
        <v>0.87161925873431167</v>
      </c>
      <c r="N10" s="13">
        <f t="shared" si="0"/>
        <v>-2.1587963122220608</v>
      </c>
      <c r="O10" s="13">
        <f t="shared" si="1"/>
        <v>0.10351209718961159</v>
      </c>
      <c r="P10" s="12">
        <f t="shared" si="2"/>
        <v>0</v>
      </c>
      <c r="Q10" s="13">
        <f t="shared" si="3"/>
        <v>0.10351209718961159</v>
      </c>
      <c r="R10" s="13">
        <f t="shared" si="4"/>
        <v>1.0714754264591595E-2</v>
      </c>
      <c r="T10" s="14">
        <f t="shared" si="5"/>
        <v>1.9211295159584769E-2</v>
      </c>
      <c r="U10" s="14">
        <f t="shared" si="6"/>
        <v>0.10374099386175775</v>
      </c>
      <c r="V10" s="14">
        <f t="shared" si="7"/>
        <v>7.4924051122380597E-2</v>
      </c>
      <c r="W10" s="14">
        <f t="shared" si="8"/>
        <v>3.2659201771294104E-2</v>
      </c>
      <c r="X10" s="14">
        <f t="shared" si="9"/>
        <v>7.6845180638339082E-3</v>
      </c>
      <c r="Y10" s="12">
        <f t="shared" si="10"/>
        <v>1</v>
      </c>
    </row>
    <row r="11" spans="1:25" x14ac:dyDescent="0.3">
      <c r="A11" s="23"/>
      <c r="B11" s="12">
        <v>7</v>
      </c>
      <c r="C11" s="12">
        <v>4.5999999999999996</v>
      </c>
      <c r="D11" s="12">
        <v>3.4</v>
      </c>
      <c r="E11" s="12">
        <v>1.4</v>
      </c>
      <c r="F11" s="12">
        <v>0.3</v>
      </c>
      <c r="G11" s="12">
        <v>0</v>
      </c>
      <c r="I11" s="13">
        <f>I10-('Konfigurasi Model'!$B$11*T10)</f>
        <v>0.22212764357259104</v>
      </c>
      <c r="J11" s="13">
        <f>J10-('Konfigurasi Model'!$B$11*U10)</f>
        <v>-0.47066075461545864</v>
      </c>
      <c r="K11" s="13">
        <f>K10-('Konfigurasi Model'!$B$11*V10)</f>
        <v>-0.57125890488164399</v>
      </c>
      <c r="L11" s="13">
        <f>L10-('Konfigurasi Model'!$B$11*W10)</f>
        <v>1.1454073142549153</v>
      </c>
      <c r="M11" s="13">
        <f>M10-('Konfigurasi Model'!$B$11*X10)</f>
        <v>0.87085080692792827</v>
      </c>
      <c r="N11" s="13">
        <f t="shared" si="0"/>
        <v>-2.0203666222208478</v>
      </c>
      <c r="O11" s="13">
        <f t="shared" si="1"/>
        <v>0.11708108667733262</v>
      </c>
      <c r="P11" s="12">
        <f t="shared" si="2"/>
        <v>0</v>
      </c>
      <c r="Q11" s="13">
        <f t="shared" si="3"/>
        <v>0.11708108667733262</v>
      </c>
      <c r="R11" s="13">
        <f t="shared" si="4"/>
        <v>1.3707980857545075E-2</v>
      </c>
      <c r="T11" s="14">
        <f t="shared" si="5"/>
        <v>2.4206071125183248E-2</v>
      </c>
      <c r="U11" s="14">
        <f t="shared" si="6"/>
        <v>0.11134792717584294</v>
      </c>
      <c r="V11" s="14">
        <f t="shared" si="7"/>
        <v>8.2300641825623036E-2</v>
      </c>
      <c r="W11" s="14">
        <f t="shared" si="8"/>
        <v>3.3888499575256546E-2</v>
      </c>
      <c r="X11" s="14">
        <f t="shared" si="9"/>
        <v>7.2618213375549743E-3</v>
      </c>
      <c r="Y11" s="12">
        <f t="shared" si="10"/>
        <v>1</v>
      </c>
    </row>
    <row r="12" spans="1:25" x14ac:dyDescent="0.3">
      <c r="A12" s="23"/>
      <c r="B12" s="12">
        <v>8</v>
      </c>
      <c r="C12" s="12">
        <v>5</v>
      </c>
      <c r="D12" s="12">
        <v>3.4</v>
      </c>
      <c r="E12" s="12">
        <v>1.5</v>
      </c>
      <c r="F12" s="12">
        <v>0.2</v>
      </c>
      <c r="G12" s="12">
        <v>0</v>
      </c>
      <c r="I12" s="13">
        <f>I11-('Konfigurasi Model'!$B$11*T11)</f>
        <v>0.21970703646007272</v>
      </c>
      <c r="J12" s="13">
        <f>J11-('Konfigurasi Model'!$B$11*U11)</f>
        <v>-0.48179554733304292</v>
      </c>
      <c r="K12" s="13">
        <f>K11-('Konfigurasi Model'!$B$11*V11)</f>
        <v>-0.57948896906420633</v>
      </c>
      <c r="L12" s="13">
        <f>L11-('Konfigurasi Model'!$B$11*W11)</f>
        <v>1.1420184642973896</v>
      </c>
      <c r="M12" s="13">
        <f>M11-('Konfigurasi Model'!$B$11*X11)</f>
        <v>0.87012462479417274</v>
      </c>
      <c r="N12" s="13">
        <f t="shared" si="0"/>
        <v>-2.2724805736185245</v>
      </c>
      <c r="O12" s="13">
        <f t="shared" si="1"/>
        <v>9.3427897819956654E-2</v>
      </c>
      <c r="P12" s="12">
        <f t="shared" si="2"/>
        <v>0</v>
      </c>
      <c r="Q12" s="13">
        <f t="shared" si="3"/>
        <v>9.3427897819956654E-2</v>
      </c>
      <c r="R12" s="13">
        <f t="shared" si="4"/>
        <v>8.7287720910562607E-3</v>
      </c>
      <c r="T12" s="14">
        <f t="shared" si="5"/>
        <v>1.5826522528078736E-2</v>
      </c>
      <c r="U12" s="14">
        <f t="shared" si="6"/>
        <v>7.9132612640393674E-2</v>
      </c>
      <c r="V12" s="14">
        <f t="shared" si="7"/>
        <v>5.3810176595467704E-2</v>
      </c>
      <c r="W12" s="14">
        <f t="shared" si="8"/>
        <v>2.3739783792118104E-2</v>
      </c>
      <c r="X12" s="14">
        <f t="shared" si="9"/>
        <v>3.1653045056157475E-3</v>
      </c>
      <c r="Y12" s="12">
        <f t="shared" si="10"/>
        <v>1</v>
      </c>
    </row>
    <row r="13" spans="1:25" x14ac:dyDescent="0.3">
      <c r="A13" s="23"/>
      <c r="B13" s="12">
        <v>9</v>
      </c>
      <c r="C13" s="12">
        <v>4.4000000000000004</v>
      </c>
      <c r="D13" s="12">
        <v>2.9</v>
      </c>
      <c r="E13" s="12">
        <v>1.4</v>
      </c>
      <c r="F13" s="12">
        <v>0.2</v>
      </c>
      <c r="G13" s="12">
        <v>0</v>
      </c>
      <c r="I13" s="13">
        <f>I12-('Konfigurasi Model'!$B$11*T12)</f>
        <v>0.21812438420726485</v>
      </c>
      <c r="J13" s="13">
        <f>J12-('Konfigurasi Model'!$B$11*U12)</f>
        <v>-0.48970880859708227</v>
      </c>
      <c r="K13" s="13">
        <f>K12-('Konfigurasi Model'!$B$11*V12)</f>
        <v>-0.58486998672375312</v>
      </c>
      <c r="L13" s="13">
        <f>L12-('Konfigurasi Model'!$B$11*W12)</f>
        <v>1.1396444859181778</v>
      </c>
      <c r="M13" s="13">
        <f>M12-('Konfigurasi Model'!$B$11*X12)</f>
        <v>0.86980809434361117</v>
      </c>
      <c r="N13" s="13">
        <f t="shared" si="0"/>
        <v>-1.86325343596461</v>
      </c>
      <c r="O13" s="13">
        <f t="shared" si="1"/>
        <v>0.13432428799199428</v>
      </c>
      <c r="P13" s="12">
        <f t="shared" si="2"/>
        <v>0</v>
      </c>
      <c r="Q13" s="13">
        <f t="shared" si="3"/>
        <v>0.13432428799199428</v>
      </c>
      <c r="R13" s="13">
        <f t="shared" si="4"/>
        <v>1.804301434455622E-2</v>
      </c>
      <c r="T13" s="14">
        <f t="shared" si="5"/>
        <v>3.123879857898873E-2</v>
      </c>
      <c r="U13" s="14">
        <f t="shared" si="6"/>
        <v>0.13745071374755041</v>
      </c>
      <c r="V13" s="14">
        <f t="shared" si="7"/>
        <v>9.0592515879067317E-2</v>
      </c>
      <c r="W13" s="14">
        <f t="shared" si="8"/>
        <v>4.3734318010584222E-2</v>
      </c>
      <c r="X13" s="14">
        <f t="shared" si="9"/>
        <v>6.247759715797746E-3</v>
      </c>
      <c r="Y13" s="12">
        <f t="shared" si="10"/>
        <v>1</v>
      </c>
    </row>
    <row r="14" spans="1:25" x14ac:dyDescent="0.3">
      <c r="A14" s="23"/>
      <c r="B14" s="12">
        <v>10</v>
      </c>
      <c r="C14" s="12">
        <v>4.9000000000000004</v>
      </c>
      <c r="D14" s="12">
        <v>3.1</v>
      </c>
      <c r="E14" s="12">
        <v>1.5</v>
      </c>
      <c r="F14" s="12">
        <v>0.1</v>
      </c>
      <c r="G14" s="12">
        <v>0</v>
      </c>
      <c r="I14" s="13">
        <f>I13-('Konfigurasi Model'!$B$11*T13)</f>
        <v>0.21500050434936596</v>
      </c>
      <c r="J14" s="13">
        <f>J13-('Konfigurasi Model'!$B$11*U13)</f>
        <v>-0.50345387997183733</v>
      </c>
      <c r="K14" s="13">
        <f>K13-('Konfigurasi Model'!$B$11*V13)</f>
        <v>-0.59392923831165989</v>
      </c>
      <c r="L14" s="13">
        <f>L13-('Konfigurasi Model'!$B$11*W13)</f>
        <v>1.1352710541171194</v>
      </c>
      <c r="M14" s="13">
        <f>M13-('Konfigurasi Model'!$B$11*X13)</f>
        <v>0.86918331837203144</v>
      </c>
      <c r="N14" s="13">
        <f t="shared" si="0"/>
        <v>-2.3032792332659007</v>
      </c>
      <c r="O14" s="13">
        <f t="shared" si="1"/>
        <v>9.0851740232447048E-2</v>
      </c>
      <c r="P14" s="12">
        <f t="shared" si="2"/>
        <v>0</v>
      </c>
      <c r="Q14" s="13">
        <f t="shared" si="3"/>
        <v>9.0851740232447048E-2</v>
      </c>
      <c r="R14" s="13">
        <f t="shared" si="4"/>
        <v>8.2540387032640373E-3</v>
      </c>
      <c r="T14" s="14">
        <f t="shared" si="5"/>
        <v>1.5008289846253058E-2</v>
      </c>
      <c r="U14" s="14">
        <f t="shared" si="6"/>
        <v>7.3540620246639987E-2</v>
      </c>
      <c r="V14" s="14">
        <f t="shared" si="7"/>
        <v>4.6525698523384479E-2</v>
      </c>
      <c r="W14" s="14">
        <f t="shared" si="8"/>
        <v>2.2512434769379586E-2</v>
      </c>
      <c r="X14" s="14">
        <f t="shared" si="9"/>
        <v>1.5008289846253058E-3</v>
      </c>
      <c r="Y14" s="12">
        <f t="shared" si="10"/>
        <v>1</v>
      </c>
    </row>
    <row r="15" spans="1:25" x14ac:dyDescent="0.3">
      <c r="A15" s="23"/>
      <c r="B15" s="12">
        <v>11</v>
      </c>
      <c r="C15" s="12">
        <v>5.4</v>
      </c>
      <c r="D15" s="12">
        <v>3.7</v>
      </c>
      <c r="E15" s="12">
        <v>1.5</v>
      </c>
      <c r="F15" s="12">
        <v>0.2</v>
      </c>
      <c r="G15" s="12">
        <v>0</v>
      </c>
      <c r="I15" s="13">
        <f>I14-('Konfigurasi Model'!$B$11*T14)</f>
        <v>0.21349967536474065</v>
      </c>
      <c r="J15" s="13">
        <f>J14-('Konfigurasi Model'!$B$11*U14)</f>
        <v>-0.51080794199650137</v>
      </c>
      <c r="K15" s="13">
        <f>K14-('Konfigurasi Model'!$B$11*V14)</f>
        <v>-0.59858180816399831</v>
      </c>
      <c r="L15" s="13">
        <f>L14-('Konfigurasi Model'!$B$11*W14)</f>
        <v>1.1330198106401814</v>
      </c>
      <c r="M15" s="13">
        <f>M14-('Konfigurasi Model'!$B$11*X14)</f>
        <v>0.86903323547356892</v>
      </c>
      <c r="N15" s="13">
        <f t="shared" si="0"/>
        <v>-2.8862795385681745</v>
      </c>
      <c r="O15" s="13">
        <f t="shared" si="1"/>
        <v>5.2835997073452004E-2</v>
      </c>
      <c r="P15" s="12">
        <f t="shared" si="2"/>
        <v>0</v>
      </c>
      <c r="Q15" s="13">
        <f t="shared" si="3"/>
        <v>5.2835997073452004E-2</v>
      </c>
      <c r="R15" s="13">
        <f t="shared" si="4"/>
        <v>2.7916425867458286E-3</v>
      </c>
      <c r="T15" s="14">
        <f t="shared" si="5"/>
        <v>5.288286734404804E-3</v>
      </c>
      <c r="U15" s="14">
        <f t="shared" si="6"/>
        <v>2.8556748365785943E-2</v>
      </c>
      <c r="V15" s="14">
        <f t="shared" si="7"/>
        <v>1.9566660917297776E-2</v>
      </c>
      <c r="W15" s="14">
        <f t="shared" si="8"/>
        <v>7.932430101607206E-3</v>
      </c>
      <c r="X15" s="14">
        <f t="shared" si="9"/>
        <v>1.0576573468809608E-3</v>
      </c>
      <c r="Y15" s="12">
        <f t="shared" si="10"/>
        <v>1</v>
      </c>
    </row>
    <row r="16" spans="1:25" x14ac:dyDescent="0.3">
      <c r="A16" s="23"/>
      <c r="B16" s="12">
        <v>12</v>
      </c>
      <c r="C16" s="12">
        <v>4.8</v>
      </c>
      <c r="D16" s="12">
        <v>3.4</v>
      </c>
      <c r="E16" s="12">
        <v>1.6</v>
      </c>
      <c r="F16" s="12">
        <v>0.2</v>
      </c>
      <c r="G16" s="12">
        <v>0</v>
      </c>
      <c r="I16" s="13">
        <f>I15-('Konfigurasi Model'!$B$11*T15)</f>
        <v>0.21297084669130018</v>
      </c>
      <c r="J16" s="13">
        <f>J15-('Konfigurasi Model'!$B$11*U15)</f>
        <v>-0.51366361683307993</v>
      </c>
      <c r="K16" s="13">
        <f>K15-('Konfigurasi Model'!$B$11*V15)</f>
        <v>-0.60053847425572804</v>
      </c>
      <c r="L16" s="13">
        <f>L15-('Konfigurasi Model'!$B$11*W15)</f>
        <v>1.1322265676300207</v>
      </c>
      <c r="M16" s="13">
        <f>M15-('Konfigurasi Model'!$B$11*X15)</f>
        <v>0.8689274697388808</v>
      </c>
      <c r="N16" s="13">
        <f t="shared" si="0"/>
        <v>-2.3090973244211495</v>
      </c>
      <c r="O16" s="13">
        <f t="shared" si="1"/>
        <v>9.0372321865245686E-2</v>
      </c>
      <c r="P16" s="12">
        <f t="shared" si="2"/>
        <v>0</v>
      </c>
      <c r="Q16" s="13">
        <f t="shared" si="3"/>
        <v>9.0372321865245686E-2</v>
      </c>
      <c r="R16" s="13">
        <f t="shared" si="4"/>
        <v>8.1671565593155627E-3</v>
      </c>
      <c r="T16" s="14">
        <f t="shared" si="5"/>
        <v>1.485814331602649E-2</v>
      </c>
      <c r="U16" s="14">
        <f t="shared" si="6"/>
        <v>7.1319087916927149E-2</v>
      </c>
      <c r="V16" s="14">
        <f t="shared" si="7"/>
        <v>5.0517687274490068E-2</v>
      </c>
      <c r="W16" s="14">
        <f t="shared" si="8"/>
        <v>2.3773029305642387E-2</v>
      </c>
      <c r="X16" s="14">
        <f t="shared" si="9"/>
        <v>2.9716286632052984E-3</v>
      </c>
      <c r="Y16" s="12">
        <f t="shared" si="10"/>
        <v>1</v>
      </c>
    </row>
    <row r="17" spans="1:25" x14ac:dyDescent="0.3">
      <c r="A17" s="23"/>
      <c r="B17" s="12">
        <v>13</v>
      </c>
      <c r="C17" s="12">
        <v>4.8</v>
      </c>
      <c r="D17" s="12">
        <v>3</v>
      </c>
      <c r="E17" s="12">
        <v>1.4</v>
      </c>
      <c r="F17" s="12">
        <v>0.1</v>
      </c>
      <c r="G17" s="12">
        <v>0</v>
      </c>
      <c r="I17" s="13">
        <f>I16-('Konfigurasi Model'!$B$11*T16)</f>
        <v>0.21148503235969754</v>
      </c>
      <c r="J17" s="13">
        <f>J16-('Konfigurasi Model'!$B$11*U16)</f>
        <v>-0.5207955256247726</v>
      </c>
      <c r="K17" s="13">
        <f>K16-('Konfigurasi Model'!$B$11*V16)</f>
        <v>-0.6055902429831771</v>
      </c>
      <c r="L17" s="13">
        <f>L16-('Konfigurasi Model'!$B$11*W16)</f>
        <v>1.1298492646994565</v>
      </c>
      <c r="M17" s="13">
        <f>M16-('Konfigurasi Model'!$B$11*X16)</f>
        <v>0.86863030687256026</v>
      </c>
      <c r="N17" s="13">
        <f t="shared" si="0"/>
        <v>-2.4364522183222479</v>
      </c>
      <c r="O17" s="13">
        <f t="shared" si="1"/>
        <v>8.0434934095106728E-2</v>
      </c>
      <c r="P17" s="12">
        <f t="shared" si="2"/>
        <v>0</v>
      </c>
      <c r="Q17" s="13">
        <f t="shared" si="3"/>
        <v>8.0434934095106728E-2</v>
      </c>
      <c r="R17" s="13">
        <f t="shared" si="4"/>
        <v>6.4697786228841625E-3</v>
      </c>
      <c r="T17" s="14">
        <f t="shared" si="5"/>
        <v>1.189876481148509E-2</v>
      </c>
      <c r="U17" s="14">
        <f t="shared" si="6"/>
        <v>5.7114071095128428E-2</v>
      </c>
      <c r="V17" s="14">
        <f t="shared" si="7"/>
        <v>3.5696294434455267E-2</v>
      </c>
      <c r="W17" s="14">
        <f t="shared" si="8"/>
        <v>1.6658270736079124E-2</v>
      </c>
      <c r="X17" s="14">
        <f t="shared" si="9"/>
        <v>1.1898764811485091E-3</v>
      </c>
      <c r="Y17" s="12">
        <f t="shared" si="10"/>
        <v>1</v>
      </c>
    </row>
    <row r="18" spans="1:25" x14ac:dyDescent="0.3">
      <c r="A18" s="23"/>
      <c r="B18" s="12">
        <v>14</v>
      </c>
      <c r="C18" s="12">
        <v>4.3</v>
      </c>
      <c r="D18" s="12">
        <v>3</v>
      </c>
      <c r="E18" s="12">
        <v>1.1000000000000001</v>
      </c>
      <c r="F18" s="12">
        <v>0.1</v>
      </c>
      <c r="G18" s="12">
        <v>0</v>
      </c>
      <c r="I18" s="13">
        <f>I17-('Konfigurasi Model'!$B$11*T17)</f>
        <v>0.21029515587854902</v>
      </c>
      <c r="J18" s="13">
        <f>J17-('Konfigurasi Model'!$B$11*U17)</f>
        <v>-0.52650693273428539</v>
      </c>
      <c r="K18" s="13">
        <f>K17-('Konfigurasi Model'!$B$11*V17)</f>
        <v>-0.60915987242662262</v>
      </c>
      <c r="L18" s="13">
        <f>L17-('Konfigurasi Model'!$B$11*W17)</f>
        <v>1.1281834376258486</v>
      </c>
      <c r="M18" s="13">
        <f>M17-('Konfigurasi Model'!$B$11*X17)</f>
        <v>0.86851131922444547</v>
      </c>
      <c r="N18" s="13">
        <f t="shared" si="0"/>
        <v>-2.5533113588478678</v>
      </c>
      <c r="O18" s="13">
        <f t="shared" si="1"/>
        <v>7.220434005567225E-2</v>
      </c>
      <c r="P18" s="12">
        <f t="shared" si="2"/>
        <v>0</v>
      </c>
      <c r="Q18" s="13">
        <f t="shared" si="3"/>
        <v>7.220434005567225E-2</v>
      </c>
      <c r="R18" s="13">
        <f t="shared" si="4"/>
        <v>5.2134667228751564E-3</v>
      </c>
      <c r="T18" s="14">
        <f t="shared" si="5"/>
        <v>9.6740635974954959E-3</v>
      </c>
      <c r="U18" s="14">
        <f t="shared" si="6"/>
        <v>4.159847346923063E-2</v>
      </c>
      <c r="V18" s="14">
        <f t="shared" si="7"/>
        <v>2.9022190792486489E-2</v>
      </c>
      <c r="W18" s="14">
        <f t="shared" si="8"/>
        <v>1.0641469957245046E-2</v>
      </c>
      <c r="X18" s="14">
        <f t="shared" si="9"/>
        <v>9.6740635974954968E-4</v>
      </c>
      <c r="Y18" s="12">
        <f t="shared" si="10"/>
        <v>1</v>
      </c>
    </row>
    <row r="19" spans="1:25" x14ac:dyDescent="0.3">
      <c r="A19" s="23"/>
      <c r="B19" s="12">
        <v>15</v>
      </c>
      <c r="C19" s="12">
        <v>5.8</v>
      </c>
      <c r="D19" s="12">
        <v>4</v>
      </c>
      <c r="E19" s="12">
        <v>1.2</v>
      </c>
      <c r="F19" s="12">
        <v>0.2</v>
      </c>
      <c r="G19" s="12">
        <v>0</v>
      </c>
      <c r="I19" s="13">
        <f>I18-('Konfigurasi Model'!$B$11*T18)</f>
        <v>0.20932774951879948</v>
      </c>
      <c r="J19" s="13">
        <f>J18-('Konfigurasi Model'!$B$11*U18)</f>
        <v>-0.53066678008120849</v>
      </c>
      <c r="K19" s="13">
        <f>K18-('Konfigurasi Model'!$B$11*V18)</f>
        <v>-0.61206209150587132</v>
      </c>
      <c r="L19" s="13">
        <f>L18-('Konfigurasi Model'!$B$11*W18)</f>
        <v>1.1271192906301242</v>
      </c>
      <c r="M19" s="13">
        <f>M18-('Konfigurasi Model'!$B$11*X18)</f>
        <v>0.86841457858847049</v>
      </c>
      <c r="N19" s="13">
        <f t="shared" si="0"/>
        <v>-3.7905618765018523</v>
      </c>
      <c r="O19" s="13">
        <f t="shared" si="1"/>
        <v>2.2084184343544193E-2</v>
      </c>
      <c r="P19" s="12">
        <f t="shared" si="2"/>
        <v>0</v>
      </c>
      <c r="Q19" s="13">
        <f t="shared" si="3"/>
        <v>2.2084184343544193E-2</v>
      </c>
      <c r="R19" s="13">
        <f t="shared" si="4"/>
        <v>4.8771119811964243E-4</v>
      </c>
      <c r="T19" s="14">
        <f t="shared" si="5"/>
        <v>9.5388098822791491E-4</v>
      </c>
      <c r="U19" s="14">
        <f t="shared" si="6"/>
        <v>5.5325097317219067E-3</v>
      </c>
      <c r="V19" s="14">
        <f t="shared" si="7"/>
        <v>3.8155239529116597E-3</v>
      </c>
      <c r="W19" s="14">
        <f t="shared" si="8"/>
        <v>1.1446571858734979E-3</v>
      </c>
      <c r="X19" s="14">
        <f t="shared" si="9"/>
        <v>1.9077619764558298E-4</v>
      </c>
      <c r="Y19" s="12">
        <f t="shared" si="10"/>
        <v>1</v>
      </c>
    </row>
    <row r="20" spans="1:25" x14ac:dyDescent="0.3">
      <c r="A20" s="23"/>
      <c r="B20" s="12">
        <v>16</v>
      </c>
      <c r="C20" s="12">
        <v>5.7</v>
      </c>
      <c r="D20" s="12">
        <v>4.4000000000000004</v>
      </c>
      <c r="E20" s="12">
        <v>1.5</v>
      </c>
      <c r="F20" s="12">
        <v>0.4</v>
      </c>
      <c r="G20" s="12">
        <v>0</v>
      </c>
      <c r="I20" s="13">
        <f>I19-('Konfigurasi Model'!$B$11*T19)</f>
        <v>0.2092323614199767</v>
      </c>
      <c r="J20" s="13">
        <f>J19-('Konfigurasi Model'!$B$11*U19)</f>
        <v>-0.53122003105438065</v>
      </c>
      <c r="K20" s="13">
        <f>K19-('Konfigurasi Model'!$B$11*V19)</f>
        <v>-0.61244364390116246</v>
      </c>
      <c r="L20" s="13">
        <f>L19-('Konfigurasi Model'!$B$11*W19)</f>
        <v>1.1270048249115368</v>
      </c>
      <c r="M20" s="13">
        <f>M19-('Konfigurasi Model'!$B$11*X19)</f>
        <v>0.86839550096870588</v>
      </c>
      <c r="N20" s="13">
        <f t="shared" si="0"/>
        <v>-3.4756084110003207</v>
      </c>
      <c r="O20" s="13">
        <f t="shared" si="1"/>
        <v>3.0014270402155048E-2</v>
      </c>
      <c r="P20" s="12">
        <f t="shared" si="2"/>
        <v>0</v>
      </c>
      <c r="Q20" s="13">
        <f t="shared" si="3"/>
        <v>3.0014270402155048E-2</v>
      </c>
      <c r="R20" s="13">
        <f t="shared" si="4"/>
        <v>9.0085642777368053E-4</v>
      </c>
      <c r="T20" s="14">
        <f t="shared" si="5"/>
        <v>1.7476357587139235E-3</v>
      </c>
      <c r="U20" s="14">
        <f t="shared" si="6"/>
        <v>9.961523824669364E-3</v>
      </c>
      <c r="V20" s="14">
        <f t="shared" si="7"/>
        <v>7.6895973383412641E-3</v>
      </c>
      <c r="W20" s="14">
        <f t="shared" si="8"/>
        <v>2.6214536380708853E-3</v>
      </c>
      <c r="X20" s="14">
        <f t="shared" si="9"/>
        <v>6.9905430348556942E-4</v>
      </c>
      <c r="Y20" s="12">
        <f t="shared" si="10"/>
        <v>1</v>
      </c>
    </row>
    <row r="21" spans="1:25" x14ac:dyDescent="0.3">
      <c r="A21" s="23"/>
      <c r="B21" s="12">
        <v>17</v>
      </c>
      <c r="C21" s="12">
        <v>5.4</v>
      </c>
      <c r="D21" s="12">
        <v>3.9</v>
      </c>
      <c r="E21" s="12">
        <v>1.3</v>
      </c>
      <c r="F21" s="12">
        <v>0.4</v>
      </c>
      <c r="G21" s="12">
        <v>0</v>
      </c>
      <c r="I21" s="13">
        <f>I20-('Konfigurasi Model'!$B$11*T20)</f>
        <v>0.2090575978441053</v>
      </c>
      <c r="J21" s="13">
        <f>J20-('Konfigurasi Model'!$B$11*U20)</f>
        <v>-0.53221618343684762</v>
      </c>
      <c r="K21" s="13">
        <f>K20-('Konfigurasi Model'!$B$11*V20)</f>
        <v>-0.61321260363499663</v>
      </c>
      <c r="L21" s="13">
        <f>L20-('Konfigurasi Model'!$B$11*W20)</f>
        <v>1.1267426795477296</v>
      </c>
      <c r="M21" s="13">
        <f>M20-('Konfigurasi Model'!$B$11*X20)</f>
        <v>0.86832559553835731</v>
      </c>
      <c r="N21" s="13">
        <f t="shared" si="0"/>
        <v>-3.2443432252639677</v>
      </c>
      <c r="O21" s="13">
        <f t="shared" si="1"/>
        <v>3.7530688425278472E-2</v>
      </c>
      <c r="P21" s="12">
        <f t="shared" si="2"/>
        <v>0</v>
      </c>
      <c r="Q21" s="13">
        <f t="shared" si="3"/>
        <v>3.7530688425278472E-2</v>
      </c>
      <c r="R21" s="13">
        <f t="shared" si="4"/>
        <v>1.4085525736753314E-3</v>
      </c>
      <c r="T21" s="14">
        <f t="shared" si="5"/>
        <v>2.7113772518041969E-3</v>
      </c>
      <c r="U21" s="14">
        <f t="shared" si="6"/>
        <v>1.4641437159742664E-2</v>
      </c>
      <c r="V21" s="14">
        <f t="shared" si="7"/>
        <v>1.0574371282036367E-2</v>
      </c>
      <c r="W21" s="14">
        <f t="shared" si="8"/>
        <v>3.5247904273454562E-3</v>
      </c>
      <c r="X21" s="14">
        <f t="shared" si="9"/>
        <v>1.0845509007216788E-3</v>
      </c>
      <c r="Y21" s="12">
        <f t="shared" si="10"/>
        <v>1</v>
      </c>
    </row>
    <row r="22" spans="1:25" x14ac:dyDescent="0.3">
      <c r="A22" s="23"/>
      <c r="B22" s="12">
        <v>18</v>
      </c>
      <c r="C22" s="12">
        <v>5.0999999999999996</v>
      </c>
      <c r="D22" s="12">
        <v>3.5</v>
      </c>
      <c r="E22" s="12">
        <v>1.4</v>
      </c>
      <c r="F22" s="12">
        <v>0.3</v>
      </c>
      <c r="G22" s="12">
        <v>0</v>
      </c>
      <c r="I22" s="13">
        <f>I21-('Konfigurasi Model'!$B$11*T21)</f>
        <v>0.20878646011892488</v>
      </c>
      <c r="J22" s="13">
        <f>J21-('Konfigurasi Model'!$B$11*U21)</f>
        <v>-0.53368032715282188</v>
      </c>
      <c r="K22" s="13">
        <f>K21-('Konfigurasi Model'!$B$11*V21)</f>
        <v>-0.61427004076320024</v>
      </c>
      <c r="L22" s="13">
        <f>L21-('Konfigurasi Model'!$B$11*W21)</f>
        <v>1.1263902005049951</v>
      </c>
      <c r="M22" s="13">
        <f>M21-('Konfigurasi Model'!$B$11*X21)</f>
        <v>0.86821714044828513</v>
      </c>
      <c r="N22" s="13">
        <f t="shared" si="0"/>
        <v>-2.8255169281901891</v>
      </c>
      <c r="O22" s="13">
        <f t="shared" si="1"/>
        <v>5.5960763912187482E-2</v>
      </c>
      <c r="P22" s="12">
        <f t="shared" si="2"/>
        <v>0</v>
      </c>
      <c r="Q22" s="13">
        <f t="shared" si="3"/>
        <v>5.5960763912187482E-2</v>
      </c>
      <c r="R22" s="13">
        <f t="shared" si="4"/>
        <v>3.1316070976355847E-3</v>
      </c>
      <c r="T22" s="14">
        <f t="shared" si="5"/>
        <v>5.912719944358138E-3</v>
      </c>
      <c r="U22" s="14">
        <f t="shared" si="6"/>
        <v>3.0154871716226501E-2</v>
      </c>
      <c r="V22" s="14">
        <f t="shared" si="7"/>
        <v>2.0694519805253483E-2</v>
      </c>
      <c r="W22" s="14">
        <f t="shared" si="8"/>
        <v>8.2778079221013934E-3</v>
      </c>
      <c r="X22" s="14">
        <f t="shared" si="9"/>
        <v>1.7738159833074413E-3</v>
      </c>
      <c r="Y22" s="12">
        <f t="shared" si="10"/>
        <v>1</v>
      </c>
    </row>
    <row r="23" spans="1:25" x14ac:dyDescent="0.3">
      <c r="A23" s="23"/>
      <c r="B23" s="12">
        <v>19</v>
      </c>
      <c r="C23" s="12">
        <v>5.7</v>
      </c>
      <c r="D23" s="12">
        <v>3.8</v>
      </c>
      <c r="E23" s="12">
        <v>1.7</v>
      </c>
      <c r="F23" s="12">
        <v>0.3</v>
      </c>
      <c r="G23" s="12">
        <v>0</v>
      </c>
      <c r="I23" s="13">
        <f>I22-('Konfigurasi Model'!$B$11*T22)</f>
        <v>0.20819518812448906</v>
      </c>
      <c r="J23" s="13">
        <f>J22-('Konfigurasi Model'!$B$11*U22)</f>
        <v>-0.53669581432444458</v>
      </c>
      <c r="K23" s="13">
        <f>K22-('Konfigurasi Model'!$B$11*V22)</f>
        <v>-0.61633949274372557</v>
      </c>
      <c r="L23" s="13">
        <f>L22-('Konfigurasi Model'!$B$11*W22)</f>
        <v>1.1255624197127849</v>
      </c>
      <c r="M23" s="13">
        <f>M22-('Konfigurasi Model'!$B$11*X22)</f>
        <v>0.86803975884995443</v>
      </c>
      <c r="N23" s="13">
        <f t="shared" si="0"/>
        <v>-3.0191929847842811</v>
      </c>
      <c r="O23" s="13">
        <f t="shared" si="1"/>
        <v>4.6566291164476796E-2</v>
      </c>
      <c r="P23" s="12">
        <f t="shared" si="2"/>
        <v>0</v>
      </c>
      <c r="Q23" s="13">
        <f t="shared" si="3"/>
        <v>4.6566291164476796E-2</v>
      </c>
      <c r="R23" s="13">
        <f t="shared" si="4"/>
        <v>2.1684194728148298E-3</v>
      </c>
      <c r="T23" s="14">
        <f t="shared" si="5"/>
        <v>4.1348884405540262E-3</v>
      </c>
      <c r="U23" s="14">
        <f t="shared" si="6"/>
        <v>2.3568864111157949E-2</v>
      </c>
      <c r="V23" s="14">
        <f t="shared" si="7"/>
        <v>1.5712576074105297E-2</v>
      </c>
      <c r="W23" s="14">
        <f t="shared" si="8"/>
        <v>7.0293103489418446E-3</v>
      </c>
      <c r="X23" s="14">
        <f t="shared" si="9"/>
        <v>1.2404665321662078E-3</v>
      </c>
      <c r="Y23" s="12">
        <f t="shared" si="10"/>
        <v>1</v>
      </c>
    </row>
    <row r="24" spans="1:25" x14ac:dyDescent="0.3">
      <c r="A24" s="23"/>
      <c r="B24" s="12">
        <v>20</v>
      </c>
      <c r="C24" s="12">
        <v>5.0999999999999996</v>
      </c>
      <c r="D24" s="12">
        <v>3.8</v>
      </c>
      <c r="E24" s="12">
        <v>1.5</v>
      </c>
      <c r="F24" s="12">
        <v>0.3</v>
      </c>
      <c r="G24" s="12">
        <v>0</v>
      </c>
      <c r="I24" s="13">
        <f>I23-('Konfigurasi Model'!$B$11*T23)</f>
        <v>0.20778169928043366</v>
      </c>
      <c r="J24" s="13">
        <f>J23-('Konfigurasi Model'!$B$11*U23)</f>
        <v>-0.53905270073556033</v>
      </c>
      <c r="K24" s="13">
        <f>K23-('Konfigurasi Model'!$B$11*V23)</f>
        <v>-0.61791075035113607</v>
      </c>
      <c r="L24" s="13">
        <f>L23-('Konfigurasi Model'!$B$11*W23)</f>
        <v>1.1248594886778907</v>
      </c>
      <c r="M24" s="13">
        <f>M23-('Konfigurasi Model'!$B$11*X23)</f>
        <v>0.8679157121967378</v>
      </c>
      <c r="N24" s="13">
        <f t="shared" si="0"/>
        <v>-2.9417839791293838</v>
      </c>
      <c r="O24" s="13">
        <f t="shared" si="1"/>
        <v>5.0126263280647433E-2</v>
      </c>
      <c r="P24" s="12">
        <f t="shared" si="2"/>
        <v>0</v>
      </c>
      <c r="Q24" s="13">
        <f t="shared" si="3"/>
        <v>5.0126263280647433E-2</v>
      </c>
      <c r="R24" s="13">
        <f t="shared" si="4"/>
        <v>2.512642270480783E-3</v>
      </c>
      <c r="T24" s="14">
        <f t="shared" si="5"/>
        <v>4.7733858050011601E-3</v>
      </c>
      <c r="U24" s="14">
        <f t="shared" si="6"/>
        <v>2.4344267605505916E-2</v>
      </c>
      <c r="V24" s="14">
        <f t="shared" si="7"/>
        <v>1.8138866059004409E-2</v>
      </c>
      <c r="W24" s="14">
        <f t="shared" si="8"/>
        <v>7.1600787075017398E-3</v>
      </c>
      <c r="X24" s="14">
        <f t="shared" si="9"/>
        <v>1.4320157415003479E-3</v>
      </c>
      <c r="Y24" s="12">
        <f t="shared" si="10"/>
        <v>1</v>
      </c>
    </row>
    <row r="25" spans="1:25" x14ac:dyDescent="0.3">
      <c r="A25" s="23"/>
      <c r="B25" s="12">
        <v>21</v>
      </c>
      <c r="C25" s="12">
        <v>7</v>
      </c>
      <c r="D25" s="12">
        <v>3.2</v>
      </c>
      <c r="E25" s="12">
        <v>4.7</v>
      </c>
      <c r="F25" s="12">
        <v>1.4</v>
      </c>
      <c r="G25" s="12">
        <v>1</v>
      </c>
      <c r="I25" s="13">
        <f>I24-('Konfigurasi Model'!$B$11*T24)</f>
        <v>0.20730436069993355</v>
      </c>
      <c r="J25" s="13">
        <f>J24-('Konfigurasi Model'!$B$11*U24)</f>
        <v>-0.54148712749611094</v>
      </c>
      <c r="K25" s="13">
        <f>K24-('Konfigurasi Model'!$B$11*V24)</f>
        <v>-0.6197246369570365</v>
      </c>
      <c r="L25" s="13">
        <f>L24-('Konfigurasi Model'!$B$11*W24)</f>
        <v>1.1241434808071404</v>
      </c>
      <c r="M25" s="13">
        <f>M24-('Konfigurasi Model'!$B$11*X24)</f>
        <v>0.86777251062258776</v>
      </c>
      <c r="N25" s="13">
        <f t="shared" si="0"/>
        <v>0.9321315046298233</v>
      </c>
      <c r="O25" s="13">
        <f t="shared" si="1"/>
        <v>0.71750752141435348</v>
      </c>
      <c r="P25" s="12">
        <f t="shared" si="2"/>
        <v>1</v>
      </c>
      <c r="Q25" s="13">
        <f t="shared" si="3"/>
        <v>-0.28249247858564652</v>
      </c>
      <c r="R25" s="13">
        <f t="shared" si="4"/>
        <v>7.9802000457461955E-2</v>
      </c>
      <c r="T25" s="14">
        <f t="shared" si="5"/>
        <v>-0.11451707110428126</v>
      </c>
      <c r="U25" s="14">
        <f t="shared" si="6"/>
        <v>-0.80161949772996888</v>
      </c>
      <c r="V25" s="14">
        <f t="shared" si="7"/>
        <v>-0.36645462753370006</v>
      </c>
      <c r="W25" s="14">
        <f t="shared" si="8"/>
        <v>-0.53823023419012195</v>
      </c>
      <c r="X25" s="14">
        <f t="shared" si="9"/>
        <v>-0.16032389954599377</v>
      </c>
      <c r="Y25" s="12">
        <f t="shared" si="10"/>
        <v>1</v>
      </c>
    </row>
    <row r="26" spans="1:25" x14ac:dyDescent="0.3">
      <c r="A26" s="23"/>
      <c r="B26" s="12">
        <v>22</v>
      </c>
      <c r="C26" s="12">
        <v>6.4</v>
      </c>
      <c r="D26" s="12">
        <v>3.2</v>
      </c>
      <c r="E26" s="12">
        <v>4.5</v>
      </c>
      <c r="F26" s="12">
        <v>1.5</v>
      </c>
      <c r="G26" s="12">
        <v>1</v>
      </c>
      <c r="I26" s="13">
        <f>I25-('Konfigurasi Model'!$B$11*T25)</f>
        <v>0.21875606781036167</v>
      </c>
      <c r="J26" s="13">
        <f>J25-('Konfigurasi Model'!$B$11*U25)</f>
        <v>-0.46132517772311404</v>
      </c>
      <c r="K26" s="13">
        <f>K25-('Konfigurasi Model'!$B$11*V25)</f>
        <v>-0.58307917420366651</v>
      </c>
      <c r="L26" s="13">
        <f>L25-('Konfigurasi Model'!$B$11*W25)</f>
        <v>1.1779665042261527</v>
      </c>
      <c r="M26" s="13">
        <f>M25-('Konfigurasi Model'!$B$11*X25)</f>
        <v>0.88380490057718708</v>
      </c>
      <c r="N26" s="13">
        <f t="shared" si="0"/>
        <v>2.0269781928141661</v>
      </c>
      <c r="O26" s="13">
        <f t="shared" si="1"/>
        <v>0.88360064349272838</v>
      </c>
      <c r="P26" s="12">
        <f t="shared" si="2"/>
        <v>1</v>
      </c>
      <c r="Q26" s="13">
        <f t="shared" si="3"/>
        <v>-0.11639935650727162</v>
      </c>
      <c r="R26" s="13">
        <f t="shared" si="4"/>
        <v>1.3548810195306916E-2</v>
      </c>
      <c r="T26" s="14">
        <f t="shared" si="5"/>
        <v>-2.3943474814268059E-2</v>
      </c>
      <c r="U26" s="14">
        <f t="shared" si="6"/>
        <v>-0.1532382388113156</v>
      </c>
      <c r="V26" s="14">
        <f t="shared" si="7"/>
        <v>-7.6619119405657798E-2</v>
      </c>
      <c r="W26" s="14">
        <f t="shared" si="8"/>
        <v>-0.10774563666420627</v>
      </c>
      <c r="X26" s="14">
        <f t="shared" si="9"/>
        <v>-3.5915212221402086E-2</v>
      </c>
      <c r="Y26" s="12">
        <f t="shared" si="10"/>
        <v>1</v>
      </c>
    </row>
    <row r="27" spans="1:25" x14ac:dyDescent="0.3">
      <c r="A27" s="23"/>
      <c r="B27" s="12">
        <v>23</v>
      </c>
      <c r="C27" s="12">
        <v>6.9</v>
      </c>
      <c r="D27" s="12">
        <v>3.1</v>
      </c>
      <c r="E27" s="12">
        <v>4.9000000000000004</v>
      </c>
      <c r="F27" s="12">
        <v>1.5</v>
      </c>
      <c r="G27" s="12">
        <v>1</v>
      </c>
      <c r="I27" s="13">
        <f>I26-('Konfigurasi Model'!$B$11*T26)</f>
        <v>0.22115041529178847</v>
      </c>
      <c r="J27" s="13">
        <f>J26-('Konfigurasi Model'!$B$11*U26)</f>
        <v>-0.44600135384198247</v>
      </c>
      <c r="K27" s="13">
        <f>K26-('Konfigurasi Model'!$B$11*V26)</f>
        <v>-0.57541726226310075</v>
      </c>
      <c r="L27" s="13">
        <f>L26-('Konfigurasi Model'!$B$11*W26)</f>
        <v>1.1887410678925734</v>
      </c>
      <c r="M27" s="13">
        <f>M26-('Konfigurasi Model'!$B$11*X26)</f>
        <v>0.88739642179932732</v>
      </c>
      <c r="N27" s="13">
        <f t="shared" si="0"/>
        <v>2.5158734261390983</v>
      </c>
      <c r="O27" s="13">
        <f t="shared" si="1"/>
        <v>0.92524714126865759</v>
      </c>
      <c r="P27" s="12">
        <f t="shared" si="2"/>
        <v>1</v>
      </c>
      <c r="Q27" s="13">
        <f t="shared" si="3"/>
        <v>-7.4752858731342409E-2</v>
      </c>
      <c r="R27" s="13">
        <f t="shared" si="4"/>
        <v>5.5879898885080352E-3</v>
      </c>
      <c r="T27" s="14">
        <f t="shared" si="5"/>
        <v>-1.0340543339560448E-2</v>
      </c>
      <c r="U27" s="14">
        <f t="shared" si="6"/>
        <v>-7.1349749042967092E-2</v>
      </c>
      <c r="V27" s="14">
        <f t="shared" si="7"/>
        <v>-3.2055684352637392E-2</v>
      </c>
      <c r="W27" s="14">
        <f t="shared" si="8"/>
        <v>-5.0668662363846199E-2</v>
      </c>
      <c r="X27" s="14">
        <f t="shared" si="9"/>
        <v>-1.5510815009340671E-2</v>
      </c>
      <c r="Y27" s="12">
        <f t="shared" si="10"/>
        <v>1</v>
      </c>
    </row>
    <row r="28" spans="1:25" x14ac:dyDescent="0.3">
      <c r="A28" s="23"/>
      <c r="B28" s="12">
        <v>24</v>
      </c>
      <c r="C28" s="12">
        <v>5.5</v>
      </c>
      <c r="D28" s="12">
        <v>2.2999999999999998</v>
      </c>
      <c r="E28" s="12">
        <v>4</v>
      </c>
      <c r="F28" s="12">
        <v>1.3</v>
      </c>
      <c r="G28" s="12">
        <v>1</v>
      </c>
      <c r="I28" s="13">
        <f>I27-('Konfigurasi Model'!$B$11*T27)</f>
        <v>0.22218446962574451</v>
      </c>
      <c r="J28" s="13">
        <f>J27-('Konfigurasi Model'!$B$11*U27)</f>
        <v>-0.43886637893768576</v>
      </c>
      <c r="K28" s="13">
        <f>K27-('Konfigurasi Model'!$B$11*V27)</f>
        <v>-0.57221169382783699</v>
      </c>
      <c r="L28" s="13">
        <f>L27-('Konfigurasi Model'!$B$11*W27)</f>
        <v>1.193807934128958</v>
      </c>
      <c r="M28" s="13">
        <f>M27-('Konfigurasi Model'!$B$11*X27)</f>
        <v>0.8889475033002614</v>
      </c>
      <c r="N28" s="13">
        <f t="shared" si="0"/>
        <v>2.42319598047062</v>
      </c>
      <c r="O28" s="13">
        <f t="shared" si="1"/>
        <v>0.91857909683336869</v>
      </c>
      <c r="P28" s="12">
        <f t="shared" si="2"/>
        <v>1</v>
      </c>
      <c r="Q28" s="13">
        <f t="shared" si="3"/>
        <v>-8.1420903166631309E-2</v>
      </c>
      <c r="R28" s="13">
        <f t="shared" si="4"/>
        <v>6.6293634724699521E-3</v>
      </c>
      <c r="T28" s="14">
        <f t="shared" si="5"/>
        <v>-1.2179189422243147E-2</v>
      </c>
      <c r="U28" s="14">
        <f t="shared" si="6"/>
        <v>-6.6985541822337305E-2</v>
      </c>
      <c r="V28" s="14">
        <f t="shared" si="7"/>
        <v>-2.8012135671159236E-2</v>
      </c>
      <c r="W28" s="14">
        <f t="shared" si="8"/>
        <v>-4.8716757688972587E-2</v>
      </c>
      <c r="X28" s="14">
        <f t="shared" si="9"/>
        <v>-1.583294624891609E-2</v>
      </c>
      <c r="Y28" s="12">
        <f t="shared" si="10"/>
        <v>1</v>
      </c>
    </row>
    <row r="29" spans="1:25" x14ac:dyDescent="0.3">
      <c r="A29" s="23"/>
      <c r="B29" s="12">
        <v>25</v>
      </c>
      <c r="C29" s="12">
        <v>6.5</v>
      </c>
      <c r="D29" s="12">
        <v>2.8</v>
      </c>
      <c r="E29" s="12">
        <v>4.5999999999999996</v>
      </c>
      <c r="F29" s="12">
        <v>1.5</v>
      </c>
      <c r="G29" s="12">
        <v>1</v>
      </c>
      <c r="I29" s="13">
        <f>I28-('Konfigurasi Model'!$B$11*T28)</f>
        <v>0.22340238856796882</v>
      </c>
      <c r="J29" s="13">
        <f>J28-('Konfigurasi Model'!$B$11*U28)</f>
        <v>-0.43216782475545201</v>
      </c>
      <c r="K29" s="13">
        <f>K28-('Konfigurasi Model'!$B$11*V28)</f>
        <v>-0.56941048026072105</v>
      </c>
      <c r="L29" s="13">
        <f>L28-('Konfigurasi Model'!$B$11*W28)</f>
        <v>1.1986796098978554</v>
      </c>
      <c r="M29" s="13">
        <f>M28-('Konfigurasi Model'!$B$11*X28)</f>
        <v>0.89053079792515299</v>
      </c>
      <c r="N29" s="13">
        <f t="shared" si="0"/>
        <v>2.6696845853453759</v>
      </c>
      <c r="O29" s="13">
        <f t="shared" si="1"/>
        <v>0.93521392340806286</v>
      </c>
      <c r="P29" s="12">
        <f t="shared" si="2"/>
        <v>1</v>
      </c>
      <c r="Q29" s="13">
        <f t="shared" si="3"/>
        <v>-6.4786076591937136E-2</v>
      </c>
      <c r="R29" s="13">
        <f t="shared" si="4"/>
        <v>4.1972357201763453E-3</v>
      </c>
      <c r="T29" s="14">
        <f t="shared" si="5"/>
        <v>-7.8506265706691728E-3</v>
      </c>
      <c r="U29" s="14">
        <f t="shared" si="6"/>
        <v>-5.1029072709349622E-2</v>
      </c>
      <c r="V29" s="14">
        <f t="shared" si="7"/>
        <v>-2.1981754397873681E-2</v>
      </c>
      <c r="W29" s="14">
        <f t="shared" si="8"/>
        <v>-3.6112882225078191E-2</v>
      </c>
      <c r="X29" s="14">
        <f t="shared" si="9"/>
        <v>-1.177593985600376E-2</v>
      </c>
      <c r="Y29" s="12">
        <f t="shared" si="10"/>
        <v>1</v>
      </c>
    </row>
    <row r="30" spans="1:25" x14ac:dyDescent="0.3">
      <c r="A30" s="23"/>
      <c r="B30" s="12">
        <v>26</v>
      </c>
      <c r="C30" s="12">
        <v>5.7</v>
      </c>
      <c r="D30" s="12">
        <v>2.8</v>
      </c>
      <c r="E30" s="12">
        <v>4.5</v>
      </c>
      <c r="F30" s="12">
        <v>1.3</v>
      </c>
      <c r="G30" s="12">
        <v>1</v>
      </c>
      <c r="I30" s="13">
        <f>I29-('Konfigurasi Model'!$B$11*T29)</f>
        <v>0.22418745122503572</v>
      </c>
      <c r="J30" s="13">
        <f>J29-('Konfigurasi Model'!$B$11*U29)</f>
        <v>-0.42706491748451703</v>
      </c>
      <c r="K30" s="13">
        <f>K29-('Konfigurasi Model'!$B$11*V29)</f>
        <v>-0.56721230482093365</v>
      </c>
      <c r="L30" s="13">
        <f>L29-('Konfigurasi Model'!$B$11*W29)</f>
        <v>1.2022908981203633</v>
      </c>
      <c r="M30" s="13">
        <f>M29-('Konfigurasi Model'!$B$11*X29)</f>
        <v>0.89170839191075335</v>
      </c>
      <c r="N30" s="13">
        <f t="shared" si="0"/>
        <v>2.7712529190902888</v>
      </c>
      <c r="O30" s="13">
        <f t="shared" si="1"/>
        <v>0.94110247249068979</v>
      </c>
      <c r="P30" s="12">
        <f t="shared" si="2"/>
        <v>1</v>
      </c>
      <c r="Q30" s="13">
        <f t="shared" si="3"/>
        <v>-5.889752750931021E-2</v>
      </c>
      <c r="R30" s="13">
        <f t="shared" si="4"/>
        <v>3.4689187467099531E-3</v>
      </c>
      <c r="T30" s="14">
        <f t="shared" si="5"/>
        <v>-6.5292160187960836E-3</v>
      </c>
      <c r="U30" s="14">
        <f t="shared" si="6"/>
        <v>-3.721653130713768E-2</v>
      </c>
      <c r="V30" s="14">
        <f t="shared" si="7"/>
        <v>-1.8281804852629032E-2</v>
      </c>
      <c r="W30" s="14">
        <f t="shared" si="8"/>
        <v>-2.9381472084582375E-2</v>
      </c>
      <c r="X30" s="14">
        <f t="shared" si="9"/>
        <v>-8.4879808244349084E-3</v>
      </c>
      <c r="Y30" s="12">
        <f t="shared" si="10"/>
        <v>1</v>
      </c>
    </row>
    <row r="31" spans="1:25" x14ac:dyDescent="0.3">
      <c r="A31" s="23"/>
      <c r="B31" s="12">
        <v>27</v>
      </c>
      <c r="C31" s="12">
        <v>6.3</v>
      </c>
      <c r="D31" s="12">
        <v>3.3</v>
      </c>
      <c r="E31" s="12">
        <v>4.7</v>
      </c>
      <c r="F31" s="12">
        <v>1.6</v>
      </c>
      <c r="G31" s="12">
        <v>1</v>
      </c>
      <c r="I31" s="13">
        <f>I30-('Konfigurasi Model'!$B$11*T30)</f>
        <v>0.22484037282691532</v>
      </c>
      <c r="J31" s="13">
        <f>J30-('Konfigurasi Model'!$B$11*U30)</f>
        <v>-0.42334326435380326</v>
      </c>
      <c r="K31" s="13">
        <f>K30-('Konfigurasi Model'!$B$11*V30)</f>
        <v>-0.56538412433567076</v>
      </c>
      <c r="L31" s="13">
        <f>L30-('Konfigurasi Model'!$B$11*W30)</f>
        <v>1.2052290453288215</v>
      </c>
      <c r="M31" s="13">
        <f>M30-('Konfigurasi Model'!$B$11*X30)</f>
        <v>0.89255718999319689</v>
      </c>
      <c r="N31" s="13">
        <f t="shared" si="0"/>
        <v>2.7846782141248183</v>
      </c>
      <c r="O31" s="13">
        <f t="shared" si="1"/>
        <v>0.94184222603637457</v>
      </c>
      <c r="P31" s="12">
        <f t="shared" si="2"/>
        <v>1</v>
      </c>
      <c r="Q31" s="13">
        <f t="shared" si="3"/>
        <v>-5.8157773963625425E-2</v>
      </c>
      <c r="R31" s="13">
        <f t="shared" si="4"/>
        <v>3.3823266724041473E-3</v>
      </c>
      <c r="T31" s="14">
        <f t="shared" si="5"/>
        <v>-6.3712361646386514E-3</v>
      </c>
      <c r="U31" s="14">
        <f t="shared" si="6"/>
        <v>-4.0138787837223501E-2</v>
      </c>
      <c r="V31" s="14">
        <f t="shared" si="7"/>
        <v>-2.1025079343307548E-2</v>
      </c>
      <c r="W31" s="14">
        <f t="shared" si="8"/>
        <v>-2.9944809973801664E-2</v>
      </c>
      <c r="X31" s="14">
        <f t="shared" si="9"/>
        <v>-1.0193977863421843E-2</v>
      </c>
      <c r="Y31" s="12">
        <f t="shared" si="10"/>
        <v>1</v>
      </c>
    </row>
    <row r="32" spans="1:25" x14ac:dyDescent="0.3">
      <c r="A32" s="23"/>
      <c r="B32" s="12">
        <v>28</v>
      </c>
      <c r="C32" s="12">
        <v>4.9000000000000004</v>
      </c>
      <c r="D32" s="12">
        <v>2.4</v>
      </c>
      <c r="E32" s="12">
        <v>3.3</v>
      </c>
      <c r="F32" s="12">
        <v>1</v>
      </c>
      <c r="G32" s="12">
        <v>1</v>
      </c>
      <c r="I32" s="13">
        <f>I31-('Konfigurasi Model'!$B$11*T31)</f>
        <v>0.22547749644337919</v>
      </c>
      <c r="J32" s="13">
        <f>J31-('Konfigurasi Model'!$B$11*U31)</f>
        <v>-0.41932938557008093</v>
      </c>
      <c r="K32" s="13">
        <f>K31-('Konfigurasi Model'!$B$11*V31)</f>
        <v>-0.56328161640134</v>
      </c>
      <c r="L32" s="13">
        <f>L31-('Konfigurasi Model'!$B$11*W31)</f>
        <v>1.2082235263262016</v>
      </c>
      <c r="M32" s="13">
        <f>M31-('Konfigurasi Model'!$B$11*X31)</f>
        <v>0.89357658777953908</v>
      </c>
      <c r="N32" s="13">
        <f t="shared" si="0"/>
        <v>1.699601852442771</v>
      </c>
      <c r="O32" s="13">
        <f t="shared" si="1"/>
        <v>0.84548272740316588</v>
      </c>
      <c r="P32" s="12">
        <f t="shared" si="2"/>
        <v>1</v>
      </c>
      <c r="Q32" s="13">
        <f t="shared" si="3"/>
        <v>-0.15451727259683412</v>
      </c>
      <c r="R32" s="13">
        <f t="shared" si="4"/>
        <v>2.3875587530764346E-2</v>
      </c>
      <c r="T32" s="14">
        <f t="shared" si="5"/>
        <v>-4.0372793727727313E-2</v>
      </c>
      <c r="U32" s="14">
        <f t="shared" si="6"/>
        <v>-0.19782668926586386</v>
      </c>
      <c r="V32" s="14">
        <f t="shared" si="7"/>
        <v>-9.6894704946545548E-2</v>
      </c>
      <c r="W32" s="14">
        <f t="shared" si="8"/>
        <v>-0.13323021930150011</v>
      </c>
      <c r="X32" s="14">
        <f t="shared" si="9"/>
        <v>-4.0372793727727313E-2</v>
      </c>
      <c r="Y32" s="12">
        <f t="shared" si="10"/>
        <v>1</v>
      </c>
    </row>
    <row r="33" spans="1:25" x14ac:dyDescent="0.3">
      <c r="A33" s="23"/>
      <c r="B33" s="12">
        <v>29</v>
      </c>
      <c r="C33" s="12">
        <v>6.6</v>
      </c>
      <c r="D33" s="12">
        <v>2.9</v>
      </c>
      <c r="E33" s="12">
        <v>4.5999999999999996</v>
      </c>
      <c r="F33" s="12">
        <v>1.3</v>
      </c>
      <c r="G33" s="12">
        <v>1</v>
      </c>
      <c r="I33" s="13">
        <f>I32-('Konfigurasi Model'!$B$11*T32)</f>
        <v>0.22951477581615193</v>
      </c>
      <c r="J33" s="13">
        <f>J32-('Konfigurasi Model'!$B$11*U32)</f>
        <v>-0.39954671664349456</v>
      </c>
      <c r="K33" s="13">
        <f>K32-('Konfigurasi Model'!$B$11*V32)</f>
        <v>-0.55359214590668548</v>
      </c>
      <c r="L33" s="13">
        <f>L32-('Konfigurasi Model'!$B$11*W32)</f>
        <v>1.2215465482563517</v>
      </c>
      <c r="M33" s="13">
        <f>M32-('Konfigurasi Model'!$B$11*X32)</f>
        <v>0.89761386715231184</v>
      </c>
      <c r="N33" s="13">
        <f t="shared" si="0"/>
        <v>2.7731013721169226</v>
      </c>
      <c r="O33" s="13">
        <f t="shared" si="1"/>
        <v>0.94120484617005362</v>
      </c>
      <c r="P33" s="12">
        <f t="shared" si="2"/>
        <v>1</v>
      </c>
      <c r="Q33" s="13">
        <f t="shared" si="3"/>
        <v>-5.8795153829946378E-2</v>
      </c>
      <c r="R33" s="13">
        <f t="shared" si="4"/>
        <v>3.4568701138870581E-3</v>
      </c>
      <c r="T33" s="14">
        <f t="shared" si="5"/>
        <v>-6.5072458075418485E-3</v>
      </c>
      <c r="U33" s="14">
        <f t="shared" si="6"/>
        <v>-4.2947822329776196E-2</v>
      </c>
      <c r="V33" s="14">
        <f t="shared" si="7"/>
        <v>-1.887101284187136E-2</v>
      </c>
      <c r="W33" s="14">
        <f t="shared" si="8"/>
        <v>-2.9933330714692501E-2</v>
      </c>
      <c r="X33" s="14">
        <f t="shared" si="9"/>
        <v>-8.4594195498044027E-3</v>
      </c>
      <c r="Y33" s="12">
        <f t="shared" si="10"/>
        <v>1</v>
      </c>
    </row>
    <row r="34" spans="1:25" x14ac:dyDescent="0.3">
      <c r="A34" s="23"/>
      <c r="B34" s="12">
        <v>30</v>
      </c>
      <c r="C34" s="12">
        <v>5.2</v>
      </c>
      <c r="D34" s="12">
        <v>2.7</v>
      </c>
      <c r="E34" s="12">
        <v>3.9</v>
      </c>
      <c r="F34" s="12">
        <v>1.4</v>
      </c>
      <c r="G34" s="12">
        <v>1</v>
      </c>
      <c r="I34" s="13">
        <f>I33-('Konfigurasi Model'!$B$11*T33)</f>
        <v>0.23016550039690611</v>
      </c>
      <c r="J34" s="13">
        <f>J33-('Konfigurasi Model'!$B$11*U33)</f>
        <v>-0.39525193441051693</v>
      </c>
      <c r="K34" s="13">
        <f>K33-('Konfigurasi Model'!$B$11*V33)</f>
        <v>-0.55170504462249836</v>
      </c>
      <c r="L34" s="13">
        <f>L33-('Konfigurasi Model'!$B$11*W33)</f>
        <v>1.224539881327821</v>
      </c>
      <c r="M34" s="13">
        <f>M33-('Konfigurasi Model'!$B$11*X33)</f>
        <v>0.89845980910729228</v>
      </c>
      <c r="N34" s="13">
        <f t="shared" si="0"/>
        <v>2.7188010909101834</v>
      </c>
      <c r="O34" s="13">
        <f t="shared" si="1"/>
        <v>0.93812697990182237</v>
      </c>
      <c r="P34" s="12">
        <f t="shared" si="2"/>
        <v>1</v>
      </c>
      <c r="Q34" s="13">
        <f t="shared" si="3"/>
        <v>-6.1873020098177633E-2</v>
      </c>
      <c r="R34" s="13">
        <f t="shared" si="4"/>
        <v>3.8282706160694935E-3</v>
      </c>
      <c r="T34" s="14">
        <f t="shared" si="5"/>
        <v>-7.1828079026003255E-3</v>
      </c>
      <c r="U34" s="14">
        <f t="shared" si="6"/>
        <v>-3.7350601093521694E-2</v>
      </c>
      <c r="V34" s="14">
        <f t="shared" si="7"/>
        <v>-1.939358133702088E-2</v>
      </c>
      <c r="W34" s="14">
        <f t="shared" si="8"/>
        <v>-2.8012950820141269E-2</v>
      </c>
      <c r="X34" s="14">
        <f t="shared" si="9"/>
        <v>-1.0055931063640455E-2</v>
      </c>
      <c r="Y34" s="12">
        <f t="shared" si="10"/>
        <v>1</v>
      </c>
    </row>
    <row r="35" spans="1:25" x14ac:dyDescent="0.3">
      <c r="A35" s="23"/>
      <c r="B35" s="12">
        <v>31</v>
      </c>
      <c r="C35" s="12">
        <v>5</v>
      </c>
      <c r="D35" s="12">
        <v>2</v>
      </c>
      <c r="E35" s="12">
        <v>3.5</v>
      </c>
      <c r="F35" s="12">
        <v>1</v>
      </c>
      <c r="G35" s="12">
        <v>1</v>
      </c>
      <c r="I35" s="13">
        <f>I34-('Konfigurasi Model'!$B$11*T34)</f>
        <v>0.23088378118716615</v>
      </c>
      <c r="J35" s="13">
        <f>J34-('Konfigurasi Model'!$B$11*U34)</f>
        <v>-0.39151687430116477</v>
      </c>
      <c r="K35" s="13">
        <f>K34-('Konfigurasi Model'!$B$11*V34)</f>
        <v>-0.54976568648879631</v>
      </c>
      <c r="L35" s="13">
        <f>L34-('Konfigurasi Model'!$B$11*W34)</f>
        <v>1.2273411764098352</v>
      </c>
      <c r="M35" s="13">
        <f>M34-('Konfigurasi Model'!$B$11*X34)</f>
        <v>0.89946540221365634</v>
      </c>
      <c r="N35" s="13">
        <f t="shared" si="0"/>
        <v>2.3689275563518293</v>
      </c>
      <c r="O35" s="13">
        <f t="shared" si="1"/>
        <v>0.91442697883952462</v>
      </c>
      <c r="P35" s="12">
        <f t="shared" si="2"/>
        <v>1</v>
      </c>
      <c r="Q35" s="13">
        <f t="shared" si="3"/>
        <v>-8.5573021160475382E-2</v>
      </c>
      <c r="R35" s="13">
        <f t="shared" si="4"/>
        <v>7.3227419505311675E-3</v>
      </c>
      <c r="T35" s="14">
        <f t="shared" si="5"/>
        <v>-1.3392225597291326E-2</v>
      </c>
      <c r="U35" s="14">
        <f t="shared" si="6"/>
        <v>-6.6961127986456634E-2</v>
      </c>
      <c r="V35" s="14">
        <f t="shared" si="7"/>
        <v>-2.6784451194582653E-2</v>
      </c>
      <c r="W35" s="14">
        <f t="shared" si="8"/>
        <v>-4.6872789590519645E-2</v>
      </c>
      <c r="X35" s="14">
        <f t="shared" si="9"/>
        <v>-1.3392225597291326E-2</v>
      </c>
      <c r="Y35" s="12">
        <f t="shared" si="10"/>
        <v>1</v>
      </c>
    </row>
    <row r="36" spans="1:25" x14ac:dyDescent="0.3">
      <c r="A36" s="23"/>
      <c r="B36" s="12">
        <v>32</v>
      </c>
      <c r="C36" s="12">
        <v>5.9</v>
      </c>
      <c r="D36" s="12">
        <v>3</v>
      </c>
      <c r="E36" s="12">
        <v>4.2</v>
      </c>
      <c r="F36" s="12">
        <v>1.5</v>
      </c>
      <c r="G36" s="12">
        <v>1</v>
      </c>
      <c r="I36" s="13">
        <f>I35-('Konfigurasi Model'!$B$11*T35)</f>
        <v>0.23222300374689528</v>
      </c>
      <c r="J36" s="13">
        <f>J35-('Konfigurasi Model'!$B$11*U35)</f>
        <v>-0.38482076150251909</v>
      </c>
      <c r="K36" s="13">
        <f>K35-('Konfigurasi Model'!$B$11*V35)</f>
        <v>-0.54708724136933806</v>
      </c>
      <c r="L36" s="13">
        <f>L35-('Konfigurasi Model'!$B$11*W35)</f>
        <v>1.2320284553688872</v>
      </c>
      <c r="M36" s="13">
        <f>M35-('Konfigurasi Model'!$B$11*X35)</f>
        <v>0.90080462477338552</v>
      </c>
      <c r="N36" s="13">
        <f t="shared" si="0"/>
        <v>2.8462452364834232</v>
      </c>
      <c r="O36" s="13">
        <f t="shared" si="1"/>
        <v>0.94512426944287375</v>
      </c>
      <c r="P36" s="12">
        <f t="shared" si="2"/>
        <v>1</v>
      </c>
      <c r="Q36" s="13">
        <f t="shared" si="3"/>
        <v>-5.4875730557126245E-2</v>
      </c>
      <c r="R36" s="13">
        <f t="shared" si="4"/>
        <v>3.0113458041783193E-3</v>
      </c>
      <c r="T36" s="14">
        <f t="shared" si="5"/>
        <v>-5.6921920064277945E-3</v>
      </c>
      <c r="U36" s="14">
        <f t="shared" si="6"/>
        <v>-3.3583932837923991E-2</v>
      </c>
      <c r="V36" s="14">
        <f t="shared" si="7"/>
        <v>-1.7076576019283383E-2</v>
      </c>
      <c r="W36" s="14">
        <f t="shared" si="8"/>
        <v>-2.3907206426996737E-2</v>
      </c>
      <c r="X36" s="14">
        <f t="shared" si="9"/>
        <v>-8.5382880096416917E-3</v>
      </c>
      <c r="Y36" s="12">
        <f t="shared" si="10"/>
        <v>1</v>
      </c>
    </row>
    <row r="37" spans="1:25" x14ac:dyDescent="0.3">
      <c r="A37" s="23"/>
      <c r="B37" s="12">
        <v>33</v>
      </c>
      <c r="C37" s="12">
        <v>6</v>
      </c>
      <c r="D37" s="12">
        <v>2.2000000000000002</v>
      </c>
      <c r="E37" s="12">
        <v>4</v>
      </c>
      <c r="F37" s="12">
        <v>1</v>
      </c>
      <c r="G37" s="12">
        <v>1</v>
      </c>
      <c r="I37" s="13">
        <f>I36-('Konfigurasi Model'!$B$11*T36)</f>
        <v>0.23279222294753807</v>
      </c>
      <c r="J37" s="13">
        <f>J36-('Konfigurasi Model'!$B$11*U36)</f>
        <v>-0.3814623682187267</v>
      </c>
      <c r="K37" s="13">
        <f>K36-('Konfigurasi Model'!$B$11*V36)</f>
        <v>-0.54537958376740969</v>
      </c>
      <c r="L37" s="13">
        <f>L36-('Konfigurasi Model'!$B$11*W36)</f>
        <v>1.2344191760115868</v>
      </c>
      <c r="M37" s="13">
        <f>M36-('Konfigurasi Model'!$B$11*X36)</f>
        <v>0.90165845357434971</v>
      </c>
      <c r="N37" s="13">
        <f t="shared" ref="N37:N68" si="11">I37+J37*C37+K37*D37+L37*E37+M37*F37</f>
        <v>2.5835180869675733</v>
      </c>
      <c r="O37" s="13">
        <f t="shared" ref="O37:O68" si="12">1/(1+EXP(-N37))</f>
        <v>0.92979326942787377</v>
      </c>
      <c r="P37" s="12">
        <f t="shared" ref="P37:P68" si="13">IF(O37&gt;0.5,1,0)</f>
        <v>1</v>
      </c>
      <c r="Q37" s="13">
        <f t="shared" ref="Q37:Q68" si="14">O37-G37</f>
        <v>-7.020673057212623E-2</v>
      </c>
      <c r="R37" s="13">
        <f t="shared" ref="R37:R68" si="15">Q37^2</f>
        <v>4.928985017627124E-3</v>
      </c>
      <c r="T37" s="14">
        <f t="shared" ref="T37:T68" si="16">2*(O37-G37)*(1-O37)*O37</f>
        <v>-9.1658741890010588E-3</v>
      </c>
      <c r="U37" s="14">
        <f t="shared" ref="U37:U68" si="17">2*(O37-G37)*(1-O37)*O37*C37</f>
        <v>-5.4995245134006353E-2</v>
      </c>
      <c r="V37" s="14">
        <f t="shared" ref="V37:V68" si="18">2*(O37-G37)*(1-O37)*O37*D37</f>
        <v>-2.0164923215802332E-2</v>
      </c>
      <c r="W37" s="14">
        <f t="shared" ref="W37:W68" si="19">2*(O37-G37)*(1-O37)*O37*E37</f>
        <v>-3.6663496756004235E-2</v>
      </c>
      <c r="X37" s="14">
        <f t="shared" ref="X37:X68" si="20">2*(O37-G37)*(1-O37)*O37*F37</f>
        <v>-9.1658741890010588E-3</v>
      </c>
      <c r="Y37" s="12">
        <f t="shared" ref="Y37:Y68" si="21">IF(P37=G37,1,0)</f>
        <v>1</v>
      </c>
    </row>
    <row r="38" spans="1:25" x14ac:dyDescent="0.3">
      <c r="A38" s="23"/>
      <c r="B38" s="12">
        <v>34</v>
      </c>
      <c r="C38" s="12">
        <v>6.1</v>
      </c>
      <c r="D38" s="12">
        <v>2.9</v>
      </c>
      <c r="E38" s="12">
        <v>4.7</v>
      </c>
      <c r="F38" s="12">
        <v>1.4</v>
      </c>
      <c r="G38" s="12">
        <v>1</v>
      </c>
      <c r="I38" s="13">
        <f>I37-('Konfigurasi Model'!$B$11*T37)</f>
        <v>0.23370881036643817</v>
      </c>
      <c r="J38" s="13">
        <f>J37-('Konfigurasi Model'!$B$11*U37)</f>
        <v>-0.37596284370532607</v>
      </c>
      <c r="K38" s="13">
        <f>K37-('Konfigurasi Model'!$B$11*V37)</f>
        <v>-0.5433630914458295</v>
      </c>
      <c r="L38" s="13">
        <f>L37-('Konfigurasi Model'!$B$11*W37)</f>
        <v>1.2380855256871872</v>
      </c>
      <c r="M38" s="13">
        <f>M37-('Konfigurasi Model'!$B$11*X37)</f>
        <v>0.90257504099324981</v>
      </c>
      <c r="N38" s="13">
        <f t="shared" si="11"/>
        <v>3.4471895266913735</v>
      </c>
      <c r="O38" s="13">
        <f t="shared" si="12"/>
        <v>0.9691472157020411</v>
      </c>
      <c r="P38" s="12">
        <f t="shared" si="13"/>
        <v>1</v>
      </c>
      <c r="Q38" s="13">
        <f t="shared" si="14"/>
        <v>-3.0852784297958902E-2</v>
      </c>
      <c r="R38" s="13">
        <f t="shared" si="15"/>
        <v>9.5189429893637934E-4</v>
      </c>
      <c r="T38" s="14">
        <f t="shared" si="16"/>
        <v>-1.8450514189136769E-3</v>
      </c>
      <c r="U38" s="14">
        <f t="shared" si="17"/>
        <v>-1.1254813655373428E-2</v>
      </c>
      <c r="V38" s="14">
        <f t="shared" si="18"/>
        <v>-5.3506491148496626E-3</v>
      </c>
      <c r="W38" s="14">
        <f t="shared" si="19"/>
        <v>-8.6717416688942821E-3</v>
      </c>
      <c r="X38" s="14">
        <f t="shared" si="20"/>
        <v>-2.5830719864791477E-3</v>
      </c>
      <c r="Y38" s="12">
        <f t="shared" si="21"/>
        <v>1</v>
      </c>
    </row>
    <row r="39" spans="1:25" x14ac:dyDescent="0.3">
      <c r="A39" s="23"/>
      <c r="B39" s="12">
        <v>35</v>
      </c>
      <c r="C39" s="12">
        <v>5.6</v>
      </c>
      <c r="D39" s="12">
        <v>2.9</v>
      </c>
      <c r="E39" s="12">
        <v>3.6</v>
      </c>
      <c r="F39" s="12">
        <v>1.3</v>
      </c>
      <c r="G39" s="12">
        <v>1</v>
      </c>
      <c r="I39" s="13">
        <f>I38-('Konfigurasi Model'!$B$11*T38)</f>
        <v>0.23389331550832954</v>
      </c>
      <c r="J39" s="13">
        <f>J38-('Konfigurasi Model'!$B$11*U38)</f>
        <v>-0.3748373623397887</v>
      </c>
      <c r="K39" s="13">
        <f>K38-('Konfigurasi Model'!$B$11*V38)</f>
        <v>-0.54282802653434459</v>
      </c>
      <c r="L39" s="13">
        <f>L38-('Konfigurasi Model'!$B$11*W38)</f>
        <v>1.2389526998540767</v>
      </c>
      <c r="M39" s="13">
        <f>M38-('Konfigurasi Model'!$B$11*X38)</f>
        <v>0.90283334819189776</v>
      </c>
      <c r="N39" s="13">
        <f t="shared" si="11"/>
        <v>2.1945158815800578</v>
      </c>
      <c r="O39" s="13">
        <f t="shared" si="12"/>
        <v>0.89975595311165202</v>
      </c>
      <c r="P39" s="12">
        <f t="shared" si="13"/>
        <v>1</v>
      </c>
      <c r="Q39" s="13">
        <f t="shared" si="14"/>
        <v>-0.10024404688834798</v>
      </c>
      <c r="R39" s="13">
        <f t="shared" si="15"/>
        <v>1.0048868936553308E-2</v>
      </c>
      <c r="T39" s="14">
        <f t="shared" si="16"/>
        <v>-1.8083059295405188E-2</v>
      </c>
      <c r="U39" s="14">
        <f t="shared" si="17"/>
        <v>-0.10126513205426906</v>
      </c>
      <c r="V39" s="14">
        <f t="shared" si="18"/>
        <v>-5.2440871956675045E-2</v>
      </c>
      <c r="W39" s="14">
        <f t="shared" si="19"/>
        <v>-6.5099013463458685E-2</v>
      </c>
      <c r="X39" s="14">
        <f t="shared" si="20"/>
        <v>-2.3507977084026747E-2</v>
      </c>
      <c r="Y39" s="12">
        <f t="shared" si="21"/>
        <v>1</v>
      </c>
    </row>
    <row r="40" spans="1:25" x14ac:dyDescent="0.3">
      <c r="A40" s="23"/>
      <c r="B40" s="12">
        <v>36</v>
      </c>
      <c r="C40" s="12">
        <v>6.7</v>
      </c>
      <c r="D40" s="12">
        <v>3.1</v>
      </c>
      <c r="E40" s="12">
        <v>4.4000000000000004</v>
      </c>
      <c r="F40" s="12">
        <v>1.4</v>
      </c>
      <c r="G40" s="12">
        <v>1</v>
      </c>
      <c r="I40" s="13">
        <f>I39-('Konfigurasi Model'!$B$11*T39)</f>
        <v>0.23570162143787005</v>
      </c>
      <c r="J40" s="13">
        <f>J39-('Konfigurasi Model'!$B$11*U39)</f>
        <v>-0.3647108491343618</v>
      </c>
      <c r="K40" s="13">
        <f>K39-('Konfigurasi Model'!$B$11*V39)</f>
        <v>-0.5375839393386771</v>
      </c>
      <c r="L40" s="13">
        <f>L39-('Konfigurasi Model'!$B$11*W39)</f>
        <v>1.2454626012004226</v>
      </c>
      <c r="M40" s="13">
        <f>M39-('Konfigurasi Model'!$B$11*X39)</f>
        <v>0.90518414590030039</v>
      </c>
      <c r="N40" s="13">
        <f t="shared" si="11"/>
        <v>2.8729219698300277</v>
      </c>
      <c r="O40" s="13">
        <f t="shared" si="12"/>
        <v>0.94649152529542036</v>
      </c>
      <c r="P40" s="12">
        <f t="shared" si="13"/>
        <v>1</v>
      </c>
      <c r="Q40" s="13">
        <f t="shared" si="14"/>
        <v>-5.3508474704579645E-2</v>
      </c>
      <c r="R40" s="13">
        <f t="shared" si="15"/>
        <v>2.8631568652106396E-3</v>
      </c>
      <c r="T40" s="14">
        <f t="shared" si="16"/>
        <v>-5.4199074170265451E-3</v>
      </c>
      <c r="U40" s="14">
        <f t="shared" si="17"/>
        <v>-3.6313379694077851E-2</v>
      </c>
      <c r="V40" s="14">
        <f t="shared" si="18"/>
        <v>-1.680171299278229E-2</v>
      </c>
      <c r="W40" s="14">
        <f t="shared" si="19"/>
        <v>-2.38475926349168E-2</v>
      </c>
      <c r="X40" s="14">
        <f t="shared" si="20"/>
        <v>-7.5878703838371626E-3</v>
      </c>
      <c r="Y40" s="12">
        <f t="shared" si="21"/>
        <v>1</v>
      </c>
    </row>
    <row r="41" spans="1:25" x14ac:dyDescent="0.3">
      <c r="A41" s="23"/>
      <c r="B41" s="12">
        <v>37</v>
      </c>
      <c r="C41" s="12">
        <v>5.6</v>
      </c>
      <c r="D41" s="12">
        <v>3</v>
      </c>
      <c r="E41" s="12">
        <v>4.5</v>
      </c>
      <c r="F41" s="12">
        <v>1.5</v>
      </c>
      <c r="G41" s="12">
        <v>1</v>
      </c>
      <c r="I41" s="13">
        <f>I40-('Konfigurasi Model'!$B$11*T40)</f>
        <v>0.23624361217957271</v>
      </c>
      <c r="J41" s="13">
        <f>J40-('Konfigurasi Model'!$B$11*U40)</f>
        <v>-0.36107951116495401</v>
      </c>
      <c r="K41" s="13">
        <f>K40-('Konfigurasi Model'!$B$11*V40)</f>
        <v>-0.53590376803939888</v>
      </c>
      <c r="L41" s="13">
        <f>L40-('Konfigurasi Model'!$B$11*W40)</f>
        <v>1.2478473604639142</v>
      </c>
      <c r="M41" s="13">
        <f>M40-('Konfigurasi Model'!$B$11*X40)</f>
        <v>0.90594293293868411</v>
      </c>
      <c r="N41" s="13">
        <f t="shared" si="11"/>
        <v>3.5807145670332745</v>
      </c>
      <c r="O41" s="13">
        <f t="shared" si="12"/>
        <v>0.97289912973574033</v>
      </c>
      <c r="P41" s="12">
        <f t="shared" si="13"/>
        <v>1</v>
      </c>
      <c r="Q41" s="13">
        <f t="shared" si="14"/>
        <v>-2.7100870264259669E-2</v>
      </c>
      <c r="R41" s="13">
        <f t="shared" si="15"/>
        <v>7.3445716908023396E-4</v>
      </c>
      <c r="T41" s="14">
        <f t="shared" si="16"/>
        <v>-1.4291054812526703E-3</v>
      </c>
      <c r="U41" s="14">
        <f t="shared" si="17"/>
        <v>-8.0029906950149533E-3</v>
      </c>
      <c r="V41" s="14">
        <f t="shared" si="18"/>
        <v>-4.2873164437580106E-3</v>
      </c>
      <c r="W41" s="14">
        <f t="shared" si="19"/>
        <v>-6.4309746656370159E-3</v>
      </c>
      <c r="X41" s="14">
        <f t="shared" si="20"/>
        <v>-2.1436582218790053E-3</v>
      </c>
      <c r="Y41" s="12">
        <f t="shared" si="21"/>
        <v>1</v>
      </c>
    </row>
    <row r="42" spans="1:25" x14ac:dyDescent="0.3">
      <c r="A42" s="23"/>
      <c r="B42" s="12">
        <v>38</v>
      </c>
      <c r="C42" s="12">
        <v>5.8</v>
      </c>
      <c r="D42" s="12">
        <v>2.7</v>
      </c>
      <c r="E42" s="12">
        <v>4.0999999999999996</v>
      </c>
      <c r="F42" s="12">
        <v>1</v>
      </c>
      <c r="G42" s="12">
        <v>1</v>
      </c>
      <c r="I42" s="13">
        <f>I41-('Konfigurasi Model'!$B$11*T41)</f>
        <v>0.23638652272769797</v>
      </c>
      <c r="J42" s="13">
        <f>J41-('Konfigurasi Model'!$B$11*U41)</f>
        <v>-0.36027921209545249</v>
      </c>
      <c r="K42" s="13">
        <f>K41-('Konfigurasi Model'!$B$11*V41)</f>
        <v>-0.53547503639502303</v>
      </c>
      <c r="L42" s="13">
        <f>L41-('Konfigurasi Model'!$B$11*W41)</f>
        <v>1.2484904579304779</v>
      </c>
      <c r="M42" s="13">
        <f>M41-('Konfigurasi Model'!$B$11*X41)</f>
        <v>0.90615729876087203</v>
      </c>
      <c r="N42" s="13">
        <f t="shared" si="11"/>
        <v>2.7259526705833426</v>
      </c>
      <c r="O42" s="13">
        <f t="shared" si="12"/>
        <v>0.93854079318747441</v>
      </c>
      <c r="P42" s="12">
        <f t="shared" si="13"/>
        <v>1</v>
      </c>
      <c r="Q42" s="13">
        <f t="shared" si="14"/>
        <v>-6.1459206812525591E-2</v>
      </c>
      <c r="R42" s="13">
        <f t="shared" si="15"/>
        <v>3.7772341020247918E-3</v>
      </c>
      <c r="T42" s="14">
        <f t="shared" si="16"/>
        <v>-7.0901765803382515E-3</v>
      </c>
      <c r="U42" s="14">
        <f t="shared" si="17"/>
        <v>-4.1123024165961856E-2</v>
      </c>
      <c r="V42" s="14">
        <f t="shared" si="18"/>
        <v>-1.9143476766913279E-2</v>
      </c>
      <c r="W42" s="14">
        <f t="shared" si="19"/>
        <v>-2.9069723979386827E-2</v>
      </c>
      <c r="X42" s="14">
        <f t="shared" si="20"/>
        <v>-7.0901765803382515E-3</v>
      </c>
      <c r="Y42" s="12">
        <f t="shared" si="21"/>
        <v>1</v>
      </c>
    </row>
    <row r="43" spans="1:25" x14ac:dyDescent="0.3">
      <c r="A43" s="23"/>
      <c r="B43" s="12">
        <v>39</v>
      </c>
      <c r="C43" s="12">
        <v>6.2</v>
      </c>
      <c r="D43" s="12">
        <v>2.2000000000000002</v>
      </c>
      <c r="E43" s="12">
        <v>4.5</v>
      </c>
      <c r="F43" s="12">
        <v>1.5</v>
      </c>
      <c r="G43" s="12">
        <v>1</v>
      </c>
      <c r="I43" s="13">
        <f>I42-('Konfigurasi Model'!$B$11*T42)</f>
        <v>0.2370955403857318</v>
      </c>
      <c r="J43" s="13">
        <f>J42-('Konfigurasi Model'!$B$11*U42)</f>
        <v>-0.35616690967885634</v>
      </c>
      <c r="K43" s="13">
        <f>K42-('Konfigurasi Model'!$B$11*V42)</f>
        <v>-0.53356068871833173</v>
      </c>
      <c r="L43" s="13">
        <f>L42-('Konfigurasi Model'!$B$11*W42)</f>
        <v>1.2513974303284165</v>
      </c>
      <c r="M43" s="13">
        <f>M42-('Konfigurasi Model'!$B$11*X42)</f>
        <v>0.9068663164189058</v>
      </c>
      <c r="N43" s="13">
        <f t="shared" si="11"/>
        <v>3.8466150963027261</v>
      </c>
      <c r="O43" s="13">
        <f t="shared" si="12"/>
        <v>0.97909448390375553</v>
      </c>
      <c r="P43" s="12">
        <f t="shared" si="13"/>
        <v>1</v>
      </c>
      <c r="Q43" s="13">
        <f t="shared" si="14"/>
        <v>-2.090551609624447E-2</v>
      </c>
      <c r="R43" s="13">
        <f t="shared" si="15"/>
        <v>4.370406032503366E-4</v>
      </c>
      <c r="T43" s="14">
        <f t="shared" si="16"/>
        <v>-8.5580808776874854E-4</v>
      </c>
      <c r="U43" s="14">
        <f t="shared" si="17"/>
        <v>-5.3060101441662413E-3</v>
      </c>
      <c r="V43" s="14">
        <f t="shared" si="18"/>
        <v>-1.8827777930912469E-3</v>
      </c>
      <c r="W43" s="14">
        <f t="shared" si="19"/>
        <v>-3.8511363949593684E-3</v>
      </c>
      <c r="X43" s="14">
        <f t="shared" si="20"/>
        <v>-1.2837121316531229E-3</v>
      </c>
      <c r="Y43" s="12">
        <f t="shared" si="21"/>
        <v>1</v>
      </c>
    </row>
    <row r="44" spans="1:25" x14ac:dyDescent="0.3">
      <c r="A44" s="23"/>
      <c r="B44" s="12">
        <v>40</v>
      </c>
      <c r="C44" s="12">
        <v>5.6</v>
      </c>
      <c r="D44" s="12">
        <v>2.5</v>
      </c>
      <c r="E44" s="12">
        <v>3.9</v>
      </c>
      <c r="F44" s="12">
        <v>1.1000000000000001</v>
      </c>
      <c r="G44" s="12">
        <v>1</v>
      </c>
      <c r="I44" s="13">
        <f>I43-('Konfigurasi Model'!$B$11*T43)</f>
        <v>0.23718112119450868</v>
      </c>
      <c r="J44" s="13">
        <f>J43-('Konfigurasi Model'!$B$11*U43)</f>
        <v>-0.35563630866443974</v>
      </c>
      <c r="K44" s="13">
        <f>K43-('Konfigurasi Model'!$B$11*V43)</f>
        <v>-0.53337241093902266</v>
      </c>
      <c r="L44" s="13">
        <f>L43-('Konfigurasi Model'!$B$11*W43)</f>
        <v>1.2517825439679124</v>
      </c>
      <c r="M44" s="13">
        <f>M43-('Konfigurasi Model'!$B$11*X43)</f>
        <v>0.90699468763207114</v>
      </c>
      <c r="N44" s="13">
        <f t="shared" si="11"/>
        <v>2.791832843196226</v>
      </c>
      <c r="O44" s="13">
        <f t="shared" si="12"/>
        <v>0.94223288741203659</v>
      </c>
      <c r="P44" s="12">
        <f t="shared" si="13"/>
        <v>1</v>
      </c>
      <c r="Q44" s="13">
        <f t="shared" si="14"/>
        <v>-5.776711258796341E-2</v>
      </c>
      <c r="R44" s="13">
        <f t="shared" si="15"/>
        <v>3.3370392967504406E-3</v>
      </c>
      <c r="T44" s="14">
        <f t="shared" si="16"/>
        <v>-6.2885363439691994E-3</v>
      </c>
      <c r="U44" s="14">
        <f t="shared" si="17"/>
        <v>-3.5215803526227517E-2</v>
      </c>
      <c r="V44" s="14">
        <f t="shared" si="18"/>
        <v>-1.5721340859922998E-2</v>
      </c>
      <c r="W44" s="14">
        <f t="shared" si="19"/>
        <v>-2.4525291741479879E-2</v>
      </c>
      <c r="X44" s="14">
        <f t="shared" si="20"/>
        <v>-6.9173899783661202E-3</v>
      </c>
      <c r="Y44" s="12">
        <f t="shared" si="21"/>
        <v>1</v>
      </c>
    </row>
    <row r="45" spans="1:25" x14ac:dyDescent="0.3">
      <c r="A45" s="23"/>
      <c r="B45" s="12">
        <v>41</v>
      </c>
      <c r="C45" s="12">
        <v>5.4</v>
      </c>
      <c r="D45" s="12">
        <v>3.4</v>
      </c>
      <c r="E45" s="12">
        <v>1.7</v>
      </c>
      <c r="F45" s="12">
        <v>0.2</v>
      </c>
      <c r="G45" s="12">
        <v>0</v>
      </c>
      <c r="I45" s="13">
        <f>I44-('Konfigurasi Model'!$B$11*T44)</f>
        <v>0.23780997482890559</v>
      </c>
      <c r="J45" s="13">
        <f>J44-('Konfigurasi Model'!$B$11*U44)</f>
        <v>-0.352114728311817</v>
      </c>
      <c r="K45" s="13">
        <f>K44-('Konfigurasi Model'!$B$11*V44)</f>
        <v>-0.53180027685303033</v>
      </c>
      <c r="L45" s="13">
        <f>L44-('Konfigurasi Model'!$B$11*W44)</f>
        <v>1.2542350731420604</v>
      </c>
      <c r="M45" s="13">
        <f>M44-('Konfigurasi Model'!$B$11*X44)</f>
        <v>0.90768642662990773</v>
      </c>
      <c r="N45" s="13">
        <f t="shared" si="11"/>
        <v>-1.1579935896877256</v>
      </c>
      <c r="O45" s="13">
        <f t="shared" si="12"/>
        <v>0.23903205150800458</v>
      </c>
      <c r="P45" s="12">
        <f t="shared" si="13"/>
        <v>0</v>
      </c>
      <c r="Q45" s="13">
        <f t="shared" si="14"/>
        <v>0.23903205150800458</v>
      </c>
      <c r="R45" s="13">
        <f t="shared" si="15"/>
        <v>5.7136321648125356E-2</v>
      </c>
      <c r="T45" s="14">
        <f t="shared" si="16"/>
        <v>8.6957818937905482E-2</v>
      </c>
      <c r="U45" s="14">
        <f t="shared" si="17"/>
        <v>0.46957222226468964</v>
      </c>
      <c r="V45" s="14">
        <f t="shared" si="18"/>
        <v>0.29565658438887865</v>
      </c>
      <c r="W45" s="14">
        <f t="shared" si="19"/>
        <v>0.14782829219443933</v>
      </c>
      <c r="X45" s="14">
        <f t="shared" si="20"/>
        <v>1.7391563787581096E-2</v>
      </c>
      <c r="Y45" s="12">
        <f t="shared" si="21"/>
        <v>1</v>
      </c>
    </row>
    <row r="46" spans="1:25" x14ac:dyDescent="0.3">
      <c r="A46" s="23"/>
      <c r="B46" s="12">
        <v>42</v>
      </c>
      <c r="C46" s="12">
        <v>5.0999999999999996</v>
      </c>
      <c r="D46" s="12">
        <v>3.7</v>
      </c>
      <c r="E46" s="12">
        <v>1.5</v>
      </c>
      <c r="F46" s="12">
        <v>0.4</v>
      </c>
      <c r="G46" s="12">
        <v>0</v>
      </c>
      <c r="I46" s="13">
        <f>I45-('Konfigurasi Model'!$B$11*T45)</f>
        <v>0.22911419293511504</v>
      </c>
      <c r="J46" s="13">
        <f>J45-('Konfigurasi Model'!$B$11*U45)</f>
        <v>-0.39907195053828598</v>
      </c>
      <c r="K46" s="13">
        <f>K45-('Konfigurasi Model'!$B$11*V45)</f>
        <v>-0.56136593529191825</v>
      </c>
      <c r="L46" s="13">
        <f>L45-('Konfigurasi Model'!$B$11*W45)</f>
        <v>1.2394522439226165</v>
      </c>
      <c r="M46" s="13">
        <f>M45-('Konfigurasi Model'!$B$11*X45)</f>
        <v>0.90594727025114963</v>
      </c>
      <c r="N46" s="13">
        <f t="shared" si="11"/>
        <v>-1.661649441405856</v>
      </c>
      <c r="O46" s="13">
        <f t="shared" si="12"/>
        <v>0.15954070330193071</v>
      </c>
      <c r="P46" s="12">
        <f t="shared" si="13"/>
        <v>0</v>
      </c>
      <c r="Q46" s="13">
        <f t="shared" si="14"/>
        <v>0.15954070330193071</v>
      </c>
      <c r="R46" s="13">
        <f t="shared" si="15"/>
        <v>2.5453236010074685E-2</v>
      </c>
      <c r="T46" s="14">
        <f t="shared" si="16"/>
        <v>4.2784817671434681E-2</v>
      </c>
      <c r="U46" s="14">
        <f t="shared" si="17"/>
        <v>0.21820257012431685</v>
      </c>
      <c r="V46" s="14">
        <f t="shared" si="18"/>
        <v>0.15830382538430832</v>
      </c>
      <c r="W46" s="14">
        <f t="shared" si="19"/>
        <v>6.4177226507152019E-2</v>
      </c>
      <c r="X46" s="14">
        <f t="shared" si="20"/>
        <v>1.7113927068573873E-2</v>
      </c>
      <c r="Y46" s="12">
        <f t="shared" si="21"/>
        <v>1</v>
      </c>
    </row>
    <row r="47" spans="1:25" x14ac:dyDescent="0.3">
      <c r="A47" s="23"/>
      <c r="B47" s="12">
        <v>43</v>
      </c>
      <c r="C47" s="12">
        <v>4.5999999999999996</v>
      </c>
      <c r="D47" s="12">
        <v>3.6</v>
      </c>
      <c r="E47" s="12">
        <v>1</v>
      </c>
      <c r="F47" s="12">
        <v>0.2</v>
      </c>
      <c r="G47" s="12">
        <v>0</v>
      </c>
      <c r="I47" s="13">
        <f>I46-('Konfigurasi Model'!$B$11*T46)</f>
        <v>0.22483571116797157</v>
      </c>
      <c r="J47" s="13">
        <f>J46-('Konfigurasi Model'!$B$11*U46)</f>
        <v>-0.42089220755071766</v>
      </c>
      <c r="K47" s="13">
        <f>K46-('Konfigurasi Model'!$B$11*V46)</f>
        <v>-0.57719631783034908</v>
      </c>
      <c r="L47" s="13">
        <f>L46-('Konfigurasi Model'!$B$11*W46)</f>
        <v>1.2330345212719014</v>
      </c>
      <c r="M47" s="13">
        <f>M46-('Konfigurasi Model'!$B$11*X46)</f>
        <v>0.90423587754429224</v>
      </c>
      <c r="N47" s="13">
        <f t="shared" si="11"/>
        <v>-2.3752934909738266</v>
      </c>
      <c r="O47" s="13">
        <f t="shared" si="12"/>
        <v>8.5076197404602427E-2</v>
      </c>
      <c r="P47" s="12">
        <f t="shared" si="13"/>
        <v>0</v>
      </c>
      <c r="Q47" s="13">
        <f t="shared" si="14"/>
        <v>8.5076197404602427E-2</v>
      </c>
      <c r="R47" s="13">
        <f t="shared" si="15"/>
        <v>7.2379593648268809E-3</v>
      </c>
      <c r="T47" s="14">
        <f t="shared" si="16"/>
        <v>1.3244362610196757E-2</v>
      </c>
      <c r="U47" s="14">
        <f t="shared" si="17"/>
        <v>6.0924068006905079E-2</v>
      </c>
      <c r="V47" s="14">
        <f t="shared" si="18"/>
        <v>4.7679705396708329E-2</v>
      </c>
      <c r="W47" s="14">
        <f t="shared" si="19"/>
        <v>1.3244362610196757E-2</v>
      </c>
      <c r="X47" s="14">
        <f t="shared" si="20"/>
        <v>2.6488725220393514E-3</v>
      </c>
      <c r="Y47" s="12">
        <f t="shared" si="21"/>
        <v>1</v>
      </c>
    </row>
    <row r="48" spans="1:25" x14ac:dyDescent="0.3">
      <c r="A48" s="23"/>
      <c r="B48" s="12">
        <v>44</v>
      </c>
      <c r="C48" s="12">
        <v>5.0999999999999996</v>
      </c>
      <c r="D48" s="12">
        <v>3.3</v>
      </c>
      <c r="E48" s="12">
        <v>1.7</v>
      </c>
      <c r="F48" s="12">
        <v>0.5</v>
      </c>
      <c r="G48" s="12">
        <v>0</v>
      </c>
      <c r="I48" s="13">
        <f>I47-('Konfigurasi Model'!$B$11*T47)</f>
        <v>0.22351127490695191</v>
      </c>
      <c r="J48" s="13">
        <f>J47-('Konfigurasi Model'!$B$11*U47)</f>
        <v>-0.42698461435140816</v>
      </c>
      <c r="K48" s="13">
        <f>K47-('Konfigurasi Model'!$B$11*V47)</f>
        <v>-0.5819642883700199</v>
      </c>
      <c r="L48" s="13">
        <f>L47-('Konfigurasi Model'!$B$11*W47)</f>
        <v>1.2317100850108818</v>
      </c>
      <c r="M48" s="13">
        <f>M47-('Konfigurasi Model'!$B$11*X47)</f>
        <v>0.90397099029208827</v>
      </c>
      <c r="N48" s="13">
        <f t="shared" si="11"/>
        <v>-1.3286997702417516</v>
      </c>
      <c r="O48" s="13">
        <f t="shared" si="12"/>
        <v>0.20937451979294391</v>
      </c>
      <c r="P48" s="12">
        <f t="shared" si="13"/>
        <v>0</v>
      </c>
      <c r="Q48" s="13">
        <f t="shared" si="14"/>
        <v>0.20937451979294391</v>
      </c>
      <c r="R48" s="13">
        <f t="shared" si="15"/>
        <v>4.3837689538525862E-2</v>
      </c>
      <c r="T48" s="14">
        <f t="shared" si="16"/>
        <v>6.9318388685129698E-2</v>
      </c>
      <c r="U48" s="14">
        <f t="shared" si="17"/>
        <v>0.35352378229416143</v>
      </c>
      <c r="V48" s="14">
        <f t="shared" si="18"/>
        <v>0.22875068266092799</v>
      </c>
      <c r="W48" s="14">
        <f t="shared" si="19"/>
        <v>0.11784126076472048</v>
      </c>
      <c r="X48" s="14">
        <f t="shared" si="20"/>
        <v>3.4659194342564849E-2</v>
      </c>
      <c r="Y48" s="12">
        <f t="shared" si="21"/>
        <v>1</v>
      </c>
    </row>
    <row r="49" spans="1:25" x14ac:dyDescent="0.3">
      <c r="A49" s="23"/>
      <c r="B49" s="12">
        <v>45</v>
      </c>
      <c r="C49" s="12">
        <v>4.8</v>
      </c>
      <c r="D49" s="12">
        <v>3.4</v>
      </c>
      <c r="E49" s="12">
        <v>1.9</v>
      </c>
      <c r="F49" s="12">
        <v>0.2</v>
      </c>
      <c r="G49" s="12">
        <v>0</v>
      </c>
      <c r="I49" s="13">
        <f>I48-('Konfigurasi Model'!$B$11*T48)</f>
        <v>0.21657943603843893</v>
      </c>
      <c r="J49" s="13">
        <f>J48-('Konfigurasi Model'!$B$11*U48)</f>
        <v>-0.46233699258082428</v>
      </c>
      <c r="K49" s="13">
        <f>K48-('Konfigurasi Model'!$B$11*V48)</f>
        <v>-0.60483935663611266</v>
      </c>
      <c r="L49" s="13">
        <f>L48-('Konfigurasi Model'!$B$11*W48)</f>
        <v>1.2199259589344098</v>
      </c>
      <c r="M49" s="13">
        <f>M48-('Konfigurasi Model'!$B$11*X48)</f>
        <v>0.90050507085783182</v>
      </c>
      <c r="N49" s="13">
        <f t="shared" si="11"/>
        <v>-1.5611316047653554</v>
      </c>
      <c r="O49" s="13">
        <f t="shared" si="12"/>
        <v>0.17348432906488737</v>
      </c>
      <c r="P49" s="12">
        <f t="shared" si="13"/>
        <v>0</v>
      </c>
      <c r="Q49" s="13">
        <f t="shared" si="14"/>
        <v>0.17348432906488737</v>
      </c>
      <c r="R49" s="13">
        <f t="shared" si="15"/>
        <v>3.0096812431094123E-2</v>
      </c>
      <c r="T49" s="14">
        <f t="shared" si="16"/>
        <v>4.9750974238987999E-2</v>
      </c>
      <c r="U49" s="14">
        <f t="shared" si="17"/>
        <v>0.23880467634714239</v>
      </c>
      <c r="V49" s="14">
        <f t="shared" si="18"/>
        <v>0.16915331241255918</v>
      </c>
      <c r="W49" s="14">
        <f t="shared" si="19"/>
        <v>9.4526851054077196E-2</v>
      </c>
      <c r="X49" s="14">
        <f t="shared" si="20"/>
        <v>9.9501948477976002E-3</v>
      </c>
      <c r="Y49" s="12">
        <f t="shared" si="21"/>
        <v>1</v>
      </c>
    </row>
    <row r="50" spans="1:25" x14ac:dyDescent="0.3">
      <c r="A50" s="23"/>
      <c r="B50" s="12">
        <v>46</v>
      </c>
      <c r="C50" s="12">
        <v>5</v>
      </c>
      <c r="D50" s="12">
        <v>3</v>
      </c>
      <c r="E50" s="12">
        <v>1.6</v>
      </c>
      <c r="F50" s="12">
        <v>0.2</v>
      </c>
      <c r="G50" s="12">
        <v>0</v>
      </c>
      <c r="I50" s="13">
        <f>I49-('Konfigurasi Model'!$B$11*T49)</f>
        <v>0.21160433861454014</v>
      </c>
      <c r="J50" s="13">
        <f>J49-('Konfigurasi Model'!$B$11*U49)</f>
        <v>-0.48621746021553852</v>
      </c>
      <c r="K50" s="13">
        <f>K49-('Konfigurasi Model'!$B$11*V49)</f>
        <v>-0.62175468787736854</v>
      </c>
      <c r="L50" s="13">
        <f>L49-('Konfigurasi Model'!$B$11*W49)</f>
        <v>1.210473273829002</v>
      </c>
      <c r="M50" s="13">
        <f>M49-('Konfigurasi Model'!$B$11*X49)</f>
        <v>0.89951005137305207</v>
      </c>
      <c r="N50" s="13">
        <f t="shared" si="11"/>
        <v>-1.968087777694244</v>
      </c>
      <c r="O50" s="13">
        <f t="shared" si="12"/>
        <v>0.12259442668158109</v>
      </c>
      <c r="P50" s="12">
        <f t="shared" si="13"/>
        <v>0</v>
      </c>
      <c r="Q50" s="13">
        <f t="shared" si="14"/>
        <v>0.12259442668158109</v>
      </c>
      <c r="R50" s="13">
        <f t="shared" si="15"/>
        <v>1.5029393453385562E-2</v>
      </c>
      <c r="T50" s="14">
        <f t="shared" si="16"/>
        <v>2.6373747159191701E-2</v>
      </c>
      <c r="U50" s="14">
        <f t="shared" si="17"/>
        <v>0.13186873579595851</v>
      </c>
      <c r="V50" s="14">
        <f t="shared" si="18"/>
        <v>7.9121241477575099E-2</v>
      </c>
      <c r="W50" s="14">
        <f t="shared" si="19"/>
        <v>4.2197995454706726E-2</v>
      </c>
      <c r="X50" s="14">
        <f t="shared" si="20"/>
        <v>5.2747494318383407E-3</v>
      </c>
      <c r="Y50" s="12">
        <f t="shared" si="21"/>
        <v>1</v>
      </c>
    </row>
    <row r="51" spans="1:25" x14ac:dyDescent="0.3">
      <c r="A51" s="23"/>
      <c r="B51" s="12">
        <v>47</v>
      </c>
      <c r="C51" s="12">
        <v>5</v>
      </c>
      <c r="D51" s="12">
        <v>3.4</v>
      </c>
      <c r="E51" s="12">
        <v>1.6</v>
      </c>
      <c r="F51" s="12">
        <v>0.4</v>
      </c>
      <c r="G51" s="12">
        <v>0</v>
      </c>
      <c r="I51" s="13">
        <f>I50-('Konfigurasi Model'!$B$11*T50)</f>
        <v>0.20896696389862096</v>
      </c>
      <c r="J51" s="13">
        <f>J50-('Konfigurasi Model'!$B$11*U50)</f>
        <v>-0.49940433379513438</v>
      </c>
      <c r="K51" s="13">
        <f>K50-('Konfigurasi Model'!$B$11*V50)</f>
        <v>-0.62966681202512609</v>
      </c>
      <c r="L51" s="13">
        <f>L50-('Konfigurasi Model'!$B$11*W50)</f>
        <v>1.2062534742835314</v>
      </c>
      <c r="M51" s="13">
        <f>M50-('Konfigurasi Model'!$B$11*X50)</f>
        <v>0.89898257642986823</v>
      </c>
      <c r="N51" s="13">
        <f t="shared" si="11"/>
        <v>-2.1393232765368819</v>
      </c>
      <c r="O51" s="13">
        <f t="shared" si="12"/>
        <v>0.10533314560790574</v>
      </c>
      <c r="P51" s="12">
        <f t="shared" si="13"/>
        <v>0</v>
      </c>
      <c r="Q51" s="13">
        <f t="shared" si="14"/>
        <v>0.10533314560790574</v>
      </c>
      <c r="R51" s="13">
        <f t="shared" si="15"/>
        <v>1.1095071563656272E-2</v>
      </c>
      <c r="T51" s="14">
        <f t="shared" si="16"/>
        <v>1.9852785550223063E-2</v>
      </c>
      <c r="U51" s="14">
        <f t="shared" si="17"/>
        <v>9.9263927751115311E-2</v>
      </c>
      <c r="V51" s="14">
        <f t="shared" si="18"/>
        <v>6.7499470870758416E-2</v>
      </c>
      <c r="W51" s="14">
        <f t="shared" si="19"/>
        <v>3.1764456880356902E-2</v>
      </c>
      <c r="X51" s="14">
        <f t="shared" si="20"/>
        <v>7.9411142200892255E-3</v>
      </c>
      <c r="Y51" s="12">
        <f t="shared" si="21"/>
        <v>1</v>
      </c>
    </row>
    <row r="52" spans="1:25" x14ac:dyDescent="0.3">
      <c r="A52" s="23"/>
      <c r="B52" s="12">
        <v>48</v>
      </c>
      <c r="C52" s="12">
        <v>5.2</v>
      </c>
      <c r="D52" s="12">
        <v>3.5</v>
      </c>
      <c r="E52" s="12">
        <v>1.5</v>
      </c>
      <c r="F52" s="12">
        <v>0.2</v>
      </c>
      <c r="G52" s="12">
        <v>0</v>
      </c>
      <c r="I52" s="13">
        <f>I51-('Konfigurasi Model'!$B$11*T51)</f>
        <v>0.20698168534359865</v>
      </c>
      <c r="J52" s="13">
        <f>J51-('Konfigurasi Model'!$B$11*U51)</f>
        <v>-0.50933072657024592</v>
      </c>
      <c r="K52" s="13">
        <f>K51-('Konfigurasi Model'!$B$11*V51)</f>
        <v>-0.63641675911220197</v>
      </c>
      <c r="L52" s="13">
        <f>L51-('Konfigurasi Model'!$B$11*W51)</f>
        <v>1.2030770285954957</v>
      </c>
      <c r="M52" s="13">
        <f>M51-('Konfigurasi Model'!$B$11*X51)</f>
        <v>0.89818846500785932</v>
      </c>
      <c r="N52" s="13">
        <f t="shared" si="11"/>
        <v>-2.6847435138195714</v>
      </c>
      <c r="O52" s="13">
        <f t="shared" si="12"/>
        <v>6.3879631411090362E-2</v>
      </c>
      <c r="P52" s="12">
        <f t="shared" si="13"/>
        <v>0</v>
      </c>
      <c r="Q52" s="13">
        <f t="shared" si="14"/>
        <v>6.3879631411090362E-2</v>
      </c>
      <c r="R52" s="13">
        <f t="shared" si="15"/>
        <v>4.0806073092167624E-3</v>
      </c>
      <c r="T52" s="14">
        <f t="shared" si="16"/>
        <v>7.6398792367411887E-3</v>
      </c>
      <c r="U52" s="14">
        <f t="shared" si="17"/>
        <v>3.9727372031054184E-2</v>
      </c>
      <c r="V52" s="14">
        <f t="shared" si="18"/>
        <v>2.6739577328594159E-2</v>
      </c>
      <c r="W52" s="14">
        <f t="shared" si="19"/>
        <v>1.1459818855111784E-2</v>
      </c>
      <c r="X52" s="14">
        <f t="shared" si="20"/>
        <v>1.5279758473482378E-3</v>
      </c>
      <c r="Y52" s="12">
        <f t="shared" si="21"/>
        <v>1</v>
      </c>
    </row>
    <row r="53" spans="1:25" x14ac:dyDescent="0.3">
      <c r="A53" s="23"/>
      <c r="B53" s="12">
        <v>49</v>
      </c>
      <c r="C53" s="12">
        <v>5.2</v>
      </c>
      <c r="D53" s="12">
        <v>3.4</v>
      </c>
      <c r="E53" s="12">
        <v>1.4</v>
      </c>
      <c r="F53" s="12">
        <v>0.2</v>
      </c>
      <c r="G53" s="12">
        <v>0</v>
      </c>
      <c r="I53" s="13">
        <f>I52-('Konfigurasi Model'!$B$11*T52)</f>
        <v>0.20621769741992452</v>
      </c>
      <c r="J53" s="13">
        <f>J52-('Konfigurasi Model'!$B$11*U52)</f>
        <v>-0.51330346377335134</v>
      </c>
      <c r="K53" s="13">
        <f>K52-('Konfigurasi Model'!$B$11*V52)</f>
        <v>-0.63909071684506136</v>
      </c>
      <c r="L53" s="13">
        <f>L52-('Konfigurasi Model'!$B$11*W52)</f>
        <v>1.2019310467099846</v>
      </c>
      <c r="M53" s="13">
        <f>M52-('Konfigurasi Model'!$B$11*X52)</f>
        <v>0.89803566742312446</v>
      </c>
      <c r="N53" s="13">
        <f t="shared" si="11"/>
        <v>-2.7735581525961068</v>
      </c>
      <c r="O53" s="13">
        <f t="shared" si="12"/>
        <v>5.8769881475865302E-2</v>
      </c>
      <c r="P53" s="12">
        <f t="shared" si="13"/>
        <v>0</v>
      </c>
      <c r="Q53" s="13">
        <f t="shared" si="14"/>
        <v>5.8769881475865302E-2</v>
      </c>
      <c r="R53" s="13">
        <f t="shared" si="15"/>
        <v>3.4538989686872554E-3</v>
      </c>
      <c r="T53" s="14">
        <f t="shared" si="16"/>
        <v>6.5018274713357846E-3</v>
      </c>
      <c r="U53" s="14">
        <f t="shared" si="17"/>
        <v>3.3809502850946083E-2</v>
      </c>
      <c r="V53" s="14">
        <f t="shared" si="18"/>
        <v>2.2106213402541666E-2</v>
      </c>
      <c r="W53" s="14">
        <f t="shared" si="19"/>
        <v>9.102558459870097E-3</v>
      </c>
      <c r="X53" s="14">
        <f t="shared" si="20"/>
        <v>1.3003654942671571E-3</v>
      </c>
      <c r="Y53" s="12">
        <f t="shared" si="21"/>
        <v>1</v>
      </c>
    </row>
    <row r="54" spans="1:25" x14ac:dyDescent="0.3">
      <c r="A54" s="23"/>
      <c r="B54" s="12">
        <v>50</v>
      </c>
      <c r="C54" s="12">
        <v>4.7</v>
      </c>
      <c r="D54" s="12">
        <v>3.2</v>
      </c>
      <c r="E54" s="12">
        <v>1.6</v>
      </c>
      <c r="F54" s="12">
        <v>0.2</v>
      </c>
      <c r="G54" s="12">
        <v>0</v>
      </c>
      <c r="I54" s="13">
        <f>I53-('Konfigurasi Model'!$B$11*T53)</f>
        <v>0.20556751467279094</v>
      </c>
      <c r="J54" s="13">
        <f>J53-('Konfigurasi Model'!$B$11*U53)</f>
        <v>-0.5166844140584459</v>
      </c>
      <c r="K54" s="13">
        <f>K53-('Konfigurasi Model'!$B$11*V53)</f>
        <v>-0.64130133818531554</v>
      </c>
      <c r="L54" s="13">
        <f>L53-('Konfigurasi Model'!$B$11*W53)</f>
        <v>1.2010207908639976</v>
      </c>
      <c r="M54" s="13">
        <f>M53-('Konfigurasi Model'!$B$11*X53)</f>
        <v>0.89790563087369779</v>
      </c>
      <c r="N54" s="13">
        <f t="shared" si="11"/>
        <v>-2.1737991220377788</v>
      </c>
      <c r="O54" s="13">
        <f t="shared" si="12"/>
        <v>0.10212813466900096</v>
      </c>
      <c r="P54" s="12">
        <f t="shared" si="13"/>
        <v>0</v>
      </c>
      <c r="Q54" s="13">
        <f t="shared" si="14"/>
        <v>0.10212813466900096</v>
      </c>
      <c r="R54" s="13">
        <f t="shared" si="15"/>
        <v>1.0430155890969597E-2</v>
      </c>
      <c r="T54" s="14">
        <f t="shared" si="16"/>
        <v>1.8729887051035957E-2</v>
      </c>
      <c r="U54" s="14">
        <f t="shared" si="17"/>
        <v>8.8030469139869005E-2</v>
      </c>
      <c r="V54" s="14">
        <f t="shared" si="18"/>
        <v>5.9935638563315068E-2</v>
      </c>
      <c r="W54" s="14">
        <f t="shared" si="19"/>
        <v>2.9967819281657534E-2</v>
      </c>
      <c r="X54" s="14">
        <f t="shared" si="20"/>
        <v>3.7459774102071917E-3</v>
      </c>
      <c r="Y54" s="12">
        <f t="shared" si="21"/>
        <v>1</v>
      </c>
    </row>
    <row r="55" spans="1:25" x14ac:dyDescent="0.3">
      <c r="A55" s="23"/>
      <c r="B55" s="12">
        <v>51</v>
      </c>
      <c r="C55" s="12">
        <v>4.8</v>
      </c>
      <c r="D55" s="12">
        <v>3.1</v>
      </c>
      <c r="E55" s="12">
        <v>1.6</v>
      </c>
      <c r="F55" s="12">
        <v>0.2</v>
      </c>
      <c r="G55" s="12">
        <v>0</v>
      </c>
      <c r="I55" s="13">
        <f>I54-('Konfigurasi Model'!$B$11*T54)</f>
        <v>0.20369452596768733</v>
      </c>
      <c r="J55" s="13">
        <f>J54-('Konfigurasi Model'!$B$11*U54)</f>
        <v>-0.52548746097243282</v>
      </c>
      <c r="K55" s="13">
        <f>K54-('Konfigurasi Model'!$B$11*V54)</f>
        <v>-0.64729490204164708</v>
      </c>
      <c r="L55" s="13">
        <f>L54-('Konfigurasi Model'!$B$11*W54)</f>
        <v>1.1980240089358318</v>
      </c>
      <c r="M55" s="13">
        <f>M54-('Konfigurasi Model'!$B$11*X54)</f>
        <v>0.89753103313267713</v>
      </c>
      <c r="N55" s="13">
        <f t="shared" si="11"/>
        <v>-2.2289148621052304</v>
      </c>
      <c r="O55" s="13">
        <f t="shared" si="12"/>
        <v>9.7183808417825826E-2</v>
      </c>
      <c r="P55" s="12">
        <f t="shared" si="13"/>
        <v>0</v>
      </c>
      <c r="Q55" s="13">
        <f t="shared" si="14"/>
        <v>9.7183808417825826E-2</v>
      </c>
      <c r="R55" s="13">
        <f t="shared" si="15"/>
        <v>9.4446926185926747E-3</v>
      </c>
      <c r="T55" s="14">
        <f t="shared" si="16"/>
        <v>1.7053642841164219E-2</v>
      </c>
      <c r="U55" s="14">
        <f t="shared" si="17"/>
        <v>8.1857485637588254E-2</v>
      </c>
      <c r="V55" s="14">
        <f t="shared" si="18"/>
        <v>5.2866292807609079E-2</v>
      </c>
      <c r="W55" s="14">
        <f t="shared" si="19"/>
        <v>2.7285828545862752E-2</v>
      </c>
      <c r="X55" s="14">
        <f t="shared" si="20"/>
        <v>3.410728568232844E-3</v>
      </c>
      <c r="Y55" s="12">
        <f t="shared" si="21"/>
        <v>1</v>
      </c>
    </row>
    <row r="56" spans="1:25" x14ac:dyDescent="0.3">
      <c r="A56" s="23"/>
      <c r="B56" s="12">
        <v>52</v>
      </c>
      <c r="C56" s="12">
        <v>5.4</v>
      </c>
      <c r="D56" s="12">
        <v>3.4</v>
      </c>
      <c r="E56" s="12">
        <v>1.5</v>
      </c>
      <c r="F56" s="12">
        <v>0.4</v>
      </c>
      <c r="G56" s="12">
        <v>0</v>
      </c>
      <c r="I56" s="13">
        <f>I55-('Konfigurasi Model'!$B$11*T55)</f>
        <v>0.20198916168357092</v>
      </c>
      <c r="J56" s="13">
        <f>J55-('Konfigurasi Model'!$B$11*U55)</f>
        <v>-0.53367320953619168</v>
      </c>
      <c r="K56" s="13">
        <f>K55-('Konfigurasi Model'!$B$11*V55)</f>
        <v>-0.65258153132240804</v>
      </c>
      <c r="L56" s="13">
        <f>L55-('Konfigurasi Model'!$B$11*W55)</f>
        <v>1.1952954260812456</v>
      </c>
      <c r="M56" s="13">
        <f>M55-('Konfigurasi Model'!$B$11*X55)</f>
        <v>0.89718996027585385</v>
      </c>
      <c r="N56" s="13">
        <f t="shared" si="11"/>
        <v>-2.7468042530758421</v>
      </c>
      <c r="O56" s="13">
        <f t="shared" si="12"/>
        <v>6.0267387895739273E-2</v>
      </c>
      <c r="P56" s="12">
        <f t="shared" si="13"/>
        <v>0</v>
      </c>
      <c r="Q56" s="13">
        <f t="shared" si="14"/>
        <v>6.0267387895739273E-2</v>
      </c>
      <c r="R56" s="13">
        <f t="shared" si="15"/>
        <v>3.6321580437755005E-3</v>
      </c>
      <c r="T56" s="14">
        <f t="shared" si="16"/>
        <v>6.8265147321053057E-3</v>
      </c>
      <c r="U56" s="14">
        <f t="shared" si="17"/>
        <v>3.6863179553368652E-2</v>
      </c>
      <c r="V56" s="14">
        <f t="shared" si="18"/>
        <v>2.3210150089158037E-2</v>
      </c>
      <c r="W56" s="14">
        <f t="shared" si="19"/>
        <v>1.0239772098157959E-2</v>
      </c>
      <c r="X56" s="14">
        <f t="shared" si="20"/>
        <v>2.7306058928421224E-3</v>
      </c>
      <c r="Y56" s="12">
        <f t="shared" si="21"/>
        <v>1</v>
      </c>
    </row>
    <row r="57" spans="1:25" x14ac:dyDescent="0.3">
      <c r="A57" s="23"/>
      <c r="B57" s="12">
        <v>53</v>
      </c>
      <c r="C57" s="12">
        <v>5.2</v>
      </c>
      <c r="D57" s="12">
        <v>4.0999999999999996</v>
      </c>
      <c r="E57" s="12">
        <v>1.5</v>
      </c>
      <c r="F57" s="12">
        <v>0.1</v>
      </c>
      <c r="G57" s="12">
        <v>0</v>
      </c>
      <c r="I57" s="13">
        <f>I56-('Konfigurasi Model'!$B$11*T56)</f>
        <v>0.20130651021036039</v>
      </c>
      <c r="J57" s="13">
        <f>J56-('Konfigurasi Model'!$B$11*U56)</f>
        <v>-0.5373595274915286</v>
      </c>
      <c r="K57" s="13">
        <f>K56-('Konfigurasi Model'!$B$11*V56)</f>
        <v>-0.65490254633132383</v>
      </c>
      <c r="L57" s="13">
        <f>L56-('Konfigurasi Model'!$B$11*W56)</f>
        <v>1.1942714488714299</v>
      </c>
      <c r="M57" s="13">
        <f>M56-('Konfigurasi Model'!$B$11*X56)</f>
        <v>0.89691689968656962</v>
      </c>
      <c r="N57" s="13">
        <f t="shared" si="11"/>
        <v>-3.3969646094282138</v>
      </c>
      <c r="O57" s="13">
        <f t="shared" si="12"/>
        <v>3.2390462936949409E-2</v>
      </c>
      <c r="P57" s="12">
        <f t="shared" si="13"/>
        <v>0</v>
      </c>
      <c r="Q57" s="13">
        <f t="shared" si="14"/>
        <v>3.2390462936949409E-2</v>
      </c>
      <c r="R57" s="13">
        <f t="shared" si="15"/>
        <v>1.0491420892698932E-3</v>
      </c>
      <c r="T57" s="14">
        <f t="shared" si="16"/>
        <v>2.0303197826236062E-3</v>
      </c>
      <c r="U57" s="14">
        <f t="shared" si="17"/>
        <v>1.0557662869642753E-2</v>
      </c>
      <c r="V57" s="14">
        <f t="shared" si="18"/>
        <v>8.324311108756784E-3</v>
      </c>
      <c r="W57" s="14">
        <f t="shared" si="19"/>
        <v>3.0454796739354095E-3</v>
      </c>
      <c r="X57" s="14">
        <f t="shared" si="20"/>
        <v>2.0303197826236063E-4</v>
      </c>
      <c r="Y57" s="12">
        <f t="shared" si="21"/>
        <v>1</v>
      </c>
    </row>
    <row r="58" spans="1:25" x14ac:dyDescent="0.3">
      <c r="A58" s="23"/>
      <c r="B58" s="12">
        <v>54</v>
      </c>
      <c r="C58" s="12">
        <v>5.5</v>
      </c>
      <c r="D58" s="12">
        <v>4.2</v>
      </c>
      <c r="E58" s="12">
        <v>1.4</v>
      </c>
      <c r="F58" s="12">
        <v>0.2</v>
      </c>
      <c r="G58" s="12">
        <v>0</v>
      </c>
      <c r="I58" s="13">
        <f>I57-('Konfigurasi Model'!$B$11*T57)</f>
        <v>0.20110347823209804</v>
      </c>
      <c r="J58" s="13">
        <f>J57-('Konfigurasi Model'!$B$11*U57)</f>
        <v>-0.53841529377849284</v>
      </c>
      <c r="K58" s="13">
        <f>K57-('Konfigurasi Model'!$B$11*V57)</f>
        <v>-0.65573497744219955</v>
      </c>
      <c r="L58" s="13">
        <f>L57-('Konfigurasi Model'!$B$11*W57)</f>
        <v>1.1939669009040363</v>
      </c>
      <c r="M58" s="13">
        <f>M57-('Konfigurasi Model'!$B$11*X57)</f>
        <v>0.89689659648874343</v>
      </c>
      <c r="N58" s="13">
        <f t="shared" si="11"/>
        <v>-3.6633345622434512</v>
      </c>
      <c r="O58" s="13">
        <f t="shared" si="12"/>
        <v>2.5005535766816855E-2</v>
      </c>
      <c r="P58" s="12">
        <f t="shared" si="13"/>
        <v>0</v>
      </c>
      <c r="Q58" s="13">
        <f t="shared" si="14"/>
        <v>2.5005535766816855E-2</v>
      </c>
      <c r="R58" s="13">
        <f t="shared" si="15"/>
        <v>6.2527681898555702E-4</v>
      </c>
      <c r="T58" s="14">
        <f t="shared" si="16"/>
        <v>1.2192828742485045E-3</v>
      </c>
      <c r="U58" s="14">
        <f t="shared" si="17"/>
        <v>6.7060558083667744E-3</v>
      </c>
      <c r="V58" s="14">
        <f t="shared" si="18"/>
        <v>5.1209880718437193E-3</v>
      </c>
      <c r="W58" s="14">
        <f t="shared" si="19"/>
        <v>1.7069960239479061E-3</v>
      </c>
      <c r="X58" s="14">
        <f t="shared" si="20"/>
        <v>2.4385657484970091E-4</v>
      </c>
      <c r="Y58" s="12">
        <f t="shared" si="21"/>
        <v>1</v>
      </c>
    </row>
    <row r="59" spans="1:25" x14ac:dyDescent="0.3">
      <c r="A59" s="23"/>
      <c r="B59" s="12">
        <v>55</v>
      </c>
      <c r="C59" s="12">
        <v>4.9000000000000004</v>
      </c>
      <c r="D59" s="12">
        <v>3.1</v>
      </c>
      <c r="E59" s="12">
        <v>1.5</v>
      </c>
      <c r="F59" s="12">
        <v>0.1</v>
      </c>
      <c r="G59" s="12">
        <v>0</v>
      </c>
      <c r="I59" s="13">
        <f>I58-('Konfigurasi Model'!$B$11*T58)</f>
        <v>0.20098154994467318</v>
      </c>
      <c r="J59" s="13">
        <f>J58-('Konfigurasi Model'!$B$11*U58)</f>
        <v>-0.53908589935932949</v>
      </c>
      <c r="K59" s="13">
        <f>K58-('Konfigurasi Model'!$B$11*V58)</f>
        <v>-0.65624707624938394</v>
      </c>
      <c r="L59" s="13">
        <f>L58-('Konfigurasi Model'!$B$11*W58)</f>
        <v>1.1937962013016417</v>
      </c>
      <c r="M59" s="13">
        <f>M58-('Konfigurasi Model'!$B$11*X58)</f>
        <v>0.89687221083125845</v>
      </c>
      <c r="N59" s="13">
        <f t="shared" si="11"/>
        <v>-2.5945237702535442</v>
      </c>
      <c r="O59" s="13">
        <f t="shared" si="12"/>
        <v>6.9491693840618984E-2</v>
      </c>
      <c r="P59" s="12">
        <f t="shared" si="13"/>
        <v>0</v>
      </c>
      <c r="Q59" s="13">
        <f t="shared" si="14"/>
        <v>6.9491693840618984E-2</v>
      </c>
      <c r="R59" s="13">
        <f t="shared" si="15"/>
        <v>4.8290955128383224E-3</v>
      </c>
      <c r="T59" s="14">
        <f t="shared" si="16"/>
        <v>8.9870269718661105E-3</v>
      </c>
      <c r="U59" s="14">
        <f t="shared" si="17"/>
        <v>4.4036432162143944E-2</v>
      </c>
      <c r="V59" s="14">
        <f t="shared" si="18"/>
        <v>2.7859783612784943E-2</v>
      </c>
      <c r="W59" s="14">
        <f t="shared" si="19"/>
        <v>1.3480540457799166E-2</v>
      </c>
      <c r="X59" s="14">
        <f t="shared" si="20"/>
        <v>8.987026971866111E-4</v>
      </c>
      <c r="Y59" s="12">
        <f t="shared" si="21"/>
        <v>1</v>
      </c>
    </row>
    <row r="60" spans="1:25" x14ac:dyDescent="0.3">
      <c r="A60" s="23"/>
      <c r="B60" s="12">
        <v>56</v>
      </c>
      <c r="C60" s="12">
        <v>5</v>
      </c>
      <c r="D60" s="12">
        <v>3.2</v>
      </c>
      <c r="E60" s="12">
        <v>1.2</v>
      </c>
      <c r="F60" s="12">
        <v>0.2</v>
      </c>
      <c r="G60" s="12">
        <v>0</v>
      </c>
      <c r="I60" s="13">
        <f>I59-('Konfigurasi Model'!$B$11*T59)</f>
        <v>0.20008284724748657</v>
      </c>
      <c r="J60" s="13">
        <f>J59-('Konfigurasi Model'!$B$11*U59)</f>
        <v>-0.54348954257554394</v>
      </c>
      <c r="K60" s="13">
        <f>K59-('Konfigurasi Model'!$B$11*V59)</f>
        <v>-0.65903305461066242</v>
      </c>
      <c r="L60" s="13">
        <f>L59-('Konfigurasi Model'!$B$11*W59)</f>
        <v>1.1924481472558617</v>
      </c>
      <c r="M60" s="13">
        <f>M59-('Konfigurasi Model'!$B$11*X59)</f>
        <v>0.89678234056153983</v>
      </c>
      <c r="N60" s="13">
        <f t="shared" si="11"/>
        <v>-3.0159763955650116</v>
      </c>
      <c r="O60" s="13">
        <f t="shared" si="12"/>
        <v>4.6709309350058813E-2</v>
      </c>
      <c r="P60" s="12">
        <f t="shared" si="13"/>
        <v>0</v>
      </c>
      <c r="Q60" s="13">
        <f t="shared" si="14"/>
        <v>4.6709309350058813E-2</v>
      </c>
      <c r="R60" s="13">
        <f t="shared" si="15"/>
        <v>2.1817595799594916E-3</v>
      </c>
      <c r="T60" s="14">
        <f t="shared" si="16"/>
        <v>4.1597021936234189E-3</v>
      </c>
      <c r="U60" s="14">
        <f t="shared" si="17"/>
        <v>2.0798510968117093E-2</v>
      </c>
      <c r="V60" s="14">
        <f t="shared" si="18"/>
        <v>1.3311047019594941E-2</v>
      </c>
      <c r="W60" s="14">
        <f t="shared" si="19"/>
        <v>4.9916426323481028E-3</v>
      </c>
      <c r="X60" s="14">
        <f t="shared" si="20"/>
        <v>8.3194043872468384E-4</v>
      </c>
      <c r="Y60" s="12">
        <f t="shared" si="21"/>
        <v>1</v>
      </c>
    </row>
    <row r="61" spans="1:25" x14ac:dyDescent="0.3">
      <c r="A61" s="23"/>
      <c r="B61" s="12">
        <v>57</v>
      </c>
      <c r="C61" s="12">
        <v>5.5</v>
      </c>
      <c r="D61" s="12">
        <v>3.5</v>
      </c>
      <c r="E61" s="12">
        <v>1.3</v>
      </c>
      <c r="F61" s="12">
        <v>0.2</v>
      </c>
      <c r="G61" s="12">
        <v>0</v>
      </c>
      <c r="I61" s="13">
        <f>I60-('Konfigurasi Model'!$B$11*T60)</f>
        <v>0.19966687702812422</v>
      </c>
      <c r="J61" s="13">
        <f>J60-('Konfigurasi Model'!$B$11*U60)</f>
        <v>-0.54556939367235568</v>
      </c>
      <c r="K61" s="13">
        <f>K60-('Konfigurasi Model'!$B$11*V60)</f>
        <v>-0.66036415931262193</v>
      </c>
      <c r="L61" s="13">
        <f>L60-('Konfigurasi Model'!$B$11*W60)</f>
        <v>1.1919489829926269</v>
      </c>
      <c r="M61" s="13">
        <f>M60-('Konfigurasi Model'!$B$11*X60)</f>
        <v>0.89669914651766736</v>
      </c>
      <c r="N61" s="13">
        <f t="shared" si="11"/>
        <v>-3.3833658385700596</v>
      </c>
      <c r="O61" s="13">
        <f t="shared" si="12"/>
        <v>3.2819387260904775E-2</v>
      </c>
      <c r="P61" s="12">
        <f t="shared" si="13"/>
        <v>0</v>
      </c>
      <c r="Q61" s="13">
        <f t="shared" si="14"/>
        <v>3.2819387260904775E-2</v>
      </c>
      <c r="R61" s="13">
        <f t="shared" si="15"/>
        <v>1.0771121801812387E-3</v>
      </c>
      <c r="T61" s="14">
        <f t="shared" si="16"/>
        <v>2.083524036832866E-3</v>
      </c>
      <c r="U61" s="14">
        <f t="shared" si="17"/>
        <v>1.1459382202580764E-2</v>
      </c>
      <c r="V61" s="14">
        <f t="shared" si="18"/>
        <v>7.2923341289150307E-3</v>
      </c>
      <c r="W61" s="14">
        <f t="shared" si="19"/>
        <v>2.7085812478827259E-3</v>
      </c>
      <c r="X61" s="14">
        <f t="shared" si="20"/>
        <v>4.1670480736657323E-4</v>
      </c>
      <c r="Y61" s="12">
        <f t="shared" si="21"/>
        <v>1</v>
      </c>
    </row>
    <row r="62" spans="1:25" x14ac:dyDescent="0.3">
      <c r="A62" s="23"/>
      <c r="B62" s="12">
        <v>58</v>
      </c>
      <c r="C62" s="12">
        <v>4.9000000000000004</v>
      </c>
      <c r="D62" s="12">
        <v>3.1</v>
      </c>
      <c r="E62" s="12">
        <v>1.5</v>
      </c>
      <c r="F62" s="12">
        <v>0.1</v>
      </c>
      <c r="G62" s="12">
        <v>0</v>
      </c>
      <c r="I62" s="13">
        <f>I61-('Konfigurasi Model'!$B$11*T61)</f>
        <v>0.19945852462444094</v>
      </c>
      <c r="J62" s="13">
        <f>J61-('Konfigurasi Model'!$B$11*U61)</f>
        <v>-0.54671533189261379</v>
      </c>
      <c r="K62" s="13">
        <f>K61-('Konfigurasi Model'!$B$11*V61)</f>
        <v>-0.66109339272551348</v>
      </c>
      <c r="L62" s="13">
        <f>L61-('Konfigurasi Model'!$B$11*W61)</f>
        <v>1.1916781248678385</v>
      </c>
      <c r="M62" s="13">
        <f>M61-('Konfigurasi Model'!$B$11*X61)</f>
        <v>0.89665747603693069</v>
      </c>
      <c r="N62" s="13">
        <f t="shared" si="11"/>
        <v>-2.6516531841930071</v>
      </c>
      <c r="O62" s="13">
        <f t="shared" si="12"/>
        <v>6.5887189455084552E-2</v>
      </c>
      <c r="P62" s="12">
        <f t="shared" si="13"/>
        <v>0</v>
      </c>
      <c r="Q62" s="13">
        <f t="shared" si="14"/>
        <v>6.5887189455084552E-2</v>
      </c>
      <c r="R62" s="13">
        <f t="shared" si="15"/>
        <v>4.3411217342902049E-3</v>
      </c>
      <c r="T62" s="14">
        <f t="shared" si="16"/>
        <v>8.1101948482708817E-3</v>
      </c>
      <c r="U62" s="14">
        <f t="shared" si="17"/>
        <v>3.9739954756527321E-2</v>
      </c>
      <c r="V62" s="14">
        <f t="shared" si="18"/>
        <v>2.5141604029639733E-2</v>
      </c>
      <c r="W62" s="14">
        <f t="shared" si="19"/>
        <v>1.2165292272406323E-2</v>
      </c>
      <c r="X62" s="14">
        <f t="shared" si="20"/>
        <v>8.1101948482708826E-4</v>
      </c>
      <c r="Y62" s="12">
        <f t="shared" si="21"/>
        <v>1</v>
      </c>
    </row>
    <row r="63" spans="1:25" x14ac:dyDescent="0.3">
      <c r="A63" s="23"/>
      <c r="B63" s="12">
        <v>59</v>
      </c>
      <c r="C63" s="12">
        <v>4.4000000000000004</v>
      </c>
      <c r="D63" s="12">
        <v>3</v>
      </c>
      <c r="E63" s="12">
        <v>1.3</v>
      </c>
      <c r="F63" s="12">
        <v>0.2</v>
      </c>
      <c r="G63" s="12">
        <v>0</v>
      </c>
      <c r="I63" s="13">
        <f>I62-('Konfigurasi Model'!$B$11*T62)</f>
        <v>0.19864750513961385</v>
      </c>
      <c r="J63" s="13">
        <f>J62-('Konfigurasi Model'!$B$11*U62)</f>
        <v>-0.55068932736826648</v>
      </c>
      <c r="K63" s="13">
        <f>K62-('Konfigurasi Model'!$B$11*V62)</f>
        <v>-0.66360755312847741</v>
      </c>
      <c r="L63" s="13">
        <f>L62-('Konfigurasi Model'!$B$11*W62)</f>
        <v>1.1904615956405979</v>
      </c>
      <c r="M63" s="13">
        <f>M62-('Konfigurasi Model'!$B$11*X62)</f>
        <v>0.89657637408844804</v>
      </c>
      <c r="N63" s="13">
        <f t="shared" si="11"/>
        <v>-2.4882928455157245</v>
      </c>
      <c r="O63" s="13">
        <f t="shared" si="12"/>
        <v>7.6682981185425728E-2</v>
      </c>
      <c r="P63" s="12">
        <f t="shared" si="13"/>
        <v>0</v>
      </c>
      <c r="Q63" s="13">
        <f t="shared" si="14"/>
        <v>7.6682981185425728E-2</v>
      </c>
      <c r="R63" s="13">
        <f t="shared" si="15"/>
        <v>5.8802796034843558E-3</v>
      </c>
      <c r="T63" s="14">
        <f t="shared" si="16"/>
        <v>1.0858724466570645E-2</v>
      </c>
      <c r="U63" s="14">
        <f t="shared" si="17"/>
        <v>4.7778387652910842E-2</v>
      </c>
      <c r="V63" s="14">
        <f t="shared" si="18"/>
        <v>3.2576173399711937E-2</v>
      </c>
      <c r="W63" s="14">
        <f t="shared" si="19"/>
        <v>1.411634180654184E-2</v>
      </c>
      <c r="X63" s="14">
        <f t="shared" si="20"/>
        <v>2.171744893314129E-3</v>
      </c>
      <c r="Y63" s="12">
        <f t="shared" si="21"/>
        <v>1</v>
      </c>
    </row>
    <row r="64" spans="1:25" x14ac:dyDescent="0.3">
      <c r="A64" s="23"/>
      <c r="B64" s="12">
        <v>60</v>
      </c>
      <c r="C64" s="12">
        <v>5.0999999999999996</v>
      </c>
      <c r="D64" s="12">
        <v>3.4</v>
      </c>
      <c r="E64" s="12">
        <v>1.5</v>
      </c>
      <c r="F64" s="12">
        <v>0.2</v>
      </c>
      <c r="G64" s="12">
        <v>0</v>
      </c>
      <c r="I64" s="13">
        <f>I63-('Konfigurasi Model'!$B$11*T63)</f>
        <v>0.19756163269295679</v>
      </c>
      <c r="J64" s="13">
        <f>J63-('Konfigurasi Model'!$B$11*U63)</f>
        <v>-0.55546716613355751</v>
      </c>
      <c r="K64" s="13">
        <f>K63-('Konfigurasi Model'!$B$11*V63)</f>
        <v>-0.66686517046844862</v>
      </c>
      <c r="L64" s="13">
        <f>L63-('Konfigurasi Model'!$B$11*W63)</f>
        <v>1.1890499614599437</v>
      </c>
      <c r="M64" s="13">
        <f>M63-('Konfigurasi Model'!$B$11*X63)</f>
        <v>0.89635919959911659</v>
      </c>
      <c r="N64" s="13">
        <f t="shared" si="11"/>
        <v>-2.9398157120711734</v>
      </c>
      <c r="O64" s="13">
        <f t="shared" si="12"/>
        <v>5.022006262878588E-2</v>
      </c>
      <c r="P64" s="12">
        <f t="shared" si="13"/>
        <v>0</v>
      </c>
      <c r="Q64" s="13">
        <f t="shared" si="14"/>
        <v>5.022006262878588E-2</v>
      </c>
      <c r="R64" s="13">
        <f t="shared" si="15"/>
        <v>2.522054690439176E-3</v>
      </c>
      <c r="T64" s="14">
        <f t="shared" si="16"/>
        <v>4.7907938918641951E-3</v>
      </c>
      <c r="U64" s="14">
        <f t="shared" si="17"/>
        <v>2.4433048848507395E-2</v>
      </c>
      <c r="V64" s="14">
        <f t="shared" si="18"/>
        <v>1.6288699232338263E-2</v>
      </c>
      <c r="W64" s="14">
        <f t="shared" si="19"/>
        <v>7.1861908377962927E-3</v>
      </c>
      <c r="X64" s="14">
        <f t="shared" si="20"/>
        <v>9.5815877837283903E-4</v>
      </c>
      <c r="Y64" s="12">
        <f t="shared" si="21"/>
        <v>1</v>
      </c>
    </row>
    <row r="65" spans="1:25" x14ac:dyDescent="0.3">
      <c r="A65" s="23"/>
      <c r="B65" s="12">
        <v>61</v>
      </c>
      <c r="C65" s="12">
        <v>5.9</v>
      </c>
      <c r="D65" s="12">
        <v>3.2</v>
      </c>
      <c r="E65" s="12">
        <v>4.8</v>
      </c>
      <c r="F65" s="12">
        <v>1.8</v>
      </c>
      <c r="G65" s="12">
        <v>1</v>
      </c>
      <c r="I65" s="13">
        <f>I64-('Konfigurasi Model'!$B$11*T64)</f>
        <v>0.19708255330377036</v>
      </c>
      <c r="J65" s="13">
        <f>J64-('Konfigurasi Model'!$B$11*U64)</f>
        <v>-0.55791047101840829</v>
      </c>
      <c r="K65" s="13">
        <f>K64-('Konfigurasi Model'!$B$11*V64)</f>
        <v>-0.66849404039168248</v>
      </c>
      <c r="L65" s="13">
        <f>L64-('Konfigurasi Model'!$B$11*W64)</f>
        <v>1.1883313423761641</v>
      </c>
      <c r="M65" s="13">
        <f>M64-('Konfigurasi Model'!$B$11*X64)</f>
        <v>0.89626338372127934</v>
      </c>
      <c r="N65" s="13">
        <f t="shared" si="11"/>
        <v>2.0834943791456677</v>
      </c>
      <c r="O65" s="13">
        <f t="shared" si="12"/>
        <v>0.88928853869594771</v>
      </c>
      <c r="P65" s="12">
        <f t="shared" si="13"/>
        <v>1</v>
      </c>
      <c r="Q65" s="13">
        <f t="shared" si="14"/>
        <v>-0.11071146130405229</v>
      </c>
      <c r="R65" s="13">
        <f t="shared" si="15"/>
        <v>1.2257027664078669E-2</v>
      </c>
      <c r="T65" s="14">
        <f t="shared" si="16"/>
        <v>-2.1800068440288652E-2</v>
      </c>
      <c r="U65" s="14">
        <f t="shared" si="17"/>
        <v>-0.12862040379770306</v>
      </c>
      <c r="V65" s="14">
        <f t="shared" si="18"/>
        <v>-6.9760219008923693E-2</v>
      </c>
      <c r="W65" s="14">
        <f t="shared" si="19"/>
        <v>-0.10464032851338552</v>
      </c>
      <c r="X65" s="14">
        <f t="shared" si="20"/>
        <v>-3.9240123192519571E-2</v>
      </c>
      <c r="Y65" s="12">
        <f t="shared" si="21"/>
        <v>1</v>
      </c>
    </row>
    <row r="66" spans="1:25" x14ac:dyDescent="0.3">
      <c r="A66" s="23"/>
      <c r="B66" s="12">
        <v>62</v>
      </c>
      <c r="C66" s="12">
        <v>6.1</v>
      </c>
      <c r="D66" s="12">
        <v>2.8</v>
      </c>
      <c r="E66" s="12">
        <v>4</v>
      </c>
      <c r="F66" s="12">
        <v>1.3</v>
      </c>
      <c r="G66" s="12">
        <v>1</v>
      </c>
      <c r="I66" s="13">
        <f>I65-('Konfigurasi Model'!$B$11*T65)</f>
        <v>0.19926256014779922</v>
      </c>
      <c r="J66" s="13">
        <f>J65-('Konfigurasi Model'!$B$11*U65)</f>
        <v>-0.54504843063863795</v>
      </c>
      <c r="K66" s="13">
        <f>K65-('Konfigurasi Model'!$B$11*V65)</f>
        <v>-0.66151801849079006</v>
      </c>
      <c r="L66" s="13">
        <f>L65-('Konfigurasi Model'!$B$11*W65)</f>
        <v>1.1987953752275027</v>
      </c>
      <c r="M66" s="13">
        <f>M65-('Konfigurasi Model'!$B$11*X65)</f>
        <v>0.90018739604053133</v>
      </c>
      <c r="N66" s="13">
        <f t="shared" si="11"/>
        <v>0.98764179724059797</v>
      </c>
      <c r="O66" s="13">
        <f t="shared" si="12"/>
        <v>0.72862188159381736</v>
      </c>
      <c r="P66" s="12">
        <f t="shared" si="13"/>
        <v>1</v>
      </c>
      <c r="Q66" s="13">
        <f t="shared" si="14"/>
        <v>-0.27137811840618264</v>
      </c>
      <c r="R66" s="13">
        <f t="shared" si="15"/>
        <v>7.3646083149680089E-2</v>
      </c>
      <c r="T66" s="14">
        <f t="shared" si="16"/>
        <v>-0.10732029535306926</v>
      </c>
      <c r="U66" s="14">
        <f t="shared" si="17"/>
        <v>-0.65465380165372244</v>
      </c>
      <c r="V66" s="14">
        <f t="shared" si="18"/>
        <v>-0.30049682698859392</v>
      </c>
      <c r="W66" s="14">
        <f t="shared" si="19"/>
        <v>-0.42928118141227706</v>
      </c>
      <c r="X66" s="14">
        <f t="shared" si="20"/>
        <v>-0.13951638395899005</v>
      </c>
      <c r="Y66" s="12">
        <f t="shared" si="21"/>
        <v>1</v>
      </c>
    </row>
    <row r="67" spans="1:25" x14ac:dyDescent="0.3">
      <c r="A67" s="23"/>
      <c r="B67" s="12">
        <v>63</v>
      </c>
      <c r="C67" s="12">
        <v>6.3</v>
      </c>
      <c r="D67" s="12">
        <v>2.5</v>
      </c>
      <c r="E67" s="12">
        <v>4.9000000000000004</v>
      </c>
      <c r="F67" s="12">
        <v>1.5</v>
      </c>
      <c r="G67" s="12">
        <v>1</v>
      </c>
      <c r="I67" s="13">
        <f>I66-('Konfigurasi Model'!$B$11*T66)</f>
        <v>0.20999458968310614</v>
      </c>
      <c r="J67" s="13">
        <f>J66-('Konfigurasi Model'!$B$11*U66)</f>
        <v>-0.47958305047326572</v>
      </c>
      <c r="K67" s="13">
        <f>K66-('Konfigurasi Model'!$B$11*V66)</f>
        <v>-0.63146833579193062</v>
      </c>
      <c r="L67" s="13">
        <f>L66-('Konfigurasi Model'!$B$11*W66)</f>
        <v>1.2417234933687304</v>
      </c>
      <c r="M67" s="13">
        <f>M66-('Konfigurasi Model'!$B$11*X66)</f>
        <v>0.9141390344364303</v>
      </c>
      <c r="N67" s="13">
        <f t="shared" si="11"/>
        <v>3.0656042013831311</v>
      </c>
      <c r="O67" s="13">
        <f t="shared" si="12"/>
        <v>0.95545144386122338</v>
      </c>
      <c r="P67" s="12">
        <f t="shared" si="13"/>
        <v>1</v>
      </c>
      <c r="Q67" s="13">
        <f t="shared" si="14"/>
        <v>-4.4548556138776618E-2</v>
      </c>
      <c r="R67" s="13">
        <f t="shared" si="15"/>
        <v>1.9845738540497319E-3</v>
      </c>
      <c r="T67" s="14">
        <f t="shared" si="16"/>
        <v>-3.7923279086020984E-3</v>
      </c>
      <c r="U67" s="14">
        <f t="shared" si="17"/>
        <v>-2.389166582419322E-2</v>
      </c>
      <c r="V67" s="14">
        <f t="shared" si="18"/>
        <v>-9.4808197715052465E-3</v>
      </c>
      <c r="W67" s="14">
        <f t="shared" si="19"/>
        <v>-1.8582406752150282E-2</v>
      </c>
      <c r="X67" s="14">
        <f t="shared" si="20"/>
        <v>-5.6884918629031478E-3</v>
      </c>
      <c r="Y67" s="12">
        <f t="shared" si="21"/>
        <v>1</v>
      </c>
    </row>
    <row r="68" spans="1:25" x14ac:dyDescent="0.3">
      <c r="A68" s="23"/>
      <c r="B68" s="12">
        <v>64</v>
      </c>
      <c r="C68" s="12">
        <v>6.1</v>
      </c>
      <c r="D68" s="12">
        <v>2.8</v>
      </c>
      <c r="E68" s="12">
        <v>4.7</v>
      </c>
      <c r="F68" s="12">
        <v>1.2</v>
      </c>
      <c r="G68" s="12">
        <v>1</v>
      </c>
      <c r="I68" s="13">
        <f>I67-('Konfigurasi Model'!$B$11*T67)</f>
        <v>0.21037382247396635</v>
      </c>
      <c r="J68" s="13">
        <f>J67-('Konfigurasi Model'!$B$11*U67)</f>
        <v>-0.47719388389084638</v>
      </c>
      <c r="K68" s="13">
        <f>K67-('Konfigurasi Model'!$B$11*V67)</f>
        <v>-0.63052025381478005</v>
      </c>
      <c r="L68" s="13">
        <f>L67-('Konfigurasi Model'!$B$11*W67)</f>
        <v>1.2435817340439455</v>
      </c>
      <c r="M68" s="13">
        <f>M67-('Konfigurasi Model'!$B$11*X67)</f>
        <v>0.9147078836227206</v>
      </c>
      <c r="N68" s="13">
        <f t="shared" si="11"/>
        <v>2.4765180304122278</v>
      </c>
      <c r="O68" s="13">
        <f t="shared" si="12"/>
        <v>0.92247916350232206</v>
      </c>
      <c r="P68" s="12">
        <f t="shared" si="13"/>
        <v>1</v>
      </c>
      <c r="Q68" s="13">
        <f t="shared" si="14"/>
        <v>-7.7520836497677936E-2</v>
      </c>
      <c r="R68" s="13">
        <f t="shared" si="15"/>
        <v>6.0094800912997154E-3</v>
      </c>
      <c r="T68" s="14">
        <f t="shared" si="16"/>
        <v>-1.1087240335412038E-2</v>
      </c>
      <c r="U68" s="14">
        <f t="shared" si="17"/>
        <v>-6.7632166046013437E-2</v>
      </c>
      <c r="V68" s="14">
        <f t="shared" si="18"/>
        <v>-3.1044272939153704E-2</v>
      </c>
      <c r="W68" s="14">
        <f t="shared" si="19"/>
        <v>-5.2110029576436581E-2</v>
      </c>
      <c r="X68" s="14">
        <f t="shared" si="20"/>
        <v>-1.3304688402494446E-2</v>
      </c>
      <c r="Y68" s="12">
        <f t="shared" si="21"/>
        <v>1</v>
      </c>
    </row>
    <row r="69" spans="1:25" x14ac:dyDescent="0.3">
      <c r="A69" s="23"/>
      <c r="B69" s="12">
        <v>65</v>
      </c>
      <c r="C69" s="12">
        <v>6.4</v>
      </c>
      <c r="D69" s="12">
        <v>2.9</v>
      </c>
      <c r="E69" s="12">
        <v>4.3</v>
      </c>
      <c r="F69" s="12">
        <v>1.3</v>
      </c>
      <c r="G69" s="12">
        <v>1</v>
      </c>
      <c r="I69" s="13">
        <f>I68-('Konfigurasi Model'!$B$11*T68)</f>
        <v>0.21148254650750756</v>
      </c>
      <c r="J69" s="13">
        <f>J68-('Konfigurasi Model'!$B$11*U68)</f>
        <v>-0.47043066728624505</v>
      </c>
      <c r="K69" s="13">
        <f>K68-('Konfigurasi Model'!$B$11*V68)</f>
        <v>-0.62741582652086469</v>
      </c>
      <c r="L69" s="13">
        <f>L68-('Konfigurasi Model'!$B$11*W68)</f>
        <v>1.2487927370015892</v>
      </c>
      <c r="M69" s="13">
        <f>M68-('Konfigurasi Model'!$B$11*X68)</f>
        <v>0.91603835246297005</v>
      </c>
      <c r="N69" s="13">
        <f t="shared" ref="N69:N84" si="22">I69+J69*C69+K69*D69+L69*E69+M69*F69</f>
        <v>1.9418790062737252</v>
      </c>
      <c r="O69" s="13">
        <f t="shared" ref="O69:O84" si="23">1/(1+EXP(-N69))</f>
        <v>0.87455842683955953</v>
      </c>
      <c r="P69" s="12">
        <f t="shared" ref="P69:P84" si="24">IF(O69&gt;0.5,1,0)</f>
        <v>1</v>
      </c>
      <c r="Q69" s="13">
        <f t="shared" ref="Q69:Q84" si="25">O69-G69</f>
        <v>-0.12544157316044047</v>
      </c>
      <c r="R69" s="13">
        <f t="shared" ref="R69:R84" si="26">Q69^2</f>
        <v>1.5735588276966139E-2</v>
      </c>
      <c r="T69" s="14">
        <f t="shared" ref="T69:T84" si="27">2*(O69-G69)*(1-O69)*O69</f>
        <v>-2.7523382657797045E-2</v>
      </c>
      <c r="U69" s="14">
        <f t="shared" ref="U69:U84" si="28">2*(O69-G69)*(1-O69)*O69*C69</f>
        <v>-0.1761496490099011</v>
      </c>
      <c r="V69" s="14">
        <f t="shared" ref="V69:V84" si="29">2*(O69-G69)*(1-O69)*O69*D69</f>
        <v>-7.9817809707611431E-2</v>
      </c>
      <c r="W69" s="14">
        <f t="shared" ref="W69:W84" si="30">2*(O69-G69)*(1-O69)*O69*E69</f>
        <v>-0.11835054542852728</v>
      </c>
      <c r="X69" s="14">
        <f t="shared" ref="X69:X84" si="31">2*(O69-G69)*(1-O69)*O69*F69</f>
        <v>-3.5780397455136156E-2</v>
      </c>
      <c r="Y69" s="12">
        <f t="shared" ref="Y69:Y84" si="32">IF(P69=G69,1,0)</f>
        <v>1</v>
      </c>
    </row>
    <row r="70" spans="1:25" x14ac:dyDescent="0.3">
      <c r="A70" s="23"/>
      <c r="B70" s="12">
        <v>66</v>
      </c>
      <c r="C70" s="12">
        <v>6.6</v>
      </c>
      <c r="D70" s="12">
        <v>3</v>
      </c>
      <c r="E70" s="12">
        <v>4.4000000000000004</v>
      </c>
      <c r="F70" s="12">
        <v>1.4</v>
      </c>
      <c r="G70" s="12">
        <v>1</v>
      </c>
      <c r="I70" s="13">
        <f>I69-('Konfigurasi Model'!$B$11*T69)</f>
        <v>0.21423488477328725</v>
      </c>
      <c r="J70" s="13">
        <f>J69-('Konfigurasi Model'!$B$11*U69)</f>
        <v>-0.45281570238525493</v>
      </c>
      <c r="K70" s="13">
        <f>K69-('Konfigurasi Model'!$B$11*V69)</f>
        <v>-0.61943404555010351</v>
      </c>
      <c r="L70" s="13">
        <f>L69-('Konfigurasi Model'!$B$11*W69)</f>
        <v>1.2606277915444419</v>
      </c>
      <c r="M70" s="13">
        <f>M69-('Konfigurasi Model'!$B$11*X69)</f>
        <v>0.91961639220848368</v>
      </c>
      <c r="N70" s="13">
        <f t="shared" si="22"/>
        <v>2.2015743442677165</v>
      </c>
      <c r="O70" s="13">
        <f t="shared" si="23"/>
        <v>0.90039079845478254</v>
      </c>
      <c r="P70" s="12">
        <f t="shared" si="24"/>
        <v>1</v>
      </c>
      <c r="Q70" s="13">
        <f t="shared" si="25"/>
        <v>-9.9609201545217463E-2</v>
      </c>
      <c r="R70" s="13">
        <f t="shared" si="26"/>
        <v>9.9219930324757535E-3</v>
      </c>
      <c r="T70" s="14">
        <f t="shared" si="27"/>
        <v>-1.7867342457547265E-2</v>
      </c>
      <c r="U70" s="14">
        <f t="shared" si="28"/>
        <v>-0.11792446021981194</v>
      </c>
      <c r="V70" s="14">
        <f t="shared" si="29"/>
        <v>-5.3602027372641796E-2</v>
      </c>
      <c r="W70" s="14">
        <f t="shared" si="30"/>
        <v>-7.861630681320797E-2</v>
      </c>
      <c r="X70" s="14">
        <f t="shared" si="31"/>
        <v>-2.5014279440566171E-2</v>
      </c>
      <c r="Y70" s="12">
        <f t="shared" si="32"/>
        <v>1</v>
      </c>
    </row>
    <row r="71" spans="1:25" x14ac:dyDescent="0.3">
      <c r="A71" s="23"/>
      <c r="B71" s="12">
        <v>67</v>
      </c>
      <c r="C71" s="12">
        <v>6.8</v>
      </c>
      <c r="D71" s="12">
        <v>2.8</v>
      </c>
      <c r="E71" s="12">
        <v>4.8</v>
      </c>
      <c r="F71" s="12">
        <v>1.4</v>
      </c>
      <c r="G71" s="12">
        <v>1</v>
      </c>
      <c r="I71" s="13">
        <f>I70-('Konfigurasi Model'!$B$11*T70)</f>
        <v>0.21602161901904199</v>
      </c>
      <c r="J71" s="13">
        <f>J70-('Konfigurasi Model'!$B$11*U70)</f>
        <v>-0.44102325636327372</v>
      </c>
      <c r="K71" s="13">
        <f>K70-('Konfigurasi Model'!$B$11*V70)</f>
        <v>-0.61407384281283928</v>
      </c>
      <c r="L71" s="13">
        <f>L70-('Konfigurasi Model'!$B$11*W70)</f>
        <v>1.2684894222257628</v>
      </c>
      <c r="M71" s="13">
        <f>M70-('Konfigurasi Model'!$B$11*X70)</f>
        <v>0.92211782015254029</v>
      </c>
      <c r="N71" s="13">
        <f t="shared" si="22"/>
        <v>2.8773708907700479</v>
      </c>
      <c r="O71" s="13">
        <f t="shared" si="23"/>
        <v>0.94671639525664086</v>
      </c>
      <c r="P71" s="12">
        <f t="shared" si="24"/>
        <v>1</v>
      </c>
      <c r="Q71" s="13">
        <f t="shared" si="25"/>
        <v>-5.3283604743359136E-2</v>
      </c>
      <c r="R71" s="13">
        <f t="shared" si="26"/>
        <v>2.8391425344465242E-3</v>
      </c>
      <c r="T71" s="14">
        <f t="shared" si="27"/>
        <v>-5.3757255716620333E-3</v>
      </c>
      <c r="U71" s="14">
        <f t="shared" si="28"/>
        <v>-3.6554933887301827E-2</v>
      </c>
      <c r="V71" s="14">
        <f t="shared" si="29"/>
        <v>-1.5052031600653692E-2</v>
      </c>
      <c r="W71" s="14">
        <f t="shared" si="30"/>
        <v>-2.580348274397776E-2</v>
      </c>
      <c r="X71" s="14">
        <f t="shared" si="31"/>
        <v>-7.5260158003268461E-3</v>
      </c>
      <c r="Y71" s="12">
        <f t="shared" si="32"/>
        <v>1</v>
      </c>
    </row>
    <row r="72" spans="1:25" x14ac:dyDescent="0.3">
      <c r="A72" s="23"/>
      <c r="B72" s="12">
        <v>68</v>
      </c>
      <c r="C72" s="12">
        <v>6.7</v>
      </c>
      <c r="D72" s="12">
        <v>3</v>
      </c>
      <c r="E72" s="12">
        <v>5</v>
      </c>
      <c r="F72" s="12">
        <v>1.7</v>
      </c>
      <c r="G72" s="12">
        <v>1</v>
      </c>
      <c r="I72" s="13">
        <f>I71-('Konfigurasi Model'!$B$11*T71)</f>
        <v>0.2165591915762082</v>
      </c>
      <c r="J72" s="13">
        <f>J71-('Konfigurasi Model'!$B$11*U71)</f>
        <v>-0.43736776297454355</v>
      </c>
      <c r="K72" s="13">
        <f>K71-('Konfigurasi Model'!$B$11*V71)</f>
        <v>-0.61256863965277386</v>
      </c>
      <c r="L72" s="13">
        <f>L71-('Konfigurasi Model'!$B$11*W71)</f>
        <v>1.2710697705001606</v>
      </c>
      <c r="M72" s="13">
        <f>M71-('Konfigurasi Model'!$B$11*X71)</f>
        <v>0.92287042173257294</v>
      </c>
      <c r="N72" s="13">
        <f t="shared" si="22"/>
        <v>3.3727178301346221</v>
      </c>
      <c r="O72" s="13">
        <f t="shared" si="23"/>
        <v>0.9668409341900841</v>
      </c>
      <c r="P72" s="12">
        <f t="shared" si="24"/>
        <v>1</v>
      </c>
      <c r="Q72" s="13">
        <f t="shared" si="25"/>
        <v>-3.31590658099159E-2</v>
      </c>
      <c r="R72" s="13">
        <f t="shared" si="26"/>
        <v>1.0995236453863336E-3</v>
      </c>
      <c r="T72" s="14">
        <f t="shared" si="27"/>
        <v>-2.1261289369388192E-3</v>
      </c>
      <c r="U72" s="14">
        <f t="shared" si="28"/>
        <v>-1.424506387749009E-2</v>
      </c>
      <c r="V72" s="14">
        <f t="shared" si="29"/>
        <v>-6.3783868108164572E-3</v>
      </c>
      <c r="W72" s="14">
        <f t="shared" si="30"/>
        <v>-1.0630644684694096E-2</v>
      </c>
      <c r="X72" s="14">
        <f t="shared" si="31"/>
        <v>-3.6144191927959925E-3</v>
      </c>
      <c r="Y72" s="12">
        <f t="shared" si="32"/>
        <v>1</v>
      </c>
    </row>
    <row r="73" spans="1:25" x14ac:dyDescent="0.3">
      <c r="A73" s="23"/>
      <c r="B73" s="12">
        <v>69</v>
      </c>
      <c r="C73" s="12">
        <v>6</v>
      </c>
      <c r="D73" s="12">
        <v>2.9</v>
      </c>
      <c r="E73" s="12">
        <v>4.5</v>
      </c>
      <c r="F73" s="12">
        <v>1.5</v>
      </c>
      <c r="G73" s="12">
        <v>1</v>
      </c>
      <c r="I73" s="13">
        <f>I72-('Konfigurasi Model'!$B$11*T72)</f>
        <v>0.21677180446990207</v>
      </c>
      <c r="J73" s="13">
        <f>J72-('Konfigurasi Model'!$B$11*U72)</f>
        <v>-0.43594325658679456</v>
      </c>
      <c r="K73" s="13">
        <f>K72-('Konfigurasi Model'!$B$11*V72)</f>
        <v>-0.61193080097169217</v>
      </c>
      <c r="L73" s="13">
        <f>L72-('Konfigurasi Model'!$B$11*W72)</f>
        <v>1.2721328349686301</v>
      </c>
      <c r="M73" s="13">
        <f>M72-('Konfigurasi Model'!$B$11*X72)</f>
        <v>0.9232318636518525</v>
      </c>
      <c r="N73" s="13">
        <f t="shared" si="22"/>
        <v>2.9359584949678412</v>
      </c>
      <c r="O73" s="13">
        <f t="shared" si="23"/>
        <v>0.94959563628395638</v>
      </c>
      <c r="P73" s="12">
        <f t="shared" si="24"/>
        <v>1</v>
      </c>
      <c r="Q73" s="13">
        <f t="shared" si="25"/>
        <v>-5.0404363716043621E-2</v>
      </c>
      <c r="R73" s="13">
        <f t="shared" si="26"/>
        <v>2.5405998816192149E-3</v>
      </c>
      <c r="T73" s="14">
        <f t="shared" si="27"/>
        <v>-4.8250851222582849E-3</v>
      </c>
      <c r="U73" s="14">
        <f t="shared" si="28"/>
        <v>-2.8950510733549709E-2</v>
      </c>
      <c r="V73" s="14">
        <f t="shared" si="29"/>
        <v>-1.3992746854549026E-2</v>
      </c>
      <c r="W73" s="14">
        <f t="shared" si="30"/>
        <v>-2.1712883050162283E-2</v>
      </c>
      <c r="X73" s="14">
        <f t="shared" si="31"/>
        <v>-7.2376276833874273E-3</v>
      </c>
      <c r="Y73" s="12">
        <f t="shared" si="32"/>
        <v>1</v>
      </c>
    </row>
    <row r="74" spans="1:25" x14ac:dyDescent="0.3">
      <c r="A74" s="23"/>
      <c r="B74" s="12">
        <v>70</v>
      </c>
      <c r="C74" s="12">
        <v>5.7</v>
      </c>
      <c r="D74" s="12">
        <v>2.6</v>
      </c>
      <c r="E74" s="12">
        <v>3.5</v>
      </c>
      <c r="F74" s="12">
        <v>1</v>
      </c>
      <c r="G74" s="12">
        <v>1</v>
      </c>
      <c r="I74" s="13">
        <f>I73-('Konfigurasi Model'!$B$11*T73)</f>
        <v>0.21725431298212791</v>
      </c>
      <c r="J74" s="13">
        <f>J73-('Konfigurasi Model'!$B$11*U73)</f>
        <v>-0.43304820551343959</v>
      </c>
      <c r="K74" s="13">
        <f>K73-('Konfigurasi Model'!$B$11*V73)</f>
        <v>-0.6105315262862373</v>
      </c>
      <c r="L74" s="13">
        <f>L73-('Konfigurasi Model'!$B$11*W73)</f>
        <v>1.2743041232736463</v>
      </c>
      <c r="M74" s="13">
        <f>M73-('Konfigurasi Model'!$B$11*X73)</f>
        <v>0.92395562642019124</v>
      </c>
      <c r="N74" s="13">
        <f t="shared" si="22"/>
        <v>1.5455176310892584</v>
      </c>
      <c r="O74" s="13">
        <f t="shared" si="23"/>
        <v>0.82426539537127108</v>
      </c>
      <c r="P74" s="12">
        <f t="shared" si="24"/>
        <v>1</v>
      </c>
      <c r="Q74" s="13">
        <f t="shared" si="25"/>
        <v>-0.17573460462872892</v>
      </c>
      <c r="R74" s="13">
        <f t="shared" si="26"/>
        <v>3.0882651264015671E-2</v>
      </c>
      <c r="T74" s="14">
        <f t="shared" si="27"/>
        <v>-5.0911001508493925E-2</v>
      </c>
      <c r="U74" s="14">
        <f t="shared" si="28"/>
        <v>-0.29019270859841539</v>
      </c>
      <c r="V74" s="14">
        <f t="shared" si="29"/>
        <v>-0.13236860392208422</v>
      </c>
      <c r="W74" s="14">
        <f t="shared" si="30"/>
        <v>-0.17818850527972874</v>
      </c>
      <c r="X74" s="14">
        <f t="shared" si="31"/>
        <v>-5.0911001508493925E-2</v>
      </c>
      <c r="Y74" s="12">
        <f t="shared" si="32"/>
        <v>1</v>
      </c>
    </row>
    <row r="75" spans="1:25" x14ac:dyDescent="0.3">
      <c r="A75" s="23"/>
      <c r="B75" s="12">
        <v>71</v>
      </c>
      <c r="C75" s="12">
        <v>5.5</v>
      </c>
      <c r="D75" s="12">
        <v>2.4</v>
      </c>
      <c r="E75" s="12">
        <v>3.8</v>
      </c>
      <c r="F75" s="12">
        <v>1.1000000000000001</v>
      </c>
      <c r="G75" s="12">
        <v>1</v>
      </c>
      <c r="I75" s="13">
        <f>I74-('Konfigurasi Model'!$B$11*T74)</f>
        <v>0.22234541313297732</v>
      </c>
      <c r="J75" s="13">
        <f>J74-('Konfigurasi Model'!$B$11*U74)</f>
        <v>-0.40402893465359807</v>
      </c>
      <c r="K75" s="13">
        <f>K74-('Konfigurasi Model'!$B$11*V74)</f>
        <v>-0.59729466589402891</v>
      </c>
      <c r="L75" s="13">
        <f>L74-('Konfigurasi Model'!$B$11*W74)</f>
        <v>1.2921229738016191</v>
      </c>
      <c r="M75" s="13">
        <f>M74-('Konfigurasi Model'!$B$11*X74)</f>
        <v>0.92904672657104059</v>
      </c>
      <c r="N75" s="13">
        <f t="shared" si="22"/>
        <v>2.4986977740668155</v>
      </c>
      <c r="O75" s="13">
        <f t="shared" si="23"/>
        <v>0.92405047866355716</v>
      </c>
      <c r="P75" s="12">
        <f t="shared" si="24"/>
        <v>1</v>
      </c>
      <c r="Q75" s="13">
        <f t="shared" si="25"/>
        <v>-7.5949521336442838E-2</v>
      </c>
      <c r="R75" s="13">
        <f t="shared" si="26"/>
        <v>5.768329791234786E-3</v>
      </c>
      <c r="T75" s="14">
        <f t="shared" si="27"/>
        <v>-1.0660455809359521E-2</v>
      </c>
      <c r="U75" s="14">
        <f t="shared" si="28"/>
        <v>-5.863250695147737E-2</v>
      </c>
      <c r="V75" s="14">
        <f t="shared" si="29"/>
        <v>-2.5585093942462851E-2</v>
      </c>
      <c r="W75" s="14">
        <f t="shared" si="30"/>
        <v>-4.0509732075566178E-2</v>
      </c>
      <c r="X75" s="14">
        <f t="shared" si="31"/>
        <v>-1.1726501390295475E-2</v>
      </c>
      <c r="Y75" s="12">
        <f t="shared" si="32"/>
        <v>1</v>
      </c>
    </row>
    <row r="76" spans="1:25" x14ac:dyDescent="0.3">
      <c r="A76" s="23"/>
      <c r="B76" s="12">
        <v>72</v>
      </c>
      <c r="C76" s="12">
        <v>5.5</v>
      </c>
      <c r="D76" s="12">
        <v>2.4</v>
      </c>
      <c r="E76" s="12">
        <v>3.7</v>
      </c>
      <c r="F76" s="12">
        <v>1</v>
      </c>
      <c r="G76" s="12">
        <v>1</v>
      </c>
      <c r="I76" s="13">
        <f>I75-('Konfigurasi Model'!$B$11*T75)</f>
        <v>0.22341145871391327</v>
      </c>
      <c r="J76" s="13">
        <f>J75-('Konfigurasi Model'!$B$11*U75)</f>
        <v>-0.39816568395845031</v>
      </c>
      <c r="K76" s="13">
        <f>K75-('Konfigurasi Model'!$B$11*V75)</f>
        <v>-0.59473615649978262</v>
      </c>
      <c r="L76" s="13">
        <f>L75-('Konfigurasi Model'!$B$11*W75)</f>
        <v>1.2961739470091758</v>
      </c>
      <c r="M76" s="13">
        <f>M75-('Konfigurasi Model'!$B$11*X75)</f>
        <v>0.93021937671007016</v>
      </c>
      <c r="N76" s="13">
        <f t="shared" si="22"/>
        <v>2.3321964019869785</v>
      </c>
      <c r="O76" s="13">
        <f t="shared" si="23"/>
        <v>0.91150866009753373</v>
      </c>
      <c r="P76" s="12">
        <f t="shared" si="24"/>
        <v>1</v>
      </c>
      <c r="Q76" s="13">
        <f t="shared" si="25"/>
        <v>-8.8491339902466271E-2</v>
      </c>
      <c r="R76" s="13">
        <f t="shared" si="26"/>
        <v>7.8307172377338197E-3</v>
      </c>
      <c r="T76" s="14">
        <f t="shared" si="27"/>
        <v>-1.4275533153938829E-2</v>
      </c>
      <c r="U76" s="14">
        <f t="shared" si="28"/>
        <v>-7.8515432346663555E-2</v>
      </c>
      <c r="V76" s="14">
        <f t="shared" si="29"/>
        <v>-3.4261279569453185E-2</v>
      </c>
      <c r="W76" s="14">
        <f t="shared" si="30"/>
        <v>-5.2819472669573667E-2</v>
      </c>
      <c r="X76" s="14">
        <f t="shared" si="31"/>
        <v>-1.4275533153938829E-2</v>
      </c>
      <c r="Y76" s="12">
        <f t="shared" si="32"/>
        <v>1</v>
      </c>
    </row>
    <row r="77" spans="1:25" x14ac:dyDescent="0.3">
      <c r="A77" s="23"/>
      <c r="B77" s="12">
        <v>73</v>
      </c>
      <c r="C77" s="12">
        <v>5.8</v>
      </c>
      <c r="D77" s="12">
        <v>2.7</v>
      </c>
      <c r="E77" s="12">
        <v>3.9</v>
      </c>
      <c r="F77" s="12">
        <v>1.2</v>
      </c>
      <c r="G77" s="12">
        <v>1</v>
      </c>
      <c r="I77" s="13">
        <f>I76-('Konfigurasi Model'!$B$11*T76)</f>
        <v>0.22483901202930714</v>
      </c>
      <c r="J77" s="13">
        <f>J76-('Konfigurasi Model'!$B$11*U76)</f>
        <v>-0.39031414072378395</v>
      </c>
      <c r="K77" s="13">
        <f>K76-('Konfigurasi Model'!$B$11*V76)</f>
        <v>-0.59131002854283732</v>
      </c>
      <c r="L77" s="13">
        <f>L76-('Konfigurasi Model'!$B$11*W76)</f>
        <v>1.3014558942761332</v>
      </c>
      <c r="M77" s="13">
        <f>M76-('Konfigurasi Model'!$B$11*X76)</f>
        <v>0.93164693002546406</v>
      </c>
      <c r="N77" s="13">
        <f t="shared" si="22"/>
        <v>2.5581342224731758</v>
      </c>
      <c r="O77" s="13">
        <f t="shared" si="23"/>
        <v>0.92811808194447887</v>
      </c>
      <c r="P77" s="12">
        <f t="shared" si="24"/>
        <v>1</v>
      </c>
      <c r="Q77" s="13">
        <f t="shared" si="25"/>
        <v>-7.1881918055521132E-2</v>
      </c>
      <c r="R77" s="13">
        <f t="shared" si="26"/>
        <v>5.167010143340655E-3</v>
      </c>
      <c r="T77" s="14">
        <f t="shared" si="27"/>
        <v>-9.5911910872499909E-3</v>
      </c>
      <c r="U77" s="14">
        <f t="shared" si="28"/>
        <v>-5.5628908306049947E-2</v>
      </c>
      <c r="V77" s="14">
        <f t="shared" si="29"/>
        <v>-2.5896215935574975E-2</v>
      </c>
      <c r="W77" s="14">
        <f t="shared" si="30"/>
        <v>-3.7405645240274961E-2</v>
      </c>
      <c r="X77" s="14">
        <f t="shared" si="31"/>
        <v>-1.1509429304699989E-2</v>
      </c>
      <c r="Y77" s="12">
        <f t="shared" si="32"/>
        <v>1</v>
      </c>
    </row>
    <row r="78" spans="1:25" x14ac:dyDescent="0.3">
      <c r="A78" s="23"/>
      <c r="B78" s="12">
        <v>74</v>
      </c>
      <c r="C78" s="12">
        <v>6</v>
      </c>
      <c r="D78" s="12">
        <v>2.7</v>
      </c>
      <c r="E78" s="12">
        <v>5.0999999999999996</v>
      </c>
      <c r="F78" s="12">
        <v>1.6</v>
      </c>
      <c r="G78" s="12">
        <v>1</v>
      </c>
      <c r="I78" s="13">
        <f>I77-('Konfigurasi Model'!$B$11*T77)</f>
        <v>0.22579813113803215</v>
      </c>
      <c r="J78" s="13">
        <f>J77-('Konfigurasi Model'!$B$11*U77)</f>
        <v>-0.38475124989317894</v>
      </c>
      <c r="K78" s="13">
        <f>K77-('Konfigurasi Model'!$B$11*V77)</f>
        <v>-0.58872040694927985</v>
      </c>
      <c r="L78" s="13">
        <f>L77-('Konfigurasi Model'!$B$11*W77)</f>
        <v>1.3051964588001608</v>
      </c>
      <c r="M78" s="13">
        <f>M77-('Konfigurasi Model'!$B$11*X77)</f>
        <v>0.93279787295593408</v>
      </c>
      <c r="N78" s="13">
        <f t="shared" si="22"/>
        <v>4.4767240696262167</v>
      </c>
      <c r="O78" s="13">
        <f t="shared" si="23"/>
        <v>0.98875723548807437</v>
      </c>
      <c r="P78" s="12">
        <f t="shared" si="24"/>
        <v>1</v>
      </c>
      <c r="Q78" s="13">
        <f t="shared" si="25"/>
        <v>-1.1242764511925629E-2</v>
      </c>
      <c r="R78" s="13">
        <f t="shared" si="26"/>
        <v>1.2639975387061434E-4</v>
      </c>
      <c r="T78" s="14">
        <f t="shared" si="27"/>
        <v>-2.4995734240696333E-4</v>
      </c>
      <c r="U78" s="14">
        <f t="shared" si="28"/>
        <v>-1.49974405444178E-3</v>
      </c>
      <c r="V78" s="14">
        <f t="shared" si="29"/>
        <v>-6.7488482449880099E-4</v>
      </c>
      <c r="W78" s="14">
        <f t="shared" si="30"/>
        <v>-1.274782446275513E-3</v>
      </c>
      <c r="X78" s="14">
        <f t="shared" si="31"/>
        <v>-3.9993174785114133E-4</v>
      </c>
      <c r="Y78" s="12">
        <f t="shared" si="32"/>
        <v>1</v>
      </c>
    </row>
    <row r="79" spans="1:25" x14ac:dyDescent="0.3">
      <c r="A79" s="23"/>
      <c r="B79" s="12">
        <v>75</v>
      </c>
      <c r="C79" s="12">
        <v>5.4</v>
      </c>
      <c r="D79" s="12">
        <v>3</v>
      </c>
      <c r="E79" s="12">
        <v>4.5</v>
      </c>
      <c r="F79" s="12">
        <v>1.5</v>
      </c>
      <c r="G79" s="12">
        <v>1</v>
      </c>
      <c r="I79" s="13">
        <f>I78-('Konfigurasi Model'!$B$11*T78)</f>
        <v>0.22582312687227285</v>
      </c>
      <c r="J79" s="13">
        <f>J78-('Konfigurasi Model'!$B$11*U78)</f>
        <v>-0.38460127548773476</v>
      </c>
      <c r="K79" s="13">
        <f>K78-('Konfigurasi Model'!$B$11*V78)</f>
        <v>-0.58865291846682999</v>
      </c>
      <c r="L79" s="13">
        <f>L78-('Konfigurasi Model'!$B$11*W78)</f>
        <v>1.3053239370447882</v>
      </c>
      <c r="M79" s="13">
        <f>M78-('Konfigurasi Model'!$B$11*X78)</f>
        <v>0.93283786613071917</v>
      </c>
      <c r="N79" s="13">
        <f t="shared" si="22"/>
        <v>3.6562319997356401</v>
      </c>
      <c r="O79" s="13">
        <f t="shared" si="23"/>
        <v>0.97482071648151591</v>
      </c>
      <c r="P79" s="12">
        <f t="shared" si="24"/>
        <v>1</v>
      </c>
      <c r="Q79" s="13">
        <f t="shared" si="25"/>
        <v>-2.5179283518484086E-2</v>
      </c>
      <c r="R79" s="13">
        <f t="shared" si="26"/>
        <v>6.339963185042043E-4</v>
      </c>
      <c r="T79" s="14">
        <f t="shared" si="27"/>
        <v>-1.2360654909018237E-3</v>
      </c>
      <c r="U79" s="14">
        <f t="shared" si="28"/>
        <v>-6.6747536508698488E-3</v>
      </c>
      <c r="V79" s="14">
        <f t="shared" si="29"/>
        <v>-3.7081964727054711E-3</v>
      </c>
      <c r="W79" s="14">
        <f t="shared" si="30"/>
        <v>-5.5622947090582069E-3</v>
      </c>
      <c r="X79" s="14">
        <f t="shared" si="31"/>
        <v>-1.8540982363527355E-3</v>
      </c>
      <c r="Y79" s="12">
        <f t="shared" si="32"/>
        <v>1</v>
      </c>
    </row>
    <row r="80" spans="1:25" x14ac:dyDescent="0.3">
      <c r="A80" s="23"/>
      <c r="B80" s="12">
        <v>76</v>
      </c>
      <c r="C80" s="12">
        <v>6</v>
      </c>
      <c r="D80" s="12">
        <v>3.4</v>
      </c>
      <c r="E80" s="12">
        <v>4.5</v>
      </c>
      <c r="F80" s="12">
        <v>1.6</v>
      </c>
      <c r="G80" s="12">
        <v>1</v>
      </c>
      <c r="I80" s="13">
        <f>I79-('Konfigurasi Model'!$B$11*T79)</f>
        <v>0.22594673342136304</v>
      </c>
      <c r="J80" s="13">
        <f>J79-('Konfigurasi Model'!$B$11*U79)</f>
        <v>-0.38393380012264777</v>
      </c>
      <c r="K80" s="13">
        <f>K79-('Konfigurasi Model'!$B$11*V79)</f>
        <v>-0.5882820988195594</v>
      </c>
      <c r="L80" s="13">
        <f>L79-('Konfigurasi Model'!$B$11*W79)</f>
        <v>1.3058801665156941</v>
      </c>
      <c r="M80" s="13">
        <f>M79-('Konfigurasi Model'!$B$11*X79)</f>
        <v>0.93302327595435441</v>
      </c>
      <c r="N80" s="13">
        <f t="shared" si="22"/>
        <v>3.2914827875465651</v>
      </c>
      <c r="O80" s="13">
        <f t="shared" si="23"/>
        <v>0.964135461651354</v>
      </c>
      <c r="P80" s="12">
        <f t="shared" si="24"/>
        <v>1</v>
      </c>
      <c r="Q80" s="13">
        <f t="shared" si="25"/>
        <v>-3.5864538348646002E-2</v>
      </c>
      <c r="R80" s="13">
        <f t="shared" si="26"/>
        <v>1.2862651109614997E-3</v>
      </c>
      <c r="T80" s="14">
        <f t="shared" si="27"/>
        <v>-2.4802676131257914E-3</v>
      </c>
      <c r="U80" s="14">
        <f t="shared" si="28"/>
        <v>-1.4881605678754749E-2</v>
      </c>
      <c r="V80" s="14">
        <f t="shared" si="29"/>
        <v>-8.4329098846276911E-3</v>
      </c>
      <c r="W80" s="14">
        <f t="shared" si="30"/>
        <v>-1.1161204259066061E-2</v>
      </c>
      <c r="X80" s="14">
        <f t="shared" si="31"/>
        <v>-3.9684281810012665E-3</v>
      </c>
      <c r="Y80" s="12">
        <f t="shared" si="32"/>
        <v>1</v>
      </c>
    </row>
    <row r="81" spans="1:25" x14ac:dyDescent="0.3">
      <c r="A81" s="23"/>
      <c r="B81" s="12">
        <v>77</v>
      </c>
      <c r="C81" s="12">
        <v>6.7</v>
      </c>
      <c r="D81" s="12">
        <v>3.1</v>
      </c>
      <c r="E81" s="12">
        <v>4.7</v>
      </c>
      <c r="F81" s="12">
        <v>1.5</v>
      </c>
      <c r="G81" s="12">
        <v>1</v>
      </c>
      <c r="I81" s="13">
        <f>I80-('Konfigurasi Model'!$B$11*T80)</f>
        <v>0.22619476018267562</v>
      </c>
      <c r="J81" s="13">
        <f>J80-('Konfigurasi Model'!$B$11*U80)</f>
        <v>-0.38244563955477229</v>
      </c>
      <c r="K81" s="13">
        <f>K80-('Konfigurasi Model'!$B$11*V80)</f>
        <v>-0.58743880783109659</v>
      </c>
      <c r="L81" s="13">
        <f>L80-('Konfigurasi Model'!$B$11*W80)</f>
        <v>1.3069962869416007</v>
      </c>
      <c r="M81" s="13">
        <f>M80-('Konfigurasi Model'!$B$11*X80)</f>
        <v>0.93342011877245457</v>
      </c>
      <c r="N81" s="13">
        <f t="shared" si="22"/>
        <v>3.3857613976735075</v>
      </c>
      <c r="O81" s="13">
        <f t="shared" si="23"/>
        <v>0.96725656819259331</v>
      </c>
      <c r="P81" s="12">
        <f t="shared" si="24"/>
        <v>1</v>
      </c>
      <c r="Q81" s="13">
        <f t="shared" si="25"/>
        <v>-3.2743431807406687E-2</v>
      </c>
      <c r="R81" s="13">
        <f t="shared" si="26"/>
        <v>1.0721323265262918E-3</v>
      </c>
      <c r="T81" s="14">
        <f t="shared" si="27"/>
        <v>-2.074054069608324E-3</v>
      </c>
      <c r="U81" s="14">
        <f t="shared" si="28"/>
        <v>-1.389616226637577E-2</v>
      </c>
      <c r="V81" s="14">
        <f t="shared" si="29"/>
        <v>-6.4295676157858049E-3</v>
      </c>
      <c r="W81" s="14">
        <f t="shared" si="30"/>
        <v>-9.7480541271591226E-3</v>
      </c>
      <c r="X81" s="14">
        <f t="shared" si="31"/>
        <v>-3.111081104412486E-3</v>
      </c>
      <c r="Y81" s="12">
        <f t="shared" si="32"/>
        <v>1</v>
      </c>
    </row>
    <row r="82" spans="1:25" x14ac:dyDescent="0.3">
      <c r="A82" s="23"/>
      <c r="B82" s="12">
        <v>78</v>
      </c>
      <c r="C82" s="12">
        <v>6.3</v>
      </c>
      <c r="D82" s="12">
        <v>2.2999999999999998</v>
      </c>
      <c r="E82" s="12">
        <v>4.4000000000000004</v>
      </c>
      <c r="F82" s="12">
        <v>1.3</v>
      </c>
      <c r="G82" s="12">
        <v>1</v>
      </c>
      <c r="I82" s="13">
        <f>I81-('Konfigurasi Model'!$B$11*T81)</f>
        <v>0.22640216558963644</v>
      </c>
      <c r="J82" s="13">
        <f>J81-('Konfigurasi Model'!$B$11*U81)</f>
        <v>-0.38105602332813471</v>
      </c>
      <c r="K82" s="13">
        <f>K81-('Konfigurasi Model'!$B$11*V81)</f>
        <v>-0.58679585106951804</v>
      </c>
      <c r="L82" s="13">
        <f>L81-('Konfigurasi Model'!$B$11*W81)</f>
        <v>1.3079710923543166</v>
      </c>
      <c r="M82" s="13">
        <f>M81-('Konfigurasi Model'!$B$11*X81)</f>
        <v>0.93373122688289578</v>
      </c>
      <c r="N82" s="13">
        <f t="shared" si="22"/>
        <v>3.4450421624692549</v>
      </c>
      <c r="O82" s="13">
        <f t="shared" si="23"/>
        <v>0.96908294287497476</v>
      </c>
      <c r="P82" s="12">
        <f t="shared" si="24"/>
        <v>1</v>
      </c>
      <c r="Q82" s="13">
        <f t="shared" si="25"/>
        <v>-3.0917057125025238E-2</v>
      </c>
      <c r="R82" s="13">
        <f t="shared" si="26"/>
        <v>9.5586442127207382E-4</v>
      </c>
      <c r="T82" s="14">
        <f t="shared" si="27"/>
        <v>-1.852623812711652E-3</v>
      </c>
      <c r="U82" s="14">
        <f t="shared" si="28"/>
        <v>-1.1671530020083407E-2</v>
      </c>
      <c r="V82" s="14">
        <f t="shared" si="29"/>
        <v>-4.2610347692367987E-3</v>
      </c>
      <c r="W82" s="14">
        <f t="shared" si="30"/>
        <v>-8.151544775931269E-3</v>
      </c>
      <c r="X82" s="14">
        <f t="shared" si="31"/>
        <v>-2.4084109565251474E-3</v>
      </c>
      <c r="Y82" s="12">
        <f t="shared" si="32"/>
        <v>1</v>
      </c>
    </row>
    <row r="83" spans="1:25" x14ac:dyDescent="0.3">
      <c r="A83" s="23"/>
      <c r="B83" s="12">
        <v>79</v>
      </c>
      <c r="C83" s="12">
        <v>5.6</v>
      </c>
      <c r="D83" s="12">
        <v>3</v>
      </c>
      <c r="E83" s="12">
        <v>4.0999999999999996</v>
      </c>
      <c r="F83" s="12">
        <v>1.3</v>
      </c>
      <c r="G83" s="12">
        <v>1</v>
      </c>
      <c r="I83" s="13">
        <f>I82-('Konfigurasi Model'!$B$11*T82)</f>
        <v>0.22658742797090761</v>
      </c>
      <c r="J83" s="13">
        <f>J82-('Konfigurasi Model'!$B$11*U82)</f>
        <v>-0.37988887032612639</v>
      </c>
      <c r="K83" s="13">
        <f>K82-('Konfigurasi Model'!$B$11*V82)</f>
        <v>-0.5863697475925943</v>
      </c>
      <c r="L83" s="13">
        <f>L82-('Konfigurasi Model'!$B$11*W82)</f>
        <v>1.3087862468319098</v>
      </c>
      <c r="M83" s="13">
        <f>M82-('Konfigurasi Model'!$B$11*X82)</f>
        <v>0.93397206797854826</v>
      </c>
      <c r="N83" s="13">
        <f t="shared" si="22"/>
        <v>2.9202878117497595</v>
      </c>
      <c r="O83" s="13">
        <f t="shared" si="23"/>
        <v>0.94884027196388498</v>
      </c>
      <c r="P83" s="12">
        <f t="shared" si="24"/>
        <v>1</v>
      </c>
      <c r="Q83" s="13">
        <f t="shared" si="25"/>
        <v>-5.1159728036115015E-2</v>
      </c>
      <c r="R83" s="13">
        <f t="shared" si="26"/>
        <v>2.6173177727292526E-3</v>
      </c>
      <c r="T83" s="14">
        <f t="shared" si="27"/>
        <v>-4.9668330145846672E-3</v>
      </c>
      <c r="U83" s="14">
        <f t="shared" si="28"/>
        <v>-2.7814264881674135E-2</v>
      </c>
      <c r="V83" s="14">
        <f t="shared" si="29"/>
        <v>-1.4900499043754001E-2</v>
      </c>
      <c r="W83" s="14">
        <f t="shared" si="30"/>
        <v>-2.0364015359797132E-2</v>
      </c>
      <c r="X83" s="14">
        <f t="shared" si="31"/>
        <v>-6.4568829189600675E-3</v>
      </c>
      <c r="Y83" s="12">
        <f t="shared" si="32"/>
        <v>1</v>
      </c>
    </row>
    <row r="84" spans="1:25" x14ac:dyDescent="0.3">
      <c r="A84" s="23"/>
      <c r="B84" s="12">
        <v>80</v>
      </c>
      <c r="C84" s="12">
        <v>5.5</v>
      </c>
      <c r="D84" s="12">
        <v>2.5</v>
      </c>
      <c r="E84" s="12">
        <v>4</v>
      </c>
      <c r="F84" s="12">
        <v>1.3</v>
      </c>
      <c r="G84" s="12">
        <v>1</v>
      </c>
      <c r="I84" s="13">
        <f>I83-('Konfigurasi Model'!$B$11*T83)</f>
        <v>0.22708411127236608</v>
      </c>
      <c r="J84" s="13">
        <f>J83-('Konfigurasi Model'!$B$11*U83)</f>
        <v>-0.37710744383795897</v>
      </c>
      <c r="K84" s="13">
        <f>K83-('Konfigurasi Model'!$B$11*V83)</f>
        <v>-0.5848796976882189</v>
      </c>
      <c r="L84" s="13">
        <f>L83-('Konfigurasi Model'!$B$11*W83)</f>
        <v>1.3108226483678895</v>
      </c>
      <c r="M84" s="13">
        <f>M83-('Konfigurasi Model'!$B$11*X83)</f>
        <v>0.9346177562704443</v>
      </c>
      <c r="N84" s="13">
        <f t="shared" si="22"/>
        <v>3.1490876025661798</v>
      </c>
      <c r="O84" s="13">
        <f t="shared" si="23"/>
        <v>0.95887275574281461</v>
      </c>
      <c r="P84" s="12">
        <f t="shared" si="24"/>
        <v>1</v>
      </c>
      <c r="Q84" s="13">
        <f t="shared" si="25"/>
        <v>-4.1127244257185391E-2</v>
      </c>
      <c r="R84" s="13">
        <f t="shared" si="26"/>
        <v>1.6914502201901887E-3</v>
      </c>
      <c r="T84" s="14">
        <f t="shared" si="27"/>
        <v>-3.2437710676711138E-3</v>
      </c>
      <c r="U84" s="14">
        <f t="shared" si="28"/>
        <v>-1.7840740872191126E-2</v>
      </c>
      <c r="V84" s="14">
        <f t="shared" si="29"/>
        <v>-8.109427669177785E-3</v>
      </c>
      <c r="W84" s="14">
        <f t="shared" si="30"/>
        <v>-1.2975084270684455E-2</v>
      </c>
      <c r="X84" s="14">
        <f t="shared" si="31"/>
        <v>-4.2169023879724482E-3</v>
      </c>
      <c r="Y84" s="12">
        <f t="shared" si="32"/>
        <v>1</v>
      </c>
    </row>
    <row r="85" spans="1:25" x14ac:dyDescent="0.3">
      <c r="Q85" s="15" t="s">
        <v>74</v>
      </c>
      <c r="R85" s="16">
        <f>AVERAGE(R5:R84)</f>
        <v>1.0836262608817917E-2</v>
      </c>
      <c r="X85" s="15" t="s">
        <v>75</v>
      </c>
      <c r="Y85" s="17">
        <f>AVERAGE(Y5:Y84)</f>
        <v>1</v>
      </c>
    </row>
    <row r="87" spans="1:25" ht="15.6" x14ac:dyDescent="0.3">
      <c r="A87" s="1" t="s">
        <v>100</v>
      </c>
    </row>
    <row r="88" spans="1:25" x14ac:dyDescent="0.3">
      <c r="G88" s="9" t="s">
        <v>48</v>
      </c>
      <c r="I88" s="25" t="s">
        <v>16</v>
      </c>
      <c r="J88" s="25"/>
      <c r="K88" s="26">
        <f>'Konfigurasi Model'!$B$11</f>
        <v>0.1</v>
      </c>
      <c r="L88" s="26"/>
      <c r="M88" s="26"/>
    </row>
    <row r="89" spans="1:25" ht="15" customHeight="1" x14ac:dyDescent="0.3">
      <c r="G89" s="9" t="s">
        <v>49</v>
      </c>
      <c r="I89" s="24" t="s">
        <v>50</v>
      </c>
      <c r="J89" s="24"/>
      <c r="K89" s="24"/>
      <c r="L89" s="24"/>
      <c r="M89" s="24"/>
      <c r="N89" s="10" t="s">
        <v>51</v>
      </c>
      <c r="O89" s="10" t="s">
        <v>17</v>
      </c>
      <c r="P89" s="24" t="s">
        <v>52</v>
      </c>
      <c r="Q89" s="24" t="s">
        <v>20</v>
      </c>
      <c r="R89" s="24" t="s">
        <v>23</v>
      </c>
    </row>
    <row r="90" spans="1:25" x14ac:dyDescent="0.3">
      <c r="A90" s="10" t="s">
        <v>53</v>
      </c>
      <c r="B90" s="10" t="s">
        <v>54</v>
      </c>
      <c r="C90" s="10" t="s">
        <v>55</v>
      </c>
      <c r="D90" s="10" t="s">
        <v>56</v>
      </c>
      <c r="E90" s="10" t="s">
        <v>57</v>
      </c>
      <c r="F90" s="10" t="s">
        <v>58</v>
      </c>
      <c r="G90" s="10" t="s">
        <v>59</v>
      </c>
      <c r="I90" s="10" t="s">
        <v>60</v>
      </c>
      <c r="J90" s="10" t="s">
        <v>61</v>
      </c>
      <c r="K90" s="10" t="s">
        <v>62</v>
      </c>
      <c r="L90" s="10" t="s">
        <v>63</v>
      </c>
      <c r="M90" s="10" t="s">
        <v>64</v>
      </c>
      <c r="N90" s="10" t="s">
        <v>65</v>
      </c>
      <c r="O90" s="10" t="s">
        <v>66</v>
      </c>
      <c r="P90" s="24"/>
      <c r="Q90" s="24"/>
      <c r="R90" s="24"/>
      <c r="T90" s="10" t="s">
        <v>72</v>
      </c>
    </row>
    <row r="91" spans="1:25" x14ac:dyDescent="0.3">
      <c r="A91" s="23" t="s">
        <v>77</v>
      </c>
      <c r="B91" s="12">
        <v>1</v>
      </c>
      <c r="C91" s="12">
        <v>5</v>
      </c>
      <c r="D91" s="12">
        <v>3.5</v>
      </c>
      <c r="E91" s="12">
        <v>1.3</v>
      </c>
      <c r="F91" s="12">
        <v>0.3</v>
      </c>
      <c r="G91" s="12">
        <v>0</v>
      </c>
      <c r="I91" s="13">
        <f>I84</f>
        <v>0.22708411127236608</v>
      </c>
      <c r="J91" s="13">
        <f>J84</f>
        <v>-0.37710744383795897</v>
      </c>
      <c r="K91" s="13">
        <f>K84</f>
        <v>-0.5848796976882189</v>
      </c>
      <c r="L91" s="13">
        <f>L84</f>
        <v>1.3108226483678895</v>
      </c>
      <c r="M91" s="13">
        <f>M84</f>
        <v>0.9346177562704443</v>
      </c>
      <c r="N91" s="13">
        <f t="shared" ref="N91:N110" si="33">I91+J91*C91+K91*D91+L91*E91+M91*F91</f>
        <v>-1.721077280066805</v>
      </c>
      <c r="O91" s="13">
        <f t="shared" ref="O91:O110" si="34">1/(1+EXP(-N91))</f>
        <v>0.15173245521640974</v>
      </c>
      <c r="P91" s="12">
        <f t="shared" ref="P91:P110" si="35">IF(O91&gt;0.5,1,0)</f>
        <v>0</v>
      </c>
      <c r="Q91" s="13">
        <f t="shared" ref="Q91:Q110" si="36">O91-G91</f>
        <v>0.15173245521640974</v>
      </c>
      <c r="R91" s="13">
        <f t="shared" ref="R91:R110" si="37">Q91^2</f>
        <v>2.3022737965999789E-2</v>
      </c>
      <c r="T91" s="12">
        <f t="shared" ref="T91:T110" si="38">IF(P91=G91,1,0)</f>
        <v>1</v>
      </c>
    </row>
    <row r="92" spans="1:25" x14ac:dyDescent="0.3">
      <c r="A92" s="23"/>
      <c r="B92" s="12">
        <v>2</v>
      </c>
      <c r="C92" s="12">
        <v>4.5</v>
      </c>
      <c r="D92" s="12">
        <v>2.2999999999999998</v>
      </c>
      <c r="E92" s="12">
        <v>1.3</v>
      </c>
      <c r="F92" s="12">
        <v>0.3</v>
      </c>
      <c r="G92" s="12">
        <v>0</v>
      </c>
      <c r="I92" s="13">
        <f t="shared" ref="I92:I110" si="39">I91</f>
        <v>0.22708411127236608</v>
      </c>
      <c r="J92" s="13">
        <f t="shared" ref="J92:J110" si="40">J91</f>
        <v>-0.37710744383795897</v>
      </c>
      <c r="K92" s="13">
        <f t="shared" ref="K92:K110" si="41">K91</f>
        <v>-0.5848796976882189</v>
      </c>
      <c r="L92" s="13">
        <f t="shared" ref="L92:L110" si="42">L91</f>
        <v>1.3108226483678895</v>
      </c>
      <c r="M92" s="13">
        <f t="shared" ref="M92:M110" si="43">M91</f>
        <v>0.9346177562704443</v>
      </c>
      <c r="N92" s="13">
        <f t="shared" si="33"/>
        <v>-0.83066792092196307</v>
      </c>
      <c r="O92" s="13">
        <f t="shared" si="34"/>
        <v>0.30350386033431542</v>
      </c>
      <c r="P92" s="12">
        <f t="shared" si="35"/>
        <v>0</v>
      </c>
      <c r="Q92" s="13">
        <f t="shared" si="36"/>
        <v>0.30350386033431542</v>
      </c>
      <c r="R92" s="13">
        <f t="shared" si="37"/>
        <v>9.2114593237831638E-2</v>
      </c>
      <c r="T92" s="12">
        <f t="shared" si="38"/>
        <v>1</v>
      </c>
    </row>
    <row r="93" spans="1:25" x14ac:dyDescent="0.3">
      <c r="A93" s="23"/>
      <c r="B93" s="12">
        <v>3</v>
      </c>
      <c r="C93" s="12">
        <v>4.4000000000000004</v>
      </c>
      <c r="D93" s="12">
        <v>3.2</v>
      </c>
      <c r="E93" s="12">
        <v>1.3</v>
      </c>
      <c r="F93" s="12">
        <v>0.2</v>
      </c>
      <c r="G93" s="12">
        <v>0</v>
      </c>
      <c r="I93" s="13">
        <f t="shared" si="39"/>
        <v>0.22708411127236608</v>
      </c>
      <c r="J93" s="13">
        <f t="shared" si="40"/>
        <v>-0.37710744383795897</v>
      </c>
      <c r="K93" s="13">
        <f t="shared" si="41"/>
        <v>-0.5848796976882189</v>
      </c>
      <c r="L93" s="13">
        <f t="shared" si="42"/>
        <v>1.3108226483678895</v>
      </c>
      <c r="M93" s="13">
        <f t="shared" si="43"/>
        <v>0.9346177562704443</v>
      </c>
      <c r="N93" s="13">
        <f t="shared" si="33"/>
        <v>-1.4128106800846094</v>
      </c>
      <c r="O93" s="13">
        <f t="shared" si="34"/>
        <v>0.19579111680037972</v>
      </c>
      <c r="P93" s="12">
        <f t="shared" si="35"/>
        <v>0</v>
      </c>
      <c r="Q93" s="13">
        <f t="shared" si="36"/>
        <v>0.19579111680037972</v>
      </c>
      <c r="R93" s="13">
        <f t="shared" si="37"/>
        <v>3.8334161417939931E-2</v>
      </c>
      <c r="T93" s="12">
        <f t="shared" si="38"/>
        <v>1</v>
      </c>
    </row>
    <row r="94" spans="1:25" x14ac:dyDescent="0.3">
      <c r="A94" s="23"/>
      <c r="B94" s="12">
        <v>4</v>
      </c>
      <c r="C94" s="12">
        <v>5</v>
      </c>
      <c r="D94" s="12">
        <v>3.5</v>
      </c>
      <c r="E94" s="12">
        <v>1.6</v>
      </c>
      <c r="F94" s="12">
        <v>0.6</v>
      </c>
      <c r="G94" s="12">
        <v>0</v>
      </c>
      <c r="I94" s="13">
        <f t="shared" si="39"/>
        <v>0.22708411127236608</v>
      </c>
      <c r="J94" s="13">
        <f t="shared" si="40"/>
        <v>-0.37710744383795897</v>
      </c>
      <c r="K94" s="13">
        <f t="shared" si="41"/>
        <v>-0.5848796976882189</v>
      </c>
      <c r="L94" s="13">
        <f t="shared" si="42"/>
        <v>1.3108226483678895</v>
      </c>
      <c r="M94" s="13">
        <f t="shared" si="43"/>
        <v>0.9346177562704443</v>
      </c>
      <c r="N94" s="13">
        <f t="shared" si="33"/>
        <v>-1.0474451586753049</v>
      </c>
      <c r="O94" s="13">
        <f t="shared" si="34"/>
        <v>0.25971600218414193</v>
      </c>
      <c r="P94" s="12">
        <f t="shared" si="35"/>
        <v>0</v>
      </c>
      <c r="Q94" s="13">
        <f t="shared" si="36"/>
        <v>0.25971600218414193</v>
      </c>
      <c r="R94" s="13">
        <f t="shared" si="37"/>
        <v>6.7452401790513219E-2</v>
      </c>
      <c r="T94" s="12">
        <f t="shared" si="38"/>
        <v>1</v>
      </c>
    </row>
    <row r="95" spans="1:25" x14ac:dyDescent="0.3">
      <c r="A95" s="23"/>
      <c r="B95" s="12">
        <v>5</v>
      </c>
      <c r="C95" s="12">
        <v>5.0999999999999996</v>
      </c>
      <c r="D95" s="12">
        <v>3.8</v>
      </c>
      <c r="E95" s="12">
        <v>1.9</v>
      </c>
      <c r="F95" s="12">
        <v>0.4</v>
      </c>
      <c r="G95" s="12">
        <v>0</v>
      </c>
      <c r="I95" s="13">
        <f t="shared" si="39"/>
        <v>0.22708411127236608</v>
      </c>
      <c r="J95" s="13">
        <f t="shared" si="40"/>
        <v>-0.37710744383795897</v>
      </c>
      <c r="K95" s="13">
        <f t="shared" si="41"/>
        <v>-0.5848796976882189</v>
      </c>
      <c r="L95" s="13">
        <f t="shared" si="42"/>
        <v>1.3108226483678895</v>
      </c>
      <c r="M95" s="13">
        <f t="shared" si="43"/>
        <v>0.9346177562704443</v>
      </c>
      <c r="N95" s="13">
        <f t="shared" si="33"/>
        <v>-1.0542965691092887</v>
      </c>
      <c r="O95" s="13">
        <f t="shared" si="34"/>
        <v>0.25840089553020823</v>
      </c>
      <c r="P95" s="12">
        <f t="shared" si="35"/>
        <v>0</v>
      </c>
      <c r="Q95" s="13">
        <f t="shared" si="36"/>
        <v>0.25840089553020823</v>
      </c>
      <c r="R95" s="13">
        <f t="shared" si="37"/>
        <v>6.6771022810813582E-2</v>
      </c>
      <c r="T95" s="12">
        <f t="shared" si="38"/>
        <v>1</v>
      </c>
    </row>
    <row r="96" spans="1:25" x14ac:dyDescent="0.3">
      <c r="A96" s="23"/>
      <c r="B96" s="12">
        <v>6</v>
      </c>
      <c r="C96" s="12">
        <v>4.8</v>
      </c>
      <c r="D96" s="12">
        <v>3</v>
      </c>
      <c r="E96" s="12">
        <v>1.4</v>
      </c>
      <c r="F96" s="12">
        <v>0.3</v>
      </c>
      <c r="G96" s="12">
        <v>0</v>
      </c>
      <c r="I96" s="13">
        <f t="shared" si="39"/>
        <v>0.22708411127236608</v>
      </c>
      <c r="J96" s="13">
        <f t="shared" si="40"/>
        <v>-0.37710744383795897</v>
      </c>
      <c r="K96" s="13">
        <f t="shared" si="41"/>
        <v>-0.5848796976882189</v>
      </c>
      <c r="L96" s="13">
        <f t="shared" si="42"/>
        <v>1.3108226483678895</v>
      </c>
      <c r="M96" s="13">
        <f t="shared" si="43"/>
        <v>0.9346177562704443</v>
      </c>
      <c r="N96" s="13">
        <f t="shared" si="33"/>
        <v>-1.2221336776183152</v>
      </c>
      <c r="O96" s="13">
        <f t="shared" si="34"/>
        <v>0.22756118093016006</v>
      </c>
      <c r="P96" s="12">
        <f t="shared" si="35"/>
        <v>0</v>
      </c>
      <c r="Q96" s="13">
        <f t="shared" si="36"/>
        <v>0.22756118093016006</v>
      </c>
      <c r="R96" s="13">
        <f t="shared" si="37"/>
        <v>5.1784091066329044E-2</v>
      </c>
      <c r="T96" s="12">
        <f t="shared" si="38"/>
        <v>1</v>
      </c>
    </row>
    <row r="97" spans="1:20" x14ac:dyDescent="0.3">
      <c r="A97" s="23"/>
      <c r="B97" s="12">
        <v>7</v>
      </c>
      <c r="C97" s="12">
        <v>5.0999999999999996</v>
      </c>
      <c r="D97" s="12">
        <v>3.8</v>
      </c>
      <c r="E97" s="12">
        <v>1.6</v>
      </c>
      <c r="F97" s="12">
        <v>0.2</v>
      </c>
      <c r="G97" s="12">
        <v>0</v>
      </c>
      <c r="I97" s="13">
        <f t="shared" si="39"/>
        <v>0.22708411127236608</v>
      </c>
      <c r="J97" s="13">
        <f t="shared" si="40"/>
        <v>-0.37710744383795897</v>
      </c>
      <c r="K97" s="13">
        <f t="shared" si="41"/>
        <v>-0.5848796976882189</v>
      </c>
      <c r="L97" s="13">
        <f t="shared" si="42"/>
        <v>1.3108226483678895</v>
      </c>
      <c r="M97" s="13">
        <f t="shared" si="43"/>
        <v>0.9346177562704443</v>
      </c>
      <c r="N97" s="13">
        <f t="shared" si="33"/>
        <v>-1.6344669148737445</v>
      </c>
      <c r="O97" s="13">
        <f t="shared" si="34"/>
        <v>0.16321935719586145</v>
      </c>
      <c r="P97" s="12">
        <f t="shared" si="35"/>
        <v>0</v>
      </c>
      <c r="Q97" s="13">
        <f t="shared" si="36"/>
        <v>0.16321935719586145</v>
      </c>
      <c r="R97" s="13">
        <f t="shared" si="37"/>
        <v>2.6640558563430207E-2</v>
      </c>
      <c r="T97" s="12">
        <f t="shared" si="38"/>
        <v>1</v>
      </c>
    </row>
    <row r="98" spans="1:20" x14ac:dyDescent="0.3">
      <c r="A98" s="23"/>
      <c r="B98" s="12">
        <v>8</v>
      </c>
      <c r="C98" s="12">
        <v>4.5999999999999996</v>
      </c>
      <c r="D98" s="12">
        <v>3.2</v>
      </c>
      <c r="E98" s="12">
        <v>1.4</v>
      </c>
      <c r="F98" s="12">
        <v>0.2</v>
      </c>
      <c r="G98" s="12">
        <v>0</v>
      </c>
      <c r="I98" s="13">
        <f t="shared" si="39"/>
        <v>0.22708411127236608</v>
      </c>
      <c r="J98" s="13">
        <f t="shared" si="40"/>
        <v>-0.37710744383795897</v>
      </c>
      <c r="K98" s="13">
        <f t="shared" si="41"/>
        <v>-0.5848796976882189</v>
      </c>
      <c r="L98" s="13">
        <f t="shared" si="42"/>
        <v>1.3108226483678895</v>
      </c>
      <c r="M98" s="13">
        <f t="shared" si="43"/>
        <v>0.9346177562704443</v>
      </c>
      <c r="N98" s="13">
        <f t="shared" si="33"/>
        <v>-1.3571499040154116</v>
      </c>
      <c r="O98" s="13">
        <f t="shared" si="34"/>
        <v>0.2047039080371866</v>
      </c>
      <c r="P98" s="12">
        <f t="shared" si="35"/>
        <v>0</v>
      </c>
      <c r="Q98" s="13">
        <f t="shared" si="36"/>
        <v>0.2047039080371866</v>
      </c>
      <c r="R98" s="13">
        <f t="shared" si="37"/>
        <v>4.1903689965696954E-2</v>
      </c>
      <c r="T98" s="12">
        <f t="shared" si="38"/>
        <v>1</v>
      </c>
    </row>
    <row r="99" spans="1:20" x14ac:dyDescent="0.3">
      <c r="A99" s="23"/>
      <c r="B99" s="12">
        <v>9</v>
      </c>
      <c r="C99" s="12">
        <v>5.3</v>
      </c>
      <c r="D99" s="12">
        <v>3.7</v>
      </c>
      <c r="E99" s="12">
        <v>1.5</v>
      </c>
      <c r="F99" s="12">
        <v>0.2</v>
      </c>
      <c r="G99" s="12">
        <v>0</v>
      </c>
      <c r="I99" s="13">
        <f t="shared" si="39"/>
        <v>0.22708411127236608</v>
      </c>
      <c r="J99" s="13">
        <f t="shared" si="40"/>
        <v>-0.37710744383795897</v>
      </c>
      <c r="K99" s="13">
        <f t="shared" si="41"/>
        <v>-0.5848796976882189</v>
      </c>
      <c r="L99" s="13">
        <f t="shared" si="42"/>
        <v>1.3108226483678895</v>
      </c>
      <c r="M99" s="13">
        <f t="shared" si="43"/>
        <v>0.9346177562704443</v>
      </c>
      <c r="N99" s="13">
        <f t="shared" si="33"/>
        <v>-1.7824826987093036</v>
      </c>
      <c r="O99" s="13">
        <f t="shared" si="34"/>
        <v>0.14399684174090413</v>
      </c>
      <c r="P99" s="12">
        <f t="shared" si="35"/>
        <v>0</v>
      </c>
      <c r="Q99" s="13">
        <f t="shared" si="36"/>
        <v>0.14399684174090413</v>
      </c>
      <c r="R99" s="13">
        <f t="shared" si="37"/>
        <v>2.0735090431354991E-2</v>
      </c>
      <c r="T99" s="12">
        <f t="shared" si="38"/>
        <v>1</v>
      </c>
    </row>
    <row r="100" spans="1:20" x14ac:dyDescent="0.3">
      <c r="A100" s="23"/>
      <c r="B100" s="12">
        <v>10</v>
      </c>
      <c r="C100" s="12">
        <v>5</v>
      </c>
      <c r="D100" s="12">
        <v>3.3</v>
      </c>
      <c r="E100" s="12">
        <v>1.4</v>
      </c>
      <c r="F100" s="12">
        <v>0.2</v>
      </c>
      <c r="G100" s="12">
        <v>0</v>
      </c>
      <c r="I100" s="13">
        <f t="shared" si="39"/>
        <v>0.22708411127236608</v>
      </c>
      <c r="J100" s="13">
        <f t="shared" si="40"/>
        <v>-0.37710744383795897</v>
      </c>
      <c r="K100" s="13">
        <f t="shared" si="41"/>
        <v>-0.5848796976882189</v>
      </c>
      <c r="L100" s="13">
        <f t="shared" si="42"/>
        <v>1.3108226483678895</v>
      </c>
      <c r="M100" s="13">
        <f t="shared" si="43"/>
        <v>0.9346177562704443</v>
      </c>
      <c r="N100" s="13">
        <f t="shared" si="33"/>
        <v>-1.5664808513194171</v>
      </c>
      <c r="O100" s="13">
        <f t="shared" si="34"/>
        <v>0.17271865305096787</v>
      </c>
      <c r="P100" s="12">
        <f t="shared" si="35"/>
        <v>0</v>
      </c>
      <c r="Q100" s="13">
        <f t="shared" si="36"/>
        <v>0.17271865305096787</v>
      </c>
      <c r="R100" s="13">
        <f t="shared" si="37"/>
        <v>2.9831733111740612E-2</v>
      </c>
      <c r="T100" s="12">
        <f t="shared" si="38"/>
        <v>1</v>
      </c>
    </row>
    <row r="101" spans="1:20" x14ac:dyDescent="0.3">
      <c r="A101" s="23"/>
      <c r="B101" s="12">
        <v>11</v>
      </c>
      <c r="C101" s="12">
        <v>5.5</v>
      </c>
      <c r="D101" s="12">
        <v>2.6</v>
      </c>
      <c r="E101" s="12">
        <v>4.4000000000000004</v>
      </c>
      <c r="F101" s="12">
        <v>1.2</v>
      </c>
      <c r="G101" s="12">
        <v>1</v>
      </c>
      <c r="I101" s="13">
        <f t="shared" si="39"/>
        <v>0.22708411127236608</v>
      </c>
      <c r="J101" s="13">
        <f t="shared" si="40"/>
        <v>-0.37710744383795897</v>
      </c>
      <c r="K101" s="13">
        <f t="shared" si="41"/>
        <v>-0.5848796976882189</v>
      </c>
      <c r="L101" s="13">
        <f t="shared" si="42"/>
        <v>1.3108226483678895</v>
      </c>
      <c r="M101" s="13">
        <f t="shared" si="43"/>
        <v>0.9346177562704443</v>
      </c>
      <c r="N101" s="13">
        <f t="shared" si="33"/>
        <v>3.5214669165174697</v>
      </c>
      <c r="O101" s="13">
        <f t="shared" si="34"/>
        <v>0.97129243504329366</v>
      </c>
      <c r="P101" s="12">
        <f t="shared" si="35"/>
        <v>1</v>
      </c>
      <c r="Q101" s="13">
        <f t="shared" si="36"/>
        <v>-2.8707564956706344E-2</v>
      </c>
      <c r="R101" s="13">
        <f t="shared" si="37"/>
        <v>8.2412428574351411E-4</v>
      </c>
      <c r="T101" s="12">
        <f t="shared" si="38"/>
        <v>1</v>
      </c>
    </row>
    <row r="102" spans="1:20" x14ac:dyDescent="0.3">
      <c r="A102" s="23"/>
      <c r="B102" s="12">
        <v>12</v>
      </c>
      <c r="C102" s="12">
        <v>6.1</v>
      </c>
      <c r="D102" s="12">
        <v>3</v>
      </c>
      <c r="E102" s="12">
        <v>4.5999999999999996</v>
      </c>
      <c r="F102" s="12">
        <v>1.4</v>
      </c>
      <c r="G102" s="12">
        <v>1</v>
      </c>
      <c r="I102" s="13">
        <f t="shared" si="39"/>
        <v>0.22708411127236608</v>
      </c>
      <c r="J102" s="13">
        <f t="shared" si="40"/>
        <v>-0.37710744383795897</v>
      </c>
      <c r="K102" s="13">
        <f t="shared" si="41"/>
        <v>-0.5848796976882189</v>
      </c>
      <c r="L102" s="13">
        <f t="shared" si="42"/>
        <v>1.3108226483678895</v>
      </c>
      <c r="M102" s="13">
        <f t="shared" si="43"/>
        <v>0.9346177562704443</v>
      </c>
      <c r="N102" s="13">
        <f t="shared" si="33"/>
        <v>3.5103386520670736</v>
      </c>
      <c r="O102" s="13">
        <f t="shared" si="34"/>
        <v>0.97098050800737046</v>
      </c>
      <c r="P102" s="12">
        <f t="shared" si="35"/>
        <v>1</v>
      </c>
      <c r="Q102" s="13">
        <f t="shared" si="36"/>
        <v>-2.9019491992629542E-2</v>
      </c>
      <c r="R102" s="13">
        <f t="shared" si="37"/>
        <v>8.4213091551029015E-4</v>
      </c>
      <c r="T102" s="12">
        <f t="shared" si="38"/>
        <v>1</v>
      </c>
    </row>
    <row r="103" spans="1:20" x14ac:dyDescent="0.3">
      <c r="A103" s="23"/>
      <c r="B103" s="12">
        <v>13</v>
      </c>
      <c r="C103" s="12">
        <v>5.8</v>
      </c>
      <c r="D103" s="12">
        <v>2.6</v>
      </c>
      <c r="E103" s="12">
        <v>4</v>
      </c>
      <c r="F103" s="12">
        <v>1.2</v>
      </c>
      <c r="G103" s="12">
        <v>1</v>
      </c>
      <c r="I103" s="13">
        <f t="shared" si="39"/>
        <v>0.22708411127236608</v>
      </c>
      <c r="J103" s="13">
        <f t="shared" si="40"/>
        <v>-0.37710744383795897</v>
      </c>
      <c r="K103" s="13">
        <f t="shared" si="41"/>
        <v>-0.5848796976882189</v>
      </c>
      <c r="L103" s="13">
        <f t="shared" si="42"/>
        <v>1.3108226483678895</v>
      </c>
      <c r="M103" s="13">
        <f t="shared" si="43"/>
        <v>0.9346177562704443</v>
      </c>
      <c r="N103" s="13">
        <f t="shared" si="33"/>
        <v>2.884005624018926</v>
      </c>
      <c r="O103" s="13">
        <f t="shared" si="34"/>
        <v>0.94705009056231437</v>
      </c>
      <c r="P103" s="12">
        <f t="shared" si="35"/>
        <v>1</v>
      </c>
      <c r="Q103" s="13">
        <f t="shared" si="36"/>
        <v>-5.2949909437685627E-2</v>
      </c>
      <c r="R103" s="13">
        <f t="shared" si="37"/>
        <v>2.8036929094591096E-3</v>
      </c>
      <c r="T103" s="12">
        <f t="shared" si="38"/>
        <v>1</v>
      </c>
    </row>
    <row r="104" spans="1:20" x14ac:dyDescent="0.3">
      <c r="A104" s="23"/>
      <c r="B104" s="12">
        <v>14</v>
      </c>
      <c r="C104" s="12">
        <v>5</v>
      </c>
      <c r="D104" s="12">
        <v>2.2999999999999998</v>
      </c>
      <c r="E104" s="12">
        <v>3.3</v>
      </c>
      <c r="F104" s="12">
        <v>1</v>
      </c>
      <c r="G104" s="12">
        <v>1</v>
      </c>
      <c r="I104" s="13">
        <f t="shared" si="39"/>
        <v>0.22708411127236608</v>
      </c>
      <c r="J104" s="13">
        <f t="shared" si="40"/>
        <v>-0.37710744383795897</v>
      </c>
      <c r="K104" s="13">
        <f t="shared" si="41"/>
        <v>-0.5848796976882189</v>
      </c>
      <c r="L104" s="13">
        <f t="shared" si="42"/>
        <v>1.3108226483678895</v>
      </c>
      <c r="M104" s="13">
        <f t="shared" si="43"/>
        <v>0.9346177562704443</v>
      </c>
      <c r="N104" s="13">
        <f t="shared" si="33"/>
        <v>2.2566560832841476</v>
      </c>
      <c r="O104" s="13">
        <f t="shared" si="34"/>
        <v>0.90522313082676042</v>
      </c>
      <c r="P104" s="12">
        <f t="shared" si="35"/>
        <v>1</v>
      </c>
      <c r="Q104" s="13">
        <f t="shared" si="36"/>
        <v>-9.4776869173239575E-2</v>
      </c>
      <c r="R104" s="13">
        <f t="shared" si="37"/>
        <v>8.9826549302813707E-3</v>
      </c>
      <c r="T104" s="12">
        <f t="shared" si="38"/>
        <v>1</v>
      </c>
    </row>
    <row r="105" spans="1:20" x14ac:dyDescent="0.3">
      <c r="A105" s="23"/>
      <c r="B105" s="12">
        <v>15</v>
      </c>
      <c r="C105" s="12">
        <v>5.6</v>
      </c>
      <c r="D105" s="12">
        <v>2.7</v>
      </c>
      <c r="E105" s="12">
        <v>4.2</v>
      </c>
      <c r="F105" s="12">
        <v>1.3</v>
      </c>
      <c r="G105" s="12">
        <v>1</v>
      </c>
      <c r="I105" s="13">
        <f t="shared" si="39"/>
        <v>0.22708411127236608</v>
      </c>
      <c r="J105" s="13">
        <f t="shared" si="40"/>
        <v>-0.37710744383795897</v>
      </c>
      <c r="K105" s="13">
        <f t="shared" si="41"/>
        <v>-0.5848796976882189</v>
      </c>
      <c r="L105" s="13">
        <f t="shared" si="42"/>
        <v>1.3108226483678895</v>
      </c>
      <c r="M105" s="13">
        <f t="shared" si="43"/>
        <v>0.9346177562704443</v>
      </c>
      <c r="N105" s="13">
        <f t="shared" si="33"/>
        <v>3.2565654483183186</v>
      </c>
      <c r="O105" s="13">
        <f t="shared" si="34"/>
        <v>0.96290831747302863</v>
      </c>
      <c r="P105" s="12">
        <f t="shared" si="35"/>
        <v>1</v>
      </c>
      <c r="Q105" s="13">
        <f t="shared" si="36"/>
        <v>-3.709168252697137E-2</v>
      </c>
      <c r="R105" s="13">
        <f t="shared" si="37"/>
        <v>1.3757929126816332E-3</v>
      </c>
      <c r="T105" s="12">
        <f t="shared" si="38"/>
        <v>1</v>
      </c>
    </row>
    <row r="106" spans="1:20" x14ac:dyDescent="0.3">
      <c r="A106" s="23"/>
      <c r="B106" s="12">
        <v>16</v>
      </c>
      <c r="C106" s="12">
        <v>5.7</v>
      </c>
      <c r="D106" s="12">
        <v>3</v>
      </c>
      <c r="E106" s="12">
        <v>4.2</v>
      </c>
      <c r="F106" s="12">
        <v>1.2</v>
      </c>
      <c r="G106" s="12">
        <v>1</v>
      </c>
      <c r="I106" s="13">
        <f t="shared" si="39"/>
        <v>0.22708411127236608</v>
      </c>
      <c r="J106" s="13">
        <f t="shared" si="40"/>
        <v>-0.37710744383795897</v>
      </c>
      <c r="K106" s="13">
        <f t="shared" si="41"/>
        <v>-0.5848796976882189</v>
      </c>
      <c r="L106" s="13">
        <f t="shared" si="42"/>
        <v>1.3108226483678895</v>
      </c>
      <c r="M106" s="13">
        <f t="shared" si="43"/>
        <v>0.9346177562704443</v>
      </c>
      <c r="N106" s="13">
        <f t="shared" si="33"/>
        <v>2.9499290190010128</v>
      </c>
      <c r="O106" s="13">
        <f t="shared" si="34"/>
        <v>0.9502601335741041</v>
      </c>
      <c r="P106" s="12">
        <f t="shared" si="35"/>
        <v>1</v>
      </c>
      <c r="Q106" s="13">
        <f t="shared" si="36"/>
        <v>-4.9739866425895896E-2</v>
      </c>
      <c r="R106" s="13">
        <f t="shared" si="37"/>
        <v>2.4740543120659658E-3</v>
      </c>
      <c r="T106" s="12">
        <f t="shared" si="38"/>
        <v>1</v>
      </c>
    </row>
    <row r="107" spans="1:20" x14ac:dyDescent="0.3">
      <c r="A107" s="23"/>
      <c r="B107" s="12">
        <v>17</v>
      </c>
      <c r="C107" s="12">
        <v>5.7</v>
      </c>
      <c r="D107" s="12">
        <v>2.9</v>
      </c>
      <c r="E107" s="12">
        <v>4.2</v>
      </c>
      <c r="F107" s="12">
        <v>1.3</v>
      </c>
      <c r="G107" s="12">
        <v>1</v>
      </c>
      <c r="I107" s="13">
        <f t="shared" si="39"/>
        <v>0.22708411127236608</v>
      </c>
      <c r="J107" s="13">
        <f t="shared" si="40"/>
        <v>-0.37710744383795897</v>
      </c>
      <c r="K107" s="13">
        <f t="shared" si="41"/>
        <v>-0.5848796976882189</v>
      </c>
      <c r="L107" s="13">
        <f t="shared" si="42"/>
        <v>1.3108226483678895</v>
      </c>
      <c r="M107" s="13">
        <f t="shared" si="43"/>
        <v>0.9346177562704443</v>
      </c>
      <c r="N107" s="13">
        <f t="shared" si="33"/>
        <v>3.1018787643968793</v>
      </c>
      <c r="O107" s="13">
        <f t="shared" si="34"/>
        <v>0.95697017575936938</v>
      </c>
      <c r="P107" s="12">
        <f t="shared" si="35"/>
        <v>1</v>
      </c>
      <c r="Q107" s="13">
        <f t="shared" si="36"/>
        <v>-4.3029824240630621E-2</v>
      </c>
      <c r="R107" s="13">
        <f t="shared" si="37"/>
        <v>1.8515657741795626E-3</v>
      </c>
      <c r="T107" s="12">
        <f t="shared" si="38"/>
        <v>1</v>
      </c>
    </row>
    <row r="108" spans="1:20" x14ac:dyDescent="0.3">
      <c r="A108" s="23"/>
      <c r="B108" s="12">
        <v>18</v>
      </c>
      <c r="C108" s="12">
        <v>6.2</v>
      </c>
      <c r="D108" s="12">
        <v>2.9</v>
      </c>
      <c r="E108" s="12">
        <v>4.3</v>
      </c>
      <c r="F108" s="12">
        <v>1.3</v>
      </c>
      <c r="G108" s="12">
        <v>1</v>
      </c>
      <c r="I108" s="13">
        <f t="shared" si="39"/>
        <v>0.22708411127236608</v>
      </c>
      <c r="J108" s="13">
        <f t="shared" si="40"/>
        <v>-0.37710744383795897</v>
      </c>
      <c r="K108" s="13">
        <f t="shared" si="41"/>
        <v>-0.5848796976882189</v>
      </c>
      <c r="L108" s="13">
        <f t="shared" si="42"/>
        <v>1.3108226483678895</v>
      </c>
      <c r="M108" s="13">
        <f t="shared" si="43"/>
        <v>0.9346177562704443</v>
      </c>
      <c r="N108" s="13">
        <f t="shared" si="33"/>
        <v>3.044407307314688</v>
      </c>
      <c r="O108" s="13">
        <f t="shared" si="34"/>
        <v>0.95454045895637929</v>
      </c>
      <c r="P108" s="12">
        <f t="shared" si="35"/>
        <v>1</v>
      </c>
      <c r="Q108" s="13">
        <f t="shared" si="36"/>
        <v>-4.545954104362071E-2</v>
      </c>
      <c r="R108" s="13">
        <f t="shared" si="37"/>
        <v>2.0665698718966359E-3</v>
      </c>
      <c r="T108" s="12">
        <f t="shared" si="38"/>
        <v>1</v>
      </c>
    </row>
    <row r="109" spans="1:20" x14ac:dyDescent="0.3">
      <c r="A109" s="23"/>
      <c r="B109" s="12">
        <v>19</v>
      </c>
      <c r="C109" s="12">
        <v>5.0999999999999996</v>
      </c>
      <c r="D109" s="12">
        <v>2.5</v>
      </c>
      <c r="E109" s="12">
        <v>3</v>
      </c>
      <c r="F109" s="12">
        <v>1.1000000000000001</v>
      </c>
      <c r="G109" s="12">
        <v>1</v>
      </c>
      <c r="I109" s="13">
        <f t="shared" si="39"/>
        <v>0.22708411127236608</v>
      </c>
      <c r="J109" s="13">
        <f t="shared" si="40"/>
        <v>-0.37710744383795897</v>
      </c>
      <c r="K109" s="13">
        <f t="shared" si="41"/>
        <v>-0.5848796976882189</v>
      </c>
      <c r="L109" s="13">
        <f t="shared" si="42"/>
        <v>1.3108226483678895</v>
      </c>
      <c r="M109" s="13">
        <f t="shared" si="43"/>
        <v>0.9346177562704443</v>
      </c>
      <c r="N109" s="13">
        <f t="shared" si="33"/>
        <v>1.8021843804793856</v>
      </c>
      <c r="O109" s="13">
        <f t="shared" si="34"/>
        <v>0.85841463032626841</v>
      </c>
      <c r="P109" s="12">
        <f t="shared" si="35"/>
        <v>1</v>
      </c>
      <c r="Q109" s="13">
        <f t="shared" si="36"/>
        <v>-0.14158536967373159</v>
      </c>
      <c r="R109" s="13">
        <f t="shared" si="37"/>
        <v>2.0046416905647232E-2</v>
      </c>
      <c r="T109" s="12">
        <f t="shared" si="38"/>
        <v>1</v>
      </c>
    </row>
    <row r="110" spans="1:20" x14ac:dyDescent="0.3">
      <c r="A110" s="23"/>
      <c r="B110" s="12">
        <v>20</v>
      </c>
      <c r="C110" s="12">
        <v>5.7</v>
      </c>
      <c r="D110" s="12">
        <v>2.8</v>
      </c>
      <c r="E110" s="12">
        <v>4.0999999999999996</v>
      </c>
      <c r="F110" s="12">
        <v>1.3</v>
      </c>
      <c r="G110" s="12">
        <v>1</v>
      </c>
      <c r="I110" s="13">
        <f t="shared" si="39"/>
        <v>0.22708411127236608</v>
      </c>
      <c r="J110" s="13">
        <f t="shared" si="40"/>
        <v>-0.37710744383795897</v>
      </c>
      <c r="K110" s="13">
        <f t="shared" si="41"/>
        <v>-0.5848796976882189</v>
      </c>
      <c r="L110" s="13">
        <f t="shared" si="42"/>
        <v>1.3108226483678895</v>
      </c>
      <c r="M110" s="13">
        <f t="shared" si="43"/>
        <v>0.9346177562704443</v>
      </c>
      <c r="N110" s="13">
        <f t="shared" si="33"/>
        <v>3.0292844693289114</v>
      </c>
      <c r="O110" s="13">
        <f t="shared" si="34"/>
        <v>0.95387970469015093</v>
      </c>
      <c r="P110" s="12">
        <f t="shared" si="35"/>
        <v>1</v>
      </c>
      <c r="Q110" s="13">
        <f t="shared" si="36"/>
        <v>-4.6120295309849069E-2</v>
      </c>
      <c r="R110" s="13">
        <f t="shared" si="37"/>
        <v>2.1270816394676861E-3</v>
      </c>
      <c r="T110" s="12">
        <f t="shared" si="38"/>
        <v>1</v>
      </c>
    </row>
    <row r="111" spans="1:20" x14ac:dyDescent="0.3">
      <c r="Q111" s="15" t="s">
        <v>74</v>
      </c>
      <c r="R111" s="16">
        <f>AVERAGE(R91:R110)</f>
        <v>2.5099208240929149E-2</v>
      </c>
      <c r="T111" s="17">
        <f>AVERAGE(T91:T110)</f>
        <v>1</v>
      </c>
    </row>
    <row r="113" spans="1:10" x14ac:dyDescent="0.3">
      <c r="A113" s="2" t="s">
        <v>78</v>
      </c>
      <c r="I113" s="2" t="s">
        <v>79</v>
      </c>
    </row>
    <row r="114" spans="1:10" x14ac:dyDescent="0.3">
      <c r="C114" s="7" t="s">
        <v>52</v>
      </c>
      <c r="I114" s="10" t="s">
        <v>80</v>
      </c>
      <c r="J114" s="10" t="s">
        <v>81</v>
      </c>
    </row>
    <row r="115" spans="1:10" ht="28.8" x14ac:dyDescent="0.3">
      <c r="C115" s="10" t="s">
        <v>82</v>
      </c>
      <c r="D115" s="10" t="s">
        <v>83</v>
      </c>
      <c r="I115" s="4" t="s">
        <v>72</v>
      </c>
      <c r="J115" s="18">
        <f>(C116+D117)/SUM(C116:D117)*100</f>
        <v>100</v>
      </c>
    </row>
    <row r="116" spans="1:10" ht="28.8" x14ac:dyDescent="0.3">
      <c r="A116" s="10" t="s">
        <v>84</v>
      </c>
      <c r="B116" s="10" t="s">
        <v>82</v>
      </c>
      <c r="C116" s="12">
        <f>COUNTIFS($G$91:$G$110,0,$P$91:$P$110,0)</f>
        <v>10</v>
      </c>
      <c r="D116" s="12">
        <f>COUNTIFS($G$91:$G$110,0,$P$91:$P$110,1)</f>
        <v>0</v>
      </c>
      <c r="I116" s="4" t="s">
        <v>85</v>
      </c>
      <c r="J116" s="18">
        <f>IFERROR(D117/(D117+D116)*100,0)</f>
        <v>100</v>
      </c>
    </row>
    <row r="117" spans="1:10" ht="43.2" x14ac:dyDescent="0.3">
      <c r="B117" s="10" t="s">
        <v>83</v>
      </c>
      <c r="C117" s="12">
        <f>COUNTIFS($G$91:$G$110,1,$P$91:$P$110,0)</f>
        <v>0</v>
      </c>
      <c r="D117" s="12">
        <f>COUNTIFS($G$91:$G$110,1,$P$91:$P$110,1)</f>
        <v>10</v>
      </c>
      <c r="I117" s="4" t="s">
        <v>86</v>
      </c>
      <c r="J117" s="18">
        <f>IFERROR(D117/(D117+C117)*100,0)</f>
        <v>100</v>
      </c>
    </row>
    <row r="118" spans="1:10" x14ac:dyDescent="0.3">
      <c r="I118" s="4" t="s">
        <v>87</v>
      </c>
      <c r="J118" s="18">
        <f>IFERROR(2*(J116*J117)/(J116+J117),0)</f>
        <v>100</v>
      </c>
    </row>
    <row r="119" spans="1:10" x14ac:dyDescent="0.3">
      <c r="I119" s="8" t="s">
        <v>88</v>
      </c>
    </row>
  </sheetData>
  <mergeCells count="14">
    <mergeCell ref="I2:J2"/>
    <mergeCell ref="K2:M2"/>
    <mergeCell ref="I3:M3"/>
    <mergeCell ref="P3:P4"/>
    <mergeCell ref="Q3:Q4"/>
    <mergeCell ref="A91:A110"/>
    <mergeCell ref="R3:R4"/>
    <mergeCell ref="A5:A84"/>
    <mergeCell ref="I88:J88"/>
    <mergeCell ref="K88:M88"/>
    <mergeCell ref="I89:M89"/>
    <mergeCell ref="P89:P90"/>
    <mergeCell ref="Q89:Q90"/>
    <mergeCell ref="R89:R9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tabSelected="1" zoomScaleNormal="100" workbookViewId="0">
      <selection activeCell="G1" sqref="G1"/>
    </sheetView>
  </sheetViews>
  <sheetFormatPr defaultColWidth="8.6640625" defaultRowHeight="14.4" x14ac:dyDescent="0.3"/>
  <cols>
    <col min="1" max="1" width="46.5546875" bestFit="1" customWidth="1"/>
    <col min="2" max="3" width="11.109375" bestFit="1" customWidth="1"/>
    <col min="4" max="5" width="10.44140625" bestFit="1" customWidth="1"/>
    <col min="6" max="6" width="2.5546875" bestFit="1" customWidth="1"/>
    <col min="7" max="7" width="2.33203125" bestFit="1" customWidth="1"/>
  </cols>
  <sheetData>
    <row r="1" spans="1:5" ht="15.6" x14ac:dyDescent="0.3">
      <c r="A1" s="1" t="s">
        <v>101</v>
      </c>
    </row>
    <row r="3" spans="1:5" x14ac:dyDescent="0.3">
      <c r="A3" s="27" t="s">
        <v>102</v>
      </c>
      <c r="B3" s="27" t="s">
        <v>103</v>
      </c>
      <c r="C3" s="27"/>
      <c r="D3" s="27" t="s">
        <v>72</v>
      </c>
      <c r="E3" s="27"/>
    </row>
    <row r="4" spans="1:5" x14ac:dyDescent="0.3">
      <c r="A4" s="27"/>
      <c r="B4" s="19" t="s">
        <v>104</v>
      </c>
      <c r="C4" s="19" t="s">
        <v>105</v>
      </c>
      <c r="D4" s="19" t="s">
        <v>104</v>
      </c>
      <c r="E4" s="19" t="s">
        <v>105</v>
      </c>
    </row>
    <row r="5" spans="1:5" x14ac:dyDescent="0.3">
      <c r="A5" s="12">
        <v>1</v>
      </c>
      <c r="B5" s="20">
        <f>'Epoch 1'!R85</f>
        <v>0.44715463431711733</v>
      </c>
      <c r="C5" s="20">
        <f>'Epoch 1'!R111</f>
        <v>0.28755157750288607</v>
      </c>
      <c r="D5" s="21">
        <f>'Epoch 1'!Y85</f>
        <v>0.52500000000000002</v>
      </c>
      <c r="E5" s="21">
        <f>'Epoch 1'!T111</f>
        <v>0.5</v>
      </c>
    </row>
    <row r="6" spans="1:5" x14ac:dyDescent="0.3">
      <c r="A6" s="12">
        <v>2</v>
      </c>
      <c r="B6" s="20">
        <f>'Epoch 2'!R85</f>
        <v>4.4862842218896144E-2</v>
      </c>
      <c r="C6" s="20">
        <f>'Epoch 2'!R111</f>
        <v>0.15501014204339694</v>
      </c>
      <c r="D6" s="21">
        <f>'Epoch 2'!Y85</f>
        <v>0.9375</v>
      </c>
      <c r="E6" s="21">
        <f>'Epoch 2'!T111</f>
        <v>0.5</v>
      </c>
    </row>
    <row r="7" spans="1:5" x14ac:dyDescent="0.3">
      <c r="A7" s="12">
        <v>3</v>
      </c>
      <c r="B7" s="20">
        <f>'Epoch 3'!R85</f>
        <v>2.3811702069879752E-2</v>
      </c>
      <c r="C7" s="20">
        <f>'Epoch 3'!R111</f>
        <v>7.7740282045347511E-2</v>
      </c>
      <c r="D7" s="21">
        <f>'Epoch 3'!Y85</f>
        <v>0.97499999999999998</v>
      </c>
      <c r="E7" s="21">
        <f>'Epoch 3'!T111</f>
        <v>1</v>
      </c>
    </row>
    <row r="8" spans="1:5" x14ac:dyDescent="0.3">
      <c r="A8" s="12">
        <v>4</v>
      </c>
      <c r="B8" s="20">
        <f>'Epoch 4'!R85</f>
        <v>1.5115838788380121E-2</v>
      </c>
      <c r="C8" s="20">
        <f>'Epoch 4'!R111</f>
        <v>4.1654606369249669E-2</v>
      </c>
      <c r="D8" s="21">
        <f>'Epoch 4'!Y85</f>
        <v>1</v>
      </c>
      <c r="E8" s="21">
        <f>'Epoch 4'!T111</f>
        <v>1</v>
      </c>
    </row>
    <row r="9" spans="1:5" x14ac:dyDescent="0.3">
      <c r="A9" s="12">
        <v>5</v>
      </c>
      <c r="B9" s="20">
        <f>'Epoch 5'!R85</f>
        <v>1.0836262608817917E-2</v>
      </c>
      <c r="C9" s="20">
        <f>'Epoch 5'!R111</f>
        <v>2.5099208240929149E-2</v>
      </c>
      <c r="D9" s="21">
        <f>'Epoch 5'!Y85</f>
        <v>1</v>
      </c>
      <c r="E9" s="21">
        <f>'Epoch 5'!T111</f>
        <v>1</v>
      </c>
    </row>
    <row r="11" spans="1:5" x14ac:dyDescent="0.3">
      <c r="A11" s="2" t="s">
        <v>106</v>
      </c>
    </row>
    <row r="12" spans="1:5" x14ac:dyDescent="0.3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</row>
    <row r="13" spans="1:5" x14ac:dyDescent="0.3">
      <c r="A13" s="22">
        <f>'Epoch 5'!I84</f>
        <v>0.22708411127236608</v>
      </c>
      <c r="B13" s="22">
        <f>'Epoch 5'!J84</f>
        <v>-0.37710744383795897</v>
      </c>
      <c r="C13" s="22">
        <f>'Epoch 5'!K84</f>
        <v>-0.5848796976882189</v>
      </c>
      <c r="D13" s="22">
        <f>'Epoch 5'!L84</f>
        <v>1.3108226483678895</v>
      </c>
      <c r="E13" s="22">
        <f>'Epoch 5'!M84</f>
        <v>0.9346177562704443</v>
      </c>
    </row>
    <row r="15" spans="1:5" x14ac:dyDescent="0.3">
      <c r="A15" s="2" t="s">
        <v>107</v>
      </c>
    </row>
    <row r="16" spans="1:5" x14ac:dyDescent="0.3">
      <c r="A16" s="3" t="s">
        <v>72</v>
      </c>
      <c r="B16" s="3" t="s">
        <v>85</v>
      </c>
      <c r="C16" s="3" t="s">
        <v>86</v>
      </c>
      <c r="D16" s="3" t="s">
        <v>87</v>
      </c>
    </row>
    <row r="17" spans="1:4" x14ac:dyDescent="0.3">
      <c r="A17" s="18">
        <f>'Epoch 5'!J115</f>
        <v>100</v>
      </c>
      <c r="B17" s="18">
        <f>'Epoch 5'!J116</f>
        <v>100</v>
      </c>
      <c r="C17" s="18">
        <f>'Epoch 5'!J117</f>
        <v>100</v>
      </c>
      <c r="D17" s="18">
        <f>'Epoch 5'!J118</f>
        <v>100</v>
      </c>
    </row>
  </sheetData>
  <mergeCells count="3">
    <mergeCell ref="A3:A4"/>
    <mergeCell ref="B3:C3"/>
    <mergeCell ref="D3:E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26"/>
  <sheetViews>
    <sheetView zoomScaleNormal="100" workbookViewId="0">
      <pane ySplit="4" topLeftCell="A355" activePane="bottomLeft" state="frozen"/>
      <selection pane="bottomLeft" activeCell="B517" sqref="B517"/>
    </sheetView>
  </sheetViews>
  <sheetFormatPr defaultColWidth="8.6640625" defaultRowHeight="14.4" x14ac:dyDescent="0.3"/>
  <cols>
    <col min="1" max="1" width="10" customWidth="1"/>
    <col min="2" max="2" width="12" bestFit="1" customWidth="1"/>
    <col min="3" max="3" width="11.21875" bestFit="1" customWidth="1"/>
    <col min="4" max="4" width="9" customWidth="1"/>
    <col min="5" max="5" width="13.77734375" bestFit="1" customWidth="1"/>
    <col min="6" max="6" width="9" customWidth="1"/>
    <col min="7" max="7" width="12.109375" bestFit="1" customWidth="1"/>
    <col min="8" max="8" width="2.44140625" customWidth="1"/>
    <col min="9" max="15" width="11.44140625" customWidth="1"/>
    <col min="16" max="16" width="10" customWidth="1"/>
    <col min="17" max="17" width="12" customWidth="1"/>
    <col min="18" max="18" width="17" customWidth="1"/>
    <col min="19" max="19" width="2.44140625" customWidth="1"/>
    <col min="20" max="21" width="11" customWidth="1"/>
    <col min="22" max="23" width="15" customWidth="1"/>
    <col min="24" max="24" width="11" customWidth="1"/>
    <col min="25" max="25" width="9" customWidth="1"/>
    <col min="27" max="28" width="15" customWidth="1"/>
  </cols>
  <sheetData>
    <row r="1" spans="1:28" ht="15.6" x14ac:dyDescent="0.3">
      <c r="A1" s="1" t="s">
        <v>108</v>
      </c>
    </row>
    <row r="2" spans="1:28" x14ac:dyDescent="0.3">
      <c r="G2" s="9" t="s">
        <v>48</v>
      </c>
      <c r="I2" s="25" t="s">
        <v>16</v>
      </c>
      <c r="J2" s="25"/>
      <c r="K2" s="26">
        <f>'Konfigurasi Model'!$B$11</f>
        <v>0.1</v>
      </c>
      <c r="L2" s="26"/>
      <c r="M2" s="26"/>
    </row>
    <row r="3" spans="1:28" ht="15" customHeight="1" x14ac:dyDescent="0.3">
      <c r="G3" s="9" t="s">
        <v>49</v>
      </c>
      <c r="I3" s="24" t="s">
        <v>50</v>
      </c>
      <c r="J3" s="24"/>
      <c r="K3" s="24"/>
      <c r="L3" s="24"/>
      <c r="M3" s="24"/>
      <c r="N3" s="10" t="s">
        <v>51</v>
      </c>
      <c r="O3" s="10" t="s">
        <v>17</v>
      </c>
      <c r="P3" s="24" t="s">
        <v>52</v>
      </c>
      <c r="Q3" s="24" t="s">
        <v>20</v>
      </c>
      <c r="R3" s="24" t="s">
        <v>23</v>
      </c>
    </row>
    <row r="4" spans="1:28" ht="28.8" x14ac:dyDescent="0.3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0" t="s">
        <v>59</v>
      </c>
      <c r="I4" s="10" t="s">
        <v>60</v>
      </c>
      <c r="J4" s="10" t="s">
        <v>61</v>
      </c>
      <c r="K4" s="10" t="s">
        <v>62</v>
      </c>
      <c r="L4" s="10" t="s">
        <v>63</v>
      </c>
      <c r="M4" s="10" t="s">
        <v>64</v>
      </c>
      <c r="N4" s="10" t="s">
        <v>65</v>
      </c>
      <c r="O4" s="10" t="s">
        <v>66</v>
      </c>
      <c r="P4" s="24"/>
      <c r="Q4" s="24"/>
      <c r="R4" s="24"/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0" t="s">
        <v>72</v>
      </c>
      <c r="AA4" s="10" t="s">
        <v>109</v>
      </c>
      <c r="AB4" s="10" t="s">
        <v>110</v>
      </c>
    </row>
    <row r="5" spans="1:28" x14ac:dyDescent="0.3">
      <c r="A5" s="23" t="s">
        <v>73</v>
      </c>
      <c r="B5" s="12">
        <v>1</v>
      </c>
      <c r="C5" s="12">
        <v>5.0999999999999996</v>
      </c>
      <c r="D5" s="12">
        <v>3.5</v>
      </c>
      <c r="E5" s="12">
        <v>1.4</v>
      </c>
      <c r="F5" s="12">
        <v>0.2</v>
      </c>
      <c r="G5" s="12">
        <v>0</v>
      </c>
      <c r="I5" s="13">
        <f>'Konfigurasi Model'!$B$10</f>
        <v>0.5</v>
      </c>
      <c r="J5" s="13">
        <f>'Konfigurasi Model'!$B$9</f>
        <v>0.5</v>
      </c>
      <c r="K5" s="13">
        <f>'Konfigurasi Model'!$B$9</f>
        <v>0.5</v>
      </c>
      <c r="L5" s="13">
        <f>'Konfigurasi Model'!$B$9</f>
        <v>0.5</v>
      </c>
      <c r="M5" s="13">
        <f>'Konfigurasi Model'!$B$9</f>
        <v>0.5</v>
      </c>
      <c r="N5" s="13">
        <f t="shared" ref="N5:N68" si="0">I5+J5*C5+K5*D5+L5*E5+M5*F5</f>
        <v>5.6</v>
      </c>
      <c r="O5" s="13">
        <f t="shared" ref="O5:O68" si="1">1/(1+EXP(-N5))</f>
        <v>0.99631576010056411</v>
      </c>
      <c r="P5" s="12">
        <f t="shared" ref="P5:P68" si="2">IF(O5&gt;0.5,1,0)</f>
        <v>1</v>
      </c>
      <c r="Q5" s="13">
        <f t="shared" ref="Q5:Q68" si="3">O5-G5</f>
        <v>0.99631576010056411</v>
      </c>
      <c r="R5" s="13">
        <f t="shared" ref="R5:R68" si="4">Q5^2</f>
        <v>0.99264509382476485</v>
      </c>
      <c r="T5" s="14">
        <f t="shared" ref="T5:T68" si="5">2*(O5-G5)*(1-O5)*O5</f>
        <v>7.3142853212969676E-3</v>
      </c>
      <c r="U5" s="14">
        <f t="shared" ref="U5:U68" si="6">2*(O5-G5)*(1-O5)*O5*C5</f>
        <v>3.7302855138614532E-2</v>
      </c>
      <c r="V5" s="14">
        <f t="shared" ref="V5:V68" si="7">2*(O5-G5)*(1-O5)*O5*D5</f>
        <v>2.5599998624539388E-2</v>
      </c>
      <c r="W5" s="14">
        <f t="shared" ref="W5:W68" si="8">2*(O5-G5)*(1-O5)*O5*E5</f>
        <v>1.0239999449815754E-2</v>
      </c>
      <c r="X5" s="14">
        <f t="shared" ref="X5:X68" si="9">2*(O5-G5)*(1-O5)*O5*F5</f>
        <v>1.4628570642593935E-3</v>
      </c>
      <c r="Y5" s="12">
        <f t="shared" ref="Y5:Y68" si="10">IF(P5=G5,1,0)</f>
        <v>0</v>
      </c>
    </row>
    <row r="6" spans="1:28" x14ac:dyDescent="0.3">
      <c r="A6" s="23"/>
      <c r="B6" s="12">
        <v>2</v>
      </c>
      <c r="C6" s="12">
        <v>4.9000000000000004</v>
      </c>
      <c r="D6" s="12">
        <v>3</v>
      </c>
      <c r="E6" s="12">
        <v>1.4</v>
      </c>
      <c r="F6" s="12">
        <v>0.2</v>
      </c>
      <c r="G6" s="12">
        <v>0</v>
      </c>
      <c r="I6" s="13">
        <f>I5-('Konfigurasi Model'!$B$11*T5)</f>
        <v>0.49926857146787029</v>
      </c>
      <c r="J6" s="13">
        <f>J5-('Konfigurasi Model'!$B$11*U5)</f>
        <v>0.49626971448613855</v>
      </c>
      <c r="K6" s="13">
        <f>K5-('Konfigurasi Model'!$B$11*V5)</f>
        <v>0.49744000013754608</v>
      </c>
      <c r="L6" s="13">
        <f>L5-('Konfigurasi Model'!$B$11*W5)</f>
        <v>0.49897600005501841</v>
      </c>
      <c r="M6" s="13">
        <f>M5-('Konfigurasi Model'!$B$11*X5)</f>
        <v>0.49985371429357406</v>
      </c>
      <c r="N6" s="13">
        <f t="shared" si="0"/>
        <v>5.2218473157983274</v>
      </c>
      <c r="O6" s="13">
        <f t="shared" si="1"/>
        <v>0.99463162568864605</v>
      </c>
      <c r="P6" s="12">
        <f t="shared" si="2"/>
        <v>1</v>
      </c>
      <c r="Q6" s="13">
        <f t="shared" si="3"/>
        <v>0.99463162568864605</v>
      </c>
      <c r="R6" s="13">
        <f t="shared" si="4"/>
        <v>0.98929207082003889</v>
      </c>
      <c r="T6" s="14">
        <f t="shared" si="5"/>
        <v>1.0621780278832902E-2</v>
      </c>
      <c r="U6" s="14">
        <f t="shared" si="6"/>
        <v>5.2046723366281224E-2</v>
      </c>
      <c r="V6" s="14">
        <f t="shared" si="7"/>
        <v>3.186534083649871E-2</v>
      </c>
      <c r="W6" s="14">
        <f t="shared" si="8"/>
        <v>1.4870492390366061E-2</v>
      </c>
      <c r="X6" s="14">
        <f t="shared" si="9"/>
        <v>2.1243560557665806E-3</v>
      </c>
      <c r="Y6" s="12">
        <f t="shared" si="10"/>
        <v>0</v>
      </c>
    </row>
    <row r="7" spans="1:28" x14ac:dyDescent="0.3">
      <c r="A7" s="23"/>
      <c r="B7" s="12">
        <v>3</v>
      </c>
      <c r="C7" s="12">
        <v>4.7</v>
      </c>
      <c r="D7" s="12">
        <v>3.2</v>
      </c>
      <c r="E7" s="12">
        <v>1.3</v>
      </c>
      <c r="F7" s="12">
        <v>0.2</v>
      </c>
      <c r="G7" s="12">
        <v>0</v>
      </c>
      <c r="I7" s="13">
        <f>I6-('Konfigurasi Model'!$B$11*T6)</f>
        <v>0.49820639343998702</v>
      </c>
      <c r="J7" s="13">
        <f>J6-('Konfigurasi Model'!$B$11*U6)</f>
        <v>0.49106504214951041</v>
      </c>
      <c r="K7" s="13">
        <f>K6-('Konfigurasi Model'!$B$11*V6)</f>
        <v>0.4942534660538962</v>
      </c>
      <c r="L7" s="13">
        <f>L6-('Konfigurasi Model'!$B$11*W6)</f>
        <v>0.49748895081598182</v>
      </c>
      <c r="M7" s="13">
        <f>M6-('Konfigurasi Model'!$B$11*X6)</f>
        <v>0.4996412786879974</v>
      </c>
      <c r="N7" s="13">
        <f t="shared" si="0"/>
        <v>5.1344870747135296</v>
      </c>
      <c r="O7" s="13">
        <f t="shared" si="1"/>
        <v>0.99414441790221386</v>
      </c>
      <c r="P7" s="12">
        <f t="shared" si="2"/>
        <v>1</v>
      </c>
      <c r="Q7" s="13">
        <f t="shared" si="3"/>
        <v>0.99414441790221386</v>
      </c>
      <c r="R7" s="13">
        <f t="shared" si="4"/>
        <v>0.98832312364613162</v>
      </c>
      <c r="T7" s="14">
        <f t="shared" si="5"/>
        <v>1.157441437930073E-2</v>
      </c>
      <c r="U7" s="14">
        <f t="shared" si="6"/>
        <v>5.4399747582713431E-2</v>
      </c>
      <c r="V7" s="14">
        <f t="shared" si="7"/>
        <v>3.7038126013762336E-2</v>
      </c>
      <c r="W7" s="14">
        <f t="shared" si="8"/>
        <v>1.504673869309095E-2</v>
      </c>
      <c r="X7" s="14">
        <f t="shared" si="9"/>
        <v>2.314882875860146E-3</v>
      </c>
      <c r="Y7" s="12">
        <f t="shared" si="10"/>
        <v>0</v>
      </c>
    </row>
    <row r="8" spans="1:28" x14ac:dyDescent="0.3">
      <c r="A8" s="23"/>
      <c r="B8" s="12">
        <v>4</v>
      </c>
      <c r="C8" s="12">
        <v>4.5999999999999996</v>
      </c>
      <c r="D8" s="12">
        <v>3.1</v>
      </c>
      <c r="E8" s="12">
        <v>1.5</v>
      </c>
      <c r="F8" s="12">
        <v>0.2</v>
      </c>
      <c r="G8" s="12">
        <v>0</v>
      </c>
      <c r="I8" s="13">
        <f>I7-('Konfigurasi Model'!$B$11*T7)</f>
        <v>0.49704895200205695</v>
      </c>
      <c r="J8" s="13">
        <f>J7-('Konfigurasi Model'!$B$11*U7)</f>
        <v>0.48562506739123906</v>
      </c>
      <c r="K8" s="13">
        <f>K7-('Konfigurasi Model'!$B$11*V7)</f>
        <v>0.49054965345251994</v>
      </c>
      <c r="L8" s="13">
        <f>L7-('Konfigurasi Model'!$B$11*W7)</f>
        <v>0.49598427694667274</v>
      </c>
      <c r="M8" s="13">
        <f>M7-('Konfigurasi Model'!$B$11*X7)</f>
        <v>0.49940979040041139</v>
      </c>
      <c r="N8" s="13">
        <f t="shared" si="0"/>
        <v>5.0954865612046607</v>
      </c>
      <c r="O8" s="13">
        <f t="shared" si="1"/>
        <v>0.99391295301012028</v>
      </c>
      <c r="P8" s="12">
        <f t="shared" si="2"/>
        <v>1</v>
      </c>
      <c r="Q8" s="13">
        <f t="shared" si="3"/>
        <v>0.99391295301012028</v>
      </c>
      <c r="R8" s="13">
        <f t="shared" si="4"/>
        <v>0.98786295816129754</v>
      </c>
      <c r="T8" s="14">
        <f t="shared" si="5"/>
        <v>1.2026336491778802E-2</v>
      </c>
      <c r="U8" s="14">
        <f t="shared" si="6"/>
        <v>5.5321147862182486E-2</v>
      </c>
      <c r="V8" s="14">
        <f t="shared" si="7"/>
        <v>3.7281643124514284E-2</v>
      </c>
      <c r="W8" s="14">
        <f t="shared" si="8"/>
        <v>1.8039504737668202E-2</v>
      </c>
      <c r="X8" s="14">
        <f t="shared" si="9"/>
        <v>2.4052672983557607E-3</v>
      </c>
      <c r="Y8" s="12">
        <f t="shared" si="10"/>
        <v>0</v>
      </c>
    </row>
    <row r="9" spans="1:28" x14ac:dyDescent="0.3">
      <c r="A9" s="23"/>
      <c r="B9" s="12">
        <v>5</v>
      </c>
      <c r="C9" s="12">
        <v>5</v>
      </c>
      <c r="D9" s="12">
        <v>3.6</v>
      </c>
      <c r="E9" s="12">
        <v>1.4</v>
      </c>
      <c r="F9" s="12">
        <v>0.2</v>
      </c>
      <c r="G9" s="12">
        <v>0</v>
      </c>
      <c r="I9" s="13">
        <f>I8-('Konfigurasi Model'!$B$11*T8)</f>
        <v>0.49584631835287907</v>
      </c>
      <c r="J9" s="13">
        <f>J8-('Konfigurasi Model'!$B$11*U8)</f>
        <v>0.48009295260502083</v>
      </c>
      <c r="K9" s="13">
        <f>K8-('Konfigurasi Model'!$B$11*V8)</f>
        <v>0.48682148914006851</v>
      </c>
      <c r="L9" s="13">
        <f>L8-('Konfigurasi Model'!$B$11*W8)</f>
        <v>0.49418032647290594</v>
      </c>
      <c r="M9" s="13">
        <f>M8-('Konfigurasi Model'!$B$11*X8)</f>
        <v>0.49916926367057579</v>
      </c>
      <c r="N9" s="13">
        <f t="shared" si="0"/>
        <v>5.4405547520784125</v>
      </c>
      <c r="O9" s="13">
        <f t="shared" si="1"/>
        <v>0.99568165240332707</v>
      </c>
      <c r="P9" s="12">
        <f t="shared" si="2"/>
        <v>1</v>
      </c>
      <c r="Q9" s="13">
        <f t="shared" si="3"/>
        <v>0.99568165240332707</v>
      </c>
      <c r="R9" s="13">
        <f t="shared" si="4"/>
        <v>0.99138195293261977</v>
      </c>
      <c r="T9" s="14">
        <f t="shared" si="5"/>
        <v>8.5622637476629963E-3</v>
      </c>
      <c r="U9" s="14">
        <f t="shared" si="6"/>
        <v>4.281131873831498E-2</v>
      </c>
      <c r="V9" s="14">
        <f t="shared" si="7"/>
        <v>3.0824149491586787E-2</v>
      </c>
      <c r="W9" s="14">
        <f t="shared" si="8"/>
        <v>1.1987169246728194E-2</v>
      </c>
      <c r="X9" s="14">
        <f t="shared" si="9"/>
        <v>1.7124527495325993E-3</v>
      </c>
      <c r="Y9" s="12">
        <f t="shared" si="10"/>
        <v>0</v>
      </c>
    </row>
    <row r="10" spans="1:28" x14ac:dyDescent="0.3">
      <c r="A10" s="23"/>
      <c r="B10" s="12">
        <v>6</v>
      </c>
      <c r="C10" s="12">
        <v>5.4</v>
      </c>
      <c r="D10" s="12">
        <v>3.9</v>
      </c>
      <c r="E10" s="12">
        <v>1.7</v>
      </c>
      <c r="F10" s="12">
        <v>0.4</v>
      </c>
      <c r="G10" s="12">
        <v>0</v>
      </c>
      <c r="I10" s="13">
        <f>I9-('Konfigurasi Model'!$B$11*T9)</f>
        <v>0.49499009197811278</v>
      </c>
      <c r="J10" s="13">
        <f>J9-('Konfigurasi Model'!$B$11*U9)</f>
        <v>0.47581182073118933</v>
      </c>
      <c r="K10" s="13">
        <f>K9-('Konfigurasi Model'!$B$11*V9)</f>
        <v>0.48373907419090983</v>
      </c>
      <c r="L10" s="13">
        <f>L9-('Konfigurasi Model'!$B$11*W9)</f>
        <v>0.49298160954823311</v>
      </c>
      <c r="M10" s="13">
        <f>M9-('Konfigurasi Model'!$B$11*X9)</f>
        <v>0.49899801839562252</v>
      </c>
      <c r="N10" s="13">
        <f t="shared" si="0"/>
        <v>5.9886242568613284</v>
      </c>
      <c r="O10" s="13">
        <f t="shared" si="1"/>
        <v>0.99749915906613107</v>
      </c>
      <c r="P10" s="12">
        <f t="shared" si="2"/>
        <v>1</v>
      </c>
      <c r="Q10" s="13">
        <f t="shared" si="3"/>
        <v>0.99749915906613107</v>
      </c>
      <c r="R10" s="13">
        <f t="shared" si="4"/>
        <v>0.99500457233763862</v>
      </c>
      <c r="T10" s="14">
        <f t="shared" si="5"/>
        <v>4.9766963277774329E-3</v>
      </c>
      <c r="U10" s="14">
        <f t="shared" si="6"/>
        <v>2.6874160169998138E-2</v>
      </c>
      <c r="V10" s="14">
        <f t="shared" si="7"/>
        <v>1.9409115678331989E-2</v>
      </c>
      <c r="W10" s="14">
        <f t="shared" si="8"/>
        <v>8.4603837572216362E-3</v>
      </c>
      <c r="X10" s="14">
        <f t="shared" si="9"/>
        <v>1.9906785311109734E-3</v>
      </c>
      <c r="Y10" s="12">
        <f t="shared" si="10"/>
        <v>0</v>
      </c>
    </row>
    <row r="11" spans="1:28" x14ac:dyDescent="0.3">
      <c r="A11" s="23"/>
      <c r="B11" s="12">
        <v>7</v>
      </c>
      <c r="C11" s="12">
        <v>4.5999999999999996</v>
      </c>
      <c r="D11" s="12">
        <v>3.4</v>
      </c>
      <c r="E11" s="12">
        <v>1.4</v>
      </c>
      <c r="F11" s="12">
        <v>0.3</v>
      </c>
      <c r="G11" s="12">
        <v>0</v>
      </c>
      <c r="I11" s="13">
        <f>I10-('Konfigurasi Model'!$B$11*T10)</f>
        <v>0.49449242234533503</v>
      </c>
      <c r="J11" s="13">
        <f>J10-('Konfigurasi Model'!$B$11*U10)</f>
        <v>0.47312440471418954</v>
      </c>
      <c r="K11" s="13">
        <f>K10-('Konfigurasi Model'!$B$11*V10)</f>
        <v>0.48179816262307662</v>
      </c>
      <c r="L11" s="13">
        <f>L10-('Konfigurasi Model'!$B$11*W10)</f>
        <v>0.49213557117251094</v>
      </c>
      <c r="M11" s="13">
        <f>M10-('Konfigurasi Model'!$B$11*X10)</f>
        <v>0.49879895054251144</v>
      </c>
      <c r="N11" s="13">
        <f t="shared" si="0"/>
        <v>5.1476079217533357</v>
      </c>
      <c r="O11" s="13">
        <f t="shared" si="1"/>
        <v>0.99422030510326753</v>
      </c>
      <c r="P11" s="12">
        <f t="shared" si="2"/>
        <v>1</v>
      </c>
      <c r="Q11" s="13">
        <f t="shared" si="3"/>
        <v>0.99422030510326753</v>
      </c>
      <c r="R11" s="13">
        <f t="shared" si="4"/>
        <v>0.98847401507963439</v>
      </c>
      <c r="T11" s="14">
        <f t="shared" si="5"/>
        <v>1.1426156441016832E-2</v>
      </c>
      <c r="U11" s="14">
        <f t="shared" si="6"/>
        <v>5.2560319628677424E-2</v>
      </c>
      <c r="V11" s="14">
        <f t="shared" si="7"/>
        <v>3.8848931899457227E-2</v>
      </c>
      <c r="W11" s="14">
        <f t="shared" si="8"/>
        <v>1.5996619017423563E-2</v>
      </c>
      <c r="X11" s="14">
        <f t="shared" si="9"/>
        <v>3.4278469323050496E-3</v>
      </c>
      <c r="Y11" s="12">
        <f t="shared" si="10"/>
        <v>0</v>
      </c>
    </row>
    <row r="12" spans="1:28" x14ac:dyDescent="0.3">
      <c r="A12" s="23"/>
      <c r="B12" s="12">
        <v>8</v>
      </c>
      <c r="C12" s="12">
        <v>5</v>
      </c>
      <c r="D12" s="12">
        <v>3.4</v>
      </c>
      <c r="E12" s="12">
        <v>1.5</v>
      </c>
      <c r="F12" s="12">
        <v>0.2</v>
      </c>
      <c r="G12" s="12">
        <v>0</v>
      </c>
      <c r="I12" s="13">
        <f>I11-('Konfigurasi Model'!$B$11*T11)</f>
        <v>0.49334980670123335</v>
      </c>
      <c r="J12" s="13">
        <f>J11-('Konfigurasi Model'!$B$11*U11)</f>
        <v>0.46786837275132181</v>
      </c>
      <c r="K12" s="13">
        <f>K11-('Konfigurasi Model'!$B$11*V11)</f>
        <v>0.47791326943313089</v>
      </c>
      <c r="L12" s="13">
        <f>L11-('Konfigurasi Model'!$B$11*W11)</f>
        <v>0.49053590927076857</v>
      </c>
      <c r="M12" s="13">
        <f>M11-('Konfigurasi Model'!$B$11*X11)</f>
        <v>0.49845616584928093</v>
      </c>
      <c r="N12" s="13">
        <f t="shared" si="0"/>
        <v>5.293091883606496</v>
      </c>
      <c r="O12" s="13">
        <f t="shared" si="1"/>
        <v>0.99499894050626514</v>
      </c>
      <c r="P12" s="12">
        <f t="shared" si="2"/>
        <v>1</v>
      </c>
      <c r="Q12" s="13">
        <f t="shared" si="3"/>
        <v>0.99499894050626514</v>
      </c>
      <c r="R12" s="13">
        <f t="shared" si="4"/>
        <v>0.99002289160859014</v>
      </c>
      <c r="T12" s="14">
        <f t="shared" si="5"/>
        <v>9.9023267621879563E-3</v>
      </c>
      <c r="U12" s="14">
        <f t="shared" si="6"/>
        <v>4.951163381093978E-2</v>
      </c>
      <c r="V12" s="14">
        <f t="shared" si="7"/>
        <v>3.3667910991439051E-2</v>
      </c>
      <c r="W12" s="14">
        <f t="shared" si="8"/>
        <v>1.4853490143281935E-2</v>
      </c>
      <c r="X12" s="14">
        <f t="shared" si="9"/>
        <v>1.9804653524375915E-3</v>
      </c>
      <c r="Y12" s="12">
        <f t="shared" si="10"/>
        <v>0</v>
      </c>
    </row>
    <row r="13" spans="1:28" x14ac:dyDescent="0.3">
      <c r="A13" s="23"/>
      <c r="B13" s="12">
        <v>9</v>
      </c>
      <c r="C13" s="12">
        <v>4.4000000000000004</v>
      </c>
      <c r="D13" s="12">
        <v>2.9</v>
      </c>
      <c r="E13" s="12">
        <v>1.4</v>
      </c>
      <c r="F13" s="12">
        <v>0.2</v>
      </c>
      <c r="G13" s="12">
        <v>0</v>
      </c>
      <c r="I13" s="13">
        <f>I12-('Konfigurasi Model'!$B$11*T12)</f>
        <v>0.49235957402501457</v>
      </c>
      <c r="J13" s="13">
        <f>J12-('Konfigurasi Model'!$B$11*U12)</f>
        <v>0.46291720937022784</v>
      </c>
      <c r="K13" s="13">
        <f>K12-('Konfigurasi Model'!$B$11*V12)</f>
        <v>0.474546478333987</v>
      </c>
      <c r="L13" s="13">
        <f>L12-('Konfigurasi Model'!$B$11*W12)</f>
        <v>0.48905056025644039</v>
      </c>
      <c r="M13" s="13">
        <f>M12-('Konfigurasi Model'!$B$11*X12)</f>
        <v>0.49825811931403718</v>
      </c>
      <c r="N13" s="13">
        <f t="shared" si="0"/>
        <v>4.6897024906444029</v>
      </c>
      <c r="O13" s="13">
        <f t="shared" si="1"/>
        <v>0.99089425680783483</v>
      </c>
      <c r="P13" s="12">
        <f t="shared" si="2"/>
        <v>1</v>
      </c>
      <c r="Q13" s="13">
        <f t="shared" si="3"/>
        <v>0.99089425680783483</v>
      </c>
      <c r="R13" s="13">
        <f t="shared" si="4"/>
        <v>0.98187142817475137</v>
      </c>
      <c r="T13" s="14">
        <f t="shared" si="5"/>
        <v>1.7881338145367472E-2</v>
      </c>
      <c r="U13" s="14">
        <f t="shared" si="6"/>
        <v>7.8677887839616878E-2</v>
      </c>
      <c r="V13" s="14">
        <f t="shared" si="7"/>
        <v>5.1855880621565667E-2</v>
      </c>
      <c r="W13" s="14">
        <f t="shared" si="8"/>
        <v>2.503387340351446E-2</v>
      </c>
      <c r="X13" s="14">
        <f t="shared" si="9"/>
        <v>3.5762676290734944E-3</v>
      </c>
      <c r="Y13" s="12">
        <f t="shared" si="10"/>
        <v>0</v>
      </c>
    </row>
    <row r="14" spans="1:28" x14ac:dyDescent="0.3">
      <c r="A14" s="23"/>
      <c r="B14" s="12">
        <v>10</v>
      </c>
      <c r="C14" s="12">
        <v>4.9000000000000004</v>
      </c>
      <c r="D14" s="12">
        <v>3.1</v>
      </c>
      <c r="E14" s="12">
        <v>1.5</v>
      </c>
      <c r="F14" s="12">
        <v>0.1</v>
      </c>
      <c r="G14" s="12">
        <v>0</v>
      </c>
      <c r="I14" s="13">
        <f>I13-('Konfigurasi Model'!$B$11*T13)</f>
        <v>0.49057144021047783</v>
      </c>
      <c r="J14" s="13">
        <f>J13-('Konfigurasi Model'!$B$11*U13)</f>
        <v>0.45504942058626618</v>
      </c>
      <c r="K14" s="13">
        <f>K13-('Konfigurasi Model'!$B$11*V13)</f>
        <v>0.46936089027183042</v>
      </c>
      <c r="L14" s="13">
        <f>L13-('Konfigurasi Model'!$B$11*W13)</f>
        <v>0.48654717291608895</v>
      </c>
      <c r="M14" s="13">
        <f>M13-('Konfigurasi Model'!$B$11*X13)</f>
        <v>0.49790049255112984</v>
      </c>
      <c r="N14" s="13">
        <f t="shared" si="0"/>
        <v>4.9549431695551025</v>
      </c>
      <c r="O14" s="13">
        <f t="shared" si="1"/>
        <v>0.99300085252033121</v>
      </c>
      <c r="P14" s="12">
        <f t="shared" si="2"/>
        <v>1</v>
      </c>
      <c r="Q14" s="13">
        <f t="shared" si="3"/>
        <v>0.99300085252033121</v>
      </c>
      <c r="R14" s="13">
        <f t="shared" si="4"/>
        <v>0.9860506931061046</v>
      </c>
      <c r="T14" s="14">
        <f t="shared" si="5"/>
        <v>1.3803028446958507E-2</v>
      </c>
      <c r="U14" s="14">
        <f t="shared" si="6"/>
        <v>6.7634839390096693E-2</v>
      </c>
      <c r="V14" s="14">
        <f t="shared" si="7"/>
        <v>4.2789388185571375E-2</v>
      </c>
      <c r="W14" s="14">
        <f t="shared" si="8"/>
        <v>2.070454267043776E-2</v>
      </c>
      <c r="X14" s="14">
        <f t="shared" si="9"/>
        <v>1.3803028446958507E-3</v>
      </c>
      <c r="Y14" s="12">
        <f t="shared" si="10"/>
        <v>0</v>
      </c>
    </row>
    <row r="15" spans="1:28" x14ac:dyDescent="0.3">
      <c r="A15" s="23"/>
      <c r="B15" s="12">
        <v>11</v>
      </c>
      <c r="C15" s="12">
        <v>5.4</v>
      </c>
      <c r="D15" s="12">
        <v>3.7</v>
      </c>
      <c r="E15" s="12">
        <v>1.5</v>
      </c>
      <c r="F15" s="12">
        <v>0.2</v>
      </c>
      <c r="G15" s="12">
        <v>0</v>
      </c>
      <c r="I15" s="13">
        <f>I14-('Konfigurasi Model'!$B$11*T14)</f>
        <v>0.48919113736578196</v>
      </c>
      <c r="J15" s="13">
        <f>J14-('Konfigurasi Model'!$B$11*U14)</f>
        <v>0.44828593664725652</v>
      </c>
      <c r="K15" s="13">
        <f>K14-('Konfigurasi Model'!$B$11*V14)</f>
        <v>0.4650819514532733</v>
      </c>
      <c r="L15" s="13">
        <f>L14-('Konfigurasi Model'!$B$11*W14)</f>
        <v>0.48447671864904518</v>
      </c>
      <c r="M15" s="13">
        <f>M14-('Konfigurasi Model'!$B$11*X14)</f>
        <v>0.49776246226666027</v>
      </c>
      <c r="N15" s="13">
        <f t="shared" si="0"/>
        <v>5.4570059860649787</v>
      </c>
      <c r="O15" s="13">
        <f t="shared" si="1"/>
        <v>0.99575181404464608</v>
      </c>
      <c r="P15" s="12">
        <f t="shared" si="2"/>
        <v>1</v>
      </c>
      <c r="Q15" s="13">
        <f t="shared" si="3"/>
        <v>0.99575181404464608</v>
      </c>
      <c r="R15" s="13">
        <f t="shared" si="4"/>
        <v>0.99152167517320344</v>
      </c>
      <c r="T15" s="14">
        <f t="shared" si="5"/>
        <v>8.4243369097995943E-3</v>
      </c>
      <c r="U15" s="14">
        <f t="shared" si="6"/>
        <v>4.5491419312917815E-2</v>
      </c>
      <c r="V15" s="14">
        <f t="shared" si="7"/>
        <v>3.1170046566258502E-2</v>
      </c>
      <c r="W15" s="14">
        <f t="shared" si="8"/>
        <v>1.2636505364699391E-2</v>
      </c>
      <c r="X15" s="14">
        <f t="shared" si="9"/>
        <v>1.684867381959919E-3</v>
      </c>
      <c r="Y15" s="12">
        <f t="shared" si="10"/>
        <v>0</v>
      </c>
    </row>
    <row r="16" spans="1:28" x14ac:dyDescent="0.3">
      <c r="A16" s="23"/>
      <c r="B16" s="12">
        <v>12</v>
      </c>
      <c r="C16" s="12">
        <v>4.8</v>
      </c>
      <c r="D16" s="12">
        <v>3.4</v>
      </c>
      <c r="E16" s="12">
        <v>1.6</v>
      </c>
      <c r="F16" s="12">
        <v>0.2</v>
      </c>
      <c r="G16" s="12">
        <v>0</v>
      </c>
      <c r="I16" s="13">
        <f>I15-('Konfigurasi Model'!$B$11*T15)</f>
        <v>0.48834870367480199</v>
      </c>
      <c r="J16" s="13">
        <f>J15-('Konfigurasi Model'!$B$11*U15)</f>
        <v>0.44373679471596472</v>
      </c>
      <c r="K16" s="13">
        <f>K15-('Konfigurasi Model'!$B$11*V15)</f>
        <v>0.46196494679664746</v>
      </c>
      <c r="L16" s="13">
        <f>L15-('Konfigurasi Model'!$B$11*W15)</f>
        <v>0.48321306811257525</v>
      </c>
      <c r="M16" s="13">
        <f>M15-('Konfigurasi Model'!$B$11*X15)</f>
        <v>0.49759397552846429</v>
      </c>
      <c r="N16" s="13">
        <f t="shared" si="0"/>
        <v>5.0616258415058466</v>
      </c>
      <c r="O16" s="13">
        <f t="shared" si="1"/>
        <v>0.99370463171720924</v>
      </c>
      <c r="P16" s="12">
        <f t="shared" si="2"/>
        <v>1</v>
      </c>
      <c r="Q16" s="13">
        <f t="shared" si="3"/>
        <v>0.99370463171720924</v>
      </c>
      <c r="R16" s="13">
        <f t="shared" si="4"/>
        <v>0.98744889509623446</v>
      </c>
      <c r="T16" s="14">
        <f t="shared" si="5"/>
        <v>1.2432708910131228E-2</v>
      </c>
      <c r="U16" s="14">
        <f t="shared" si="6"/>
        <v>5.9677002768629889E-2</v>
      </c>
      <c r="V16" s="14">
        <f t="shared" si="7"/>
        <v>4.2271210294446172E-2</v>
      </c>
      <c r="W16" s="14">
        <f t="shared" si="8"/>
        <v>1.9892334256209968E-2</v>
      </c>
      <c r="X16" s="14">
        <f t="shared" si="9"/>
        <v>2.4865417820262459E-3</v>
      </c>
      <c r="Y16" s="12">
        <f t="shared" si="10"/>
        <v>0</v>
      </c>
    </row>
    <row r="17" spans="1:25" x14ac:dyDescent="0.3">
      <c r="A17" s="23"/>
      <c r="B17" s="12">
        <v>13</v>
      </c>
      <c r="C17" s="12">
        <v>4.8</v>
      </c>
      <c r="D17" s="12">
        <v>3</v>
      </c>
      <c r="E17" s="12">
        <v>1.4</v>
      </c>
      <c r="F17" s="12">
        <v>0.1</v>
      </c>
      <c r="G17" s="12">
        <v>0</v>
      </c>
      <c r="I17" s="13">
        <f>I16-('Konfigurasi Model'!$B$11*T16)</f>
        <v>0.48710543278378887</v>
      </c>
      <c r="J17" s="13">
        <f>J16-('Konfigurasi Model'!$B$11*U16)</f>
        <v>0.43776909443910172</v>
      </c>
      <c r="K17" s="13">
        <f>K16-('Konfigurasi Model'!$B$11*V16)</f>
        <v>0.45773782576720284</v>
      </c>
      <c r="L17" s="13">
        <f>L16-('Konfigurasi Model'!$B$11*W16)</f>
        <v>0.48122383468695423</v>
      </c>
      <c r="M17" s="13">
        <f>M16-('Konfigurasi Model'!$B$11*X16)</f>
        <v>0.49734532135026166</v>
      </c>
      <c r="N17" s="13">
        <f t="shared" si="0"/>
        <v>4.6850584640898472</v>
      </c>
      <c r="O17" s="13">
        <f t="shared" si="1"/>
        <v>0.99085225888378836</v>
      </c>
      <c r="P17" s="12">
        <f t="shared" si="2"/>
        <v>1</v>
      </c>
      <c r="Q17" s="13">
        <f t="shared" si="3"/>
        <v>0.99085225888378836</v>
      </c>
      <c r="R17" s="13">
        <f t="shared" si="4"/>
        <v>0.98178819893510594</v>
      </c>
      <c r="T17" s="14">
        <f t="shared" si="5"/>
        <v>1.7962288549620082E-2</v>
      </c>
      <c r="U17" s="14">
        <f t="shared" si="6"/>
        <v>8.6218985038176391E-2</v>
      </c>
      <c r="V17" s="14">
        <f t="shared" si="7"/>
        <v>5.3886865648860249E-2</v>
      </c>
      <c r="W17" s="14">
        <f t="shared" si="8"/>
        <v>2.5147203969468113E-2</v>
      </c>
      <c r="X17" s="14">
        <f t="shared" si="9"/>
        <v>1.7962288549620083E-3</v>
      </c>
      <c r="Y17" s="12">
        <f t="shared" si="10"/>
        <v>0</v>
      </c>
    </row>
    <row r="18" spans="1:25" x14ac:dyDescent="0.3">
      <c r="A18" s="23"/>
      <c r="B18" s="12">
        <v>14</v>
      </c>
      <c r="C18" s="12">
        <v>4.3</v>
      </c>
      <c r="D18" s="12">
        <v>3</v>
      </c>
      <c r="E18" s="12">
        <v>1.1000000000000001</v>
      </c>
      <c r="F18" s="12">
        <v>0.1</v>
      </c>
      <c r="G18" s="12">
        <v>0</v>
      </c>
      <c r="I18" s="13">
        <f>I17-('Konfigurasi Model'!$B$11*T17)</f>
        <v>0.48530920392882687</v>
      </c>
      <c r="J18" s="13">
        <f>J17-('Konfigurasi Model'!$B$11*U17)</f>
        <v>0.42914719593528411</v>
      </c>
      <c r="K18" s="13">
        <f>K17-('Konfigurasi Model'!$B$11*V17)</f>
        <v>0.45234913920231684</v>
      </c>
      <c r="L18" s="13">
        <f>L17-('Konfigurasi Model'!$B$11*W17)</f>
        <v>0.4787091142900074</v>
      </c>
      <c r="M18" s="13">
        <f>M17-('Konfigurasi Model'!$B$11*X17)</f>
        <v>0.49716569846476544</v>
      </c>
      <c r="N18" s="13">
        <f t="shared" si="0"/>
        <v>4.2639861596229833</v>
      </c>
      <c r="O18" s="13">
        <f t="shared" si="1"/>
        <v>0.9861289905852415</v>
      </c>
      <c r="P18" s="12">
        <f t="shared" si="2"/>
        <v>1</v>
      </c>
      <c r="Q18" s="13">
        <f t="shared" si="3"/>
        <v>0.9861289905852415</v>
      </c>
      <c r="R18" s="13">
        <f t="shared" si="4"/>
        <v>0.97245038607266732</v>
      </c>
      <c r="T18" s="14">
        <f t="shared" si="5"/>
        <v>2.6977736921199005E-2</v>
      </c>
      <c r="U18" s="14">
        <f t="shared" si="6"/>
        <v>0.11600426876115572</v>
      </c>
      <c r="V18" s="14">
        <f t="shared" si="7"/>
        <v>8.093321076359701E-2</v>
      </c>
      <c r="W18" s="14">
        <f t="shared" si="8"/>
        <v>2.9675510613318908E-2</v>
      </c>
      <c r="X18" s="14">
        <f t="shared" si="9"/>
        <v>2.6977736921199006E-3</v>
      </c>
      <c r="Y18" s="12">
        <f t="shared" si="10"/>
        <v>0</v>
      </c>
    </row>
    <row r="19" spans="1:25" x14ac:dyDescent="0.3">
      <c r="A19" s="23"/>
      <c r="B19" s="12">
        <v>15</v>
      </c>
      <c r="C19" s="12">
        <v>5.8</v>
      </c>
      <c r="D19" s="12">
        <v>4</v>
      </c>
      <c r="E19" s="12">
        <v>1.2</v>
      </c>
      <c r="F19" s="12">
        <v>0.2</v>
      </c>
      <c r="G19" s="12">
        <v>0</v>
      </c>
      <c r="I19" s="13">
        <f>I18-('Konfigurasi Model'!$B$11*T18)</f>
        <v>0.482611430236707</v>
      </c>
      <c r="J19" s="13">
        <f>J18-('Konfigurasi Model'!$B$11*U18)</f>
        <v>0.41754676905916854</v>
      </c>
      <c r="K19" s="13">
        <f>K18-('Konfigurasi Model'!$B$11*V18)</f>
        <v>0.44425581812595716</v>
      </c>
      <c r="L19" s="13">
        <f>L18-('Konfigurasi Model'!$B$11*W18)</f>
        <v>0.4757415632286755</v>
      </c>
      <c r="M19" s="13">
        <f>M18-('Konfigurasi Model'!$B$11*X18)</f>
        <v>0.49689592109555347</v>
      </c>
      <c r="N19" s="13">
        <f t="shared" si="0"/>
        <v>5.3516750233772346</v>
      </c>
      <c r="O19" s="13">
        <f t="shared" si="1"/>
        <v>0.99528215913725904</v>
      </c>
      <c r="P19" s="12">
        <f t="shared" si="2"/>
        <v>1</v>
      </c>
      <c r="Q19" s="13">
        <f t="shared" si="3"/>
        <v>0.99528215913725904</v>
      </c>
      <c r="R19" s="13">
        <f t="shared" si="4"/>
        <v>0.99058657629692426</v>
      </c>
      <c r="T19" s="14">
        <f t="shared" si="5"/>
        <v>9.3468596554725954E-3</v>
      </c>
      <c r="U19" s="14">
        <f t="shared" si="6"/>
        <v>5.421178600174105E-2</v>
      </c>
      <c r="V19" s="14">
        <f t="shared" si="7"/>
        <v>3.7387438621890381E-2</v>
      </c>
      <c r="W19" s="14">
        <f t="shared" si="8"/>
        <v>1.1216231586567114E-2</v>
      </c>
      <c r="X19" s="14">
        <f t="shared" si="9"/>
        <v>1.8693719310945191E-3</v>
      </c>
      <c r="Y19" s="12">
        <f t="shared" si="10"/>
        <v>0</v>
      </c>
    </row>
    <row r="20" spans="1:25" x14ac:dyDescent="0.3">
      <c r="A20" s="23"/>
      <c r="B20" s="12">
        <v>16</v>
      </c>
      <c r="C20" s="12">
        <v>5.7</v>
      </c>
      <c r="D20" s="12">
        <v>4.4000000000000004</v>
      </c>
      <c r="E20" s="12">
        <v>1.5</v>
      </c>
      <c r="F20" s="12">
        <v>0.4</v>
      </c>
      <c r="G20" s="12">
        <v>0</v>
      </c>
      <c r="I20" s="13">
        <f>I19-('Konfigurasi Model'!$B$11*T19)</f>
        <v>0.48167674427115975</v>
      </c>
      <c r="J20" s="13">
        <f>J19-('Konfigurasi Model'!$B$11*U19)</f>
        <v>0.41212559045899444</v>
      </c>
      <c r="K20" s="13">
        <f>K19-('Konfigurasi Model'!$B$11*V19)</f>
        <v>0.44051707426376813</v>
      </c>
      <c r="L20" s="13">
        <f>L19-('Konfigurasi Model'!$B$11*W19)</f>
        <v>0.47461994007001879</v>
      </c>
      <c r="M20" s="13">
        <f>M19-('Konfigurasi Model'!$B$11*X19)</f>
        <v>0.496708983902444</v>
      </c>
      <c r="N20" s="13">
        <f t="shared" si="0"/>
        <v>5.6796812403140136</v>
      </c>
      <c r="O20" s="13">
        <f t="shared" si="1"/>
        <v>0.99659697341192932</v>
      </c>
      <c r="P20" s="12">
        <f t="shared" si="2"/>
        <v>1</v>
      </c>
      <c r="Q20" s="13">
        <f t="shared" si="3"/>
        <v>0.99659697341192932</v>
      </c>
      <c r="R20" s="13">
        <f t="shared" si="4"/>
        <v>0.99320552741381773</v>
      </c>
      <c r="T20" s="14">
        <f t="shared" si="5"/>
        <v>6.7598096344159671E-3</v>
      </c>
      <c r="U20" s="14">
        <f t="shared" si="6"/>
        <v>3.8530914916171013E-2</v>
      </c>
      <c r="V20" s="14">
        <f t="shared" si="7"/>
        <v>2.9743162391430256E-2</v>
      </c>
      <c r="W20" s="14">
        <f t="shared" si="8"/>
        <v>1.0139714451623951E-2</v>
      </c>
      <c r="X20" s="14">
        <f t="shared" si="9"/>
        <v>2.703923853766387E-3</v>
      </c>
      <c r="Y20" s="12">
        <f t="shared" si="10"/>
        <v>0</v>
      </c>
    </row>
    <row r="21" spans="1:25" x14ac:dyDescent="0.3">
      <c r="A21" s="23"/>
      <c r="B21" s="12">
        <v>17</v>
      </c>
      <c r="C21" s="12">
        <v>5.4</v>
      </c>
      <c r="D21" s="12">
        <v>3.9</v>
      </c>
      <c r="E21" s="12">
        <v>1.3</v>
      </c>
      <c r="F21" s="12">
        <v>0.4</v>
      </c>
      <c r="G21" s="12">
        <v>0</v>
      </c>
      <c r="I21" s="13">
        <f>I20-('Konfigurasi Model'!$B$11*T20)</f>
        <v>0.48100076330771818</v>
      </c>
      <c r="J21" s="13">
        <f>J20-('Konfigurasi Model'!$B$11*U20)</f>
        <v>0.40827249896737733</v>
      </c>
      <c r="K21" s="13">
        <f>K20-('Konfigurasi Model'!$B$11*V20)</f>
        <v>0.43754275802462511</v>
      </c>
      <c r="L21" s="13">
        <f>L20-('Konfigurasi Model'!$B$11*W20)</f>
        <v>0.47360596862485638</v>
      </c>
      <c r="M21" s="13">
        <f>M20-('Konfigurasi Model'!$B$11*X20)</f>
        <v>0.49643859151706737</v>
      </c>
      <c r="N21" s="13">
        <f t="shared" si="0"/>
        <v>5.2063522098467345</v>
      </c>
      <c r="O21" s="13">
        <f t="shared" si="1"/>
        <v>0.99454825137685732</v>
      </c>
      <c r="P21" s="12">
        <f t="shared" si="2"/>
        <v>1</v>
      </c>
      <c r="Q21" s="13">
        <f t="shared" si="3"/>
        <v>0.99454825137685732</v>
      </c>
      <c r="R21" s="13">
        <f t="shared" si="4"/>
        <v>0.98912622431676456</v>
      </c>
      <c r="T21" s="14">
        <f t="shared" si="5"/>
        <v>1.0784935063066483E-2</v>
      </c>
      <c r="U21" s="14">
        <f t="shared" si="6"/>
        <v>5.8238649340559015E-2</v>
      </c>
      <c r="V21" s="14">
        <f t="shared" si="7"/>
        <v>4.2061246745959284E-2</v>
      </c>
      <c r="W21" s="14">
        <f t="shared" si="8"/>
        <v>1.4020415581986429E-2</v>
      </c>
      <c r="X21" s="14">
        <f t="shared" si="9"/>
        <v>4.3139740252265933E-3</v>
      </c>
      <c r="Y21" s="12">
        <f t="shared" si="10"/>
        <v>0</v>
      </c>
    </row>
    <row r="22" spans="1:25" x14ac:dyDescent="0.3">
      <c r="A22" s="23"/>
      <c r="B22" s="12">
        <v>18</v>
      </c>
      <c r="C22" s="12">
        <v>5.0999999999999996</v>
      </c>
      <c r="D22" s="12">
        <v>3.5</v>
      </c>
      <c r="E22" s="12">
        <v>1.4</v>
      </c>
      <c r="F22" s="12">
        <v>0.3</v>
      </c>
      <c r="G22" s="12">
        <v>0</v>
      </c>
      <c r="I22" s="13">
        <f>I21-('Konfigurasi Model'!$B$11*T21)</f>
        <v>0.47992226980141156</v>
      </c>
      <c r="J22" s="13">
        <f>J21-('Konfigurasi Model'!$B$11*U21)</f>
        <v>0.40244863403332143</v>
      </c>
      <c r="K22" s="13">
        <f>K21-('Konfigurasi Model'!$B$11*V21)</f>
        <v>0.4333366333500292</v>
      </c>
      <c r="L22" s="13">
        <f>L21-('Konfigurasi Model'!$B$11*W21)</f>
        <v>0.47220392706665776</v>
      </c>
      <c r="M22" s="13">
        <f>M21-('Konfigurasi Model'!$B$11*X21)</f>
        <v>0.49600719411454469</v>
      </c>
      <c r="N22" s="13">
        <f t="shared" si="0"/>
        <v>4.8589761762241377</v>
      </c>
      <c r="O22" s="13">
        <f t="shared" si="1"/>
        <v>0.99230130663602134</v>
      </c>
      <c r="P22" s="12">
        <f t="shared" si="2"/>
        <v>1</v>
      </c>
      <c r="Q22" s="13">
        <f t="shared" si="3"/>
        <v>0.99230130663602134</v>
      </c>
      <c r="R22" s="13">
        <f t="shared" si="4"/>
        <v>0.98466188315155523</v>
      </c>
      <c r="T22" s="14">
        <f t="shared" si="5"/>
        <v>1.5161219811163217E-2</v>
      </c>
      <c r="U22" s="14">
        <f t="shared" si="6"/>
        <v>7.7322221036932398E-2</v>
      </c>
      <c r="V22" s="14">
        <f t="shared" si="7"/>
        <v>5.3064269339071254E-2</v>
      </c>
      <c r="W22" s="14">
        <f t="shared" si="8"/>
        <v>2.1225707735628502E-2</v>
      </c>
      <c r="X22" s="14">
        <f t="shared" si="9"/>
        <v>4.5483659433489644E-3</v>
      </c>
      <c r="Y22" s="12">
        <f t="shared" si="10"/>
        <v>0</v>
      </c>
    </row>
    <row r="23" spans="1:25" x14ac:dyDescent="0.3">
      <c r="A23" s="23"/>
      <c r="B23" s="12">
        <v>19</v>
      </c>
      <c r="C23" s="12">
        <v>5.7</v>
      </c>
      <c r="D23" s="12">
        <v>3.8</v>
      </c>
      <c r="E23" s="12">
        <v>1.7</v>
      </c>
      <c r="F23" s="12">
        <v>0.3</v>
      </c>
      <c r="G23" s="12">
        <v>0</v>
      </c>
      <c r="I23" s="13">
        <f>I22-('Konfigurasi Model'!$B$11*T22)</f>
        <v>0.47840614782029522</v>
      </c>
      <c r="J23" s="13">
        <f>J22-('Konfigurasi Model'!$B$11*U22)</f>
        <v>0.3947164119296282</v>
      </c>
      <c r="K23" s="13">
        <f>K22-('Konfigurasi Model'!$B$11*V22)</f>
        <v>0.42803020641612205</v>
      </c>
      <c r="L23" s="13">
        <f>L22-('Konfigurasi Model'!$B$11*W22)</f>
        <v>0.47008135629309489</v>
      </c>
      <c r="M23" s="13">
        <f>M22-('Konfigurasi Model'!$B$11*X22)</f>
        <v>0.49555235752020982</v>
      </c>
      <c r="N23" s="13">
        <f t="shared" si="0"/>
        <v>5.3026084931547635</v>
      </c>
      <c r="O23" s="13">
        <f t="shared" si="1"/>
        <v>0.99504607323629968</v>
      </c>
      <c r="P23" s="12">
        <f t="shared" si="2"/>
        <v>1</v>
      </c>
      <c r="Q23" s="13">
        <f t="shared" si="3"/>
        <v>0.99504607323629968</v>
      </c>
      <c r="R23" s="13">
        <f t="shared" si="4"/>
        <v>0.99011668786297946</v>
      </c>
      <c r="T23" s="14">
        <f t="shared" si="5"/>
        <v>9.8099311183814653E-3</v>
      </c>
      <c r="U23" s="14">
        <f t="shared" si="6"/>
        <v>5.5916607374774351E-2</v>
      </c>
      <c r="V23" s="14">
        <f t="shared" si="7"/>
        <v>3.7277738249849569E-2</v>
      </c>
      <c r="W23" s="14">
        <f t="shared" si="8"/>
        <v>1.667688290124849E-2</v>
      </c>
      <c r="X23" s="14">
        <f t="shared" si="9"/>
        <v>2.9429793355144397E-3</v>
      </c>
      <c r="Y23" s="12">
        <f t="shared" si="10"/>
        <v>0</v>
      </c>
    </row>
    <row r="24" spans="1:25" x14ac:dyDescent="0.3">
      <c r="A24" s="23"/>
      <c r="B24" s="12">
        <v>20</v>
      </c>
      <c r="C24" s="12">
        <v>5.0999999999999996</v>
      </c>
      <c r="D24" s="12">
        <v>3.8</v>
      </c>
      <c r="E24" s="12">
        <v>1.5</v>
      </c>
      <c r="F24" s="12">
        <v>0.3</v>
      </c>
      <c r="G24" s="12">
        <v>0</v>
      </c>
      <c r="I24" s="13">
        <f>I23-('Konfigurasi Model'!$B$11*T23)</f>
        <v>0.47742515470845709</v>
      </c>
      <c r="J24" s="13">
        <f>J23-('Konfigurasi Model'!$B$11*U23)</f>
        <v>0.38912475119215079</v>
      </c>
      <c r="K24" s="13">
        <f>K23-('Konfigurasi Model'!$B$11*V23)</f>
        <v>0.42430243259113709</v>
      </c>
      <c r="L24" s="13">
        <f>L23-('Konfigurasi Model'!$B$11*W23)</f>
        <v>0.46841366800297002</v>
      </c>
      <c r="M24" s="13">
        <f>M23-('Konfigurasi Model'!$B$11*X23)</f>
        <v>0.49525805958665836</v>
      </c>
      <c r="N24" s="13">
        <f t="shared" si="0"/>
        <v>4.9255085495151993</v>
      </c>
      <c r="O24" s="13">
        <f t="shared" si="1"/>
        <v>0.99279328006048084</v>
      </c>
      <c r="P24" s="12">
        <f t="shared" si="2"/>
        <v>1</v>
      </c>
      <c r="Q24" s="13">
        <f t="shared" si="3"/>
        <v>0.99279328006048084</v>
      </c>
      <c r="R24" s="13">
        <f t="shared" si="4"/>
        <v>0.98563849693324834</v>
      </c>
      <c r="T24" s="14">
        <f t="shared" si="5"/>
        <v>1.4206441218013064E-2</v>
      </c>
      <c r="U24" s="14">
        <f t="shared" si="6"/>
        <v>7.2452850211866621E-2</v>
      </c>
      <c r="V24" s="14">
        <f t="shared" si="7"/>
        <v>5.3984476628449643E-2</v>
      </c>
      <c r="W24" s="14">
        <f t="shared" si="8"/>
        <v>2.1309661827019596E-2</v>
      </c>
      <c r="X24" s="14">
        <f t="shared" si="9"/>
        <v>4.2619323654039193E-3</v>
      </c>
      <c r="Y24" s="12">
        <f t="shared" si="10"/>
        <v>0</v>
      </c>
    </row>
    <row r="25" spans="1:25" x14ac:dyDescent="0.3">
      <c r="A25" s="23"/>
      <c r="B25" s="12">
        <v>21</v>
      </c>
      <c r="C25" s="12">
        <v>5.4</v>
      </c>
      <c r="D25" s="12">
        <v>3.4</v>
      </c>
      <c r="E25" s="12">
        <v>1.7</v>
      </c>
      <c r="F25" s="12">
        <v>0.2</v>
      </c>
      <c r="G25" s="12">
        <v>0</v>
      </c>
      <c r="I25" s="13">
        <f>I24-('Konfigurasi Model'!$B$11*T24)</f>
        <v>0.47600451058665577</v>
      </c>
      <c r="J25" s="13">
        <f>J24-('Konfigurasi Model'!$B$11*U24)</f>
        <v>0.38187946617096413</v>
      </c>
      <c r="K25" s="13">
        <f>K24-('Konfigurasi Model'!$B$11*V24)</f>
        <v>0.41890398492829212</v>
      </c>
      <c r="L25" s="13">
        <f>L24-('Konfigurasi Model'!$B$11*W24)</f>
        <v>0.46628270182026804</v>
      </c>
      <c r="M25" s="13">
        <f>M24-('Konfigurasi Model'!$B$11*X24)</f>
        <v>0.49483186635011794</v>
      </c>
      <c r="N25" s="13">
        <f t="shared" si="0"/>
        <v>4.8540741430305339</v>
      </c>
      <c r="O25" s="13">
        <f t="shared" si="1"/>
        <v>0.99226376741113131</v>
      </c>
      <c r="P25" s="12">
        <f t="shared" si="2"/>
        <v>1</v>
      </c>
      <c r="Q25" s="13">
        <f t="shared" si="3"/>
        <v>0.99226376741113131</v>
      </c>
      <c r="R25" s="13">
        <f t="shared" si="4"/>
        <v>0.9845873841169317</v>
      </c>
      <c r="T25" s="14">
        <f t="shared" si="5"/>
        <v>1.5233994015188755E-2</v>
      </c>
      <c r="U25" s="14">
        <f t="shared" si="6"/>
        <v>8.2263567682019284E-2</v>
      </c>
      <c r="V25" s="14">
        <f t="shared" si="7"/>
        <v>5.179557965164177E-2</v>
      </c>
      <c r="W25" s="14">
        <f t="shared" si="8"/>
        <v>2.5897789825820885E-2</v>
      </c>
      <c r="X25" s="14">
        <f t="shared" si="9"/>
        <v>3.0467988030377512E-3</v>
      </c>
      <c r="Y25" s="12">
        <f t="shared" si="10"/>
        <v>0</v>
      </c>
    </row>
    <row r="26" spans="1:25" x14ac:dyDescent="0.3">
      <c r="A26" s="23"/>
      <c r="B26" s="12">
        <v>22</v>
      </c>
      <c r="C26" s="12">
        <v>5.0999999999999996</v>
      </c>
      <c r="D26" s="12">
        <v>3.7</v>
      </c>
      <c r="E26" s="12">
        <v>1.5</v>
      </c>
      <c r="F26" s="12">
        <v>0.4</v>
      </c>
      <c r="G26" s="12">
        <v>0</v>
      </c>
      <c r="I26" s="13">
        <f>I25-('Konfigurasi Model'!$B$11*T25)</f>
        <v>0.47448111118513692</v>
      </c>
      <c r="J26" s="13">
        <f>J25-('Konfigurasi Model'!$B$11*U25)</f>
        <v>0.3736531094027622</v>
      </c>
      <c r="K26" s="13">
        <f>K25-('Konfigurasi Model'!$B$11*V25)</f>
        <v>0.41372442696312794</v>
      </c>
      <c r="L26" s="13">
        <f>L25-('Konfigurasi Model'!$B$11*W25)</f>
        <v>0.46369292283768593</v>
      </c>
      <c r="M26" s="13">
        <f>M25-('Konfigurasi Model'!$B$11*X25)</f>
        <v>0.4945271864698142</v>
      </c>
      <c r="N26" s="13">
        <f t="shared" si="0"/>
        <v>4.804242607747252</v>
      </c>
      <c r="O26" s="13">
        <f t="shared" si="1"/>
        <v>0.99187170518488388</v>
      </c>
      <c r="P26" s="12">
        <f t="shared" si="2"/>
        <v>1</v>
      </c>
      <c r="Q26" s="13">
        <f t="shared" si="3"/>
        <v>0.99187170518488388</v>
      </c>
      <c r="R26" s="13">
        <f t="shared" si="4"/>
        <v>0.98380947954636921</v>
      </c>
      <c r="T26" s="14">
        <f t="shared" si="5"/>
        <v>1.5993386983317686E-2</v>
      </c>
      <c r="U26" s="14">
        <f t="shared" si="6"/>
        <v>8.1566273614920193E-2</v>
      </c>
      <c r="V26" s="14">
        <f t="shared" si="7"/>
        <v>5.9175531838275439E-2</v>
      </c>
      <c r="W26" s="14">
        <f t="shared" si="8"/>
        <v>2.3990080474976527E-2</v>
      </c>
      <c r="X26" s="14">
        <f t="shared" si="9"/>
        <v>6.3973547933270751E-3</v>
      </c>
      <c r="Y26" s="12">
        <f t="shared" si="10"/>
        <v>0</v>
      </c>
    </row>
    <row r="27" spans="1:25" x14ac:dyDescent="0.3">
      <c r="A27" s="23"/>
      <c r="B27" s="12">
        <v>23</v>
      </c>
      <c r="C27" s="12">
        <v>4.5999999999999996</v>
      </c>
      <c r="D27" s="12">
        <v>3.6</v>
      </c>
      <c r="E27" s="12">
        <v>1</v>
      </c>
      <c r="F27" s="12">
        <v>0.2</v>
      </c>
      <c r="G27" s="12">
        <v>0</v>
      </c>
      <c r="I27" s="13">
        <f>I26-('Konfigurasi Model'!$B$11*T26)</f>
        <v>0.47288177248680513</v>
      </c>
      <c r="J27" s="13">
        <f>J26-('Konfigurasi Model'!$B$11*U26)</f>
        <v>0.36549648204127017</v>
      </c>
      <c r="K27" s="13">
        <f>K26-('Konfigurasi Model'!$B$11*V26)</f>
        <v>0.40780687377930042</v>
      </c>
      <c r="L27" s="13">
        <f>L26-('Konfigurasi Model'!$B$11*W26)</f>
        <v>0.46129391479018828</v>
      </c>
      <c r="M27" s="13">
        <f>M26-('Konfigurasi Model'!$B$11*X26)</f>
        <v>0.49388745099048148</v>
      </c>
      <c r="N27" s="13">
        <f t="shared" si="0"/>
        <v>4.182341740470414</v>
      </c>
      <c r="O27" s="13">
        <f t="shared" si="1"/>
        <v>0.98496672439529676</v>
      </c>
      <c r="P27" s="12">
        <f t="shared" si="2"/>
        <v>1</v>
      </c>
      <c r="Q27" s="13">
        <f t="shared" si="3"/>
        <v>0.98496672439529676</v>
      </c>
      <c r="R27" s="13">
        <f t="shared" si="4"/>
        <v>0.97015944816600053</v>
      </c>
      <c r="T27" s="14">
        <f t="shared" si="5"/>
        <v>2.9169348729572595E-2</v>
      </c>
      <c r="U27" s="14">
        <f t="shared" si="6"/>
        <v>0.13417900415603393</v>
      </c>
      <c r="V27" s="14">
        <f t="shared" si="7"/>
        <v>0.10500965542646135</v>
      </c>
      <c r="W27" s="14">
        <f t="shared" si="8"/>
        <v>2.9169348729572595E-2</v>
      </c>
      <c r="X27" s="14">
        <f t="shared" si="9"/>
        <v>5.8338697459145196E-3</v>
      </c>
      <c r="Y27" s="12">
        <f t="shared" si="10"/>
        <v>0</v>
      </c>
    </row>
    <row r="28" spans="1:25" x14ac:dyDescent="0.3">
      <c r="A28" s="23"/>
      <c r="B28" s="12">
        <v>24</v>
      </c>
      <c r="C28" s="12">
        <v>5.0999999999999996</v>
      </c>
      <c r="D28" s="12">
        <v>3.3</v>
      </c>
      <c r="E28" s="12">
        <v>1.7</v>
      </c>
      <c r="F28" s="12">
        <v>0.5</v>
      </c>
      <c r="G28" s="12">
        <v>0</v>
      </c>
      <c r="I28" s="13">
        <f>I27-('Konfigurasi Model'!$B$11*T27)</f>
        <v>0.46996483761384789</v>
      </c>
      <c r="J28" s="13">
        <f>J27-('Konfigurasi Model'!$B$11*U27)</f>
        <v>0.3520785816256668</v>
      </c>
      <c r="K28" s="13">
        <f>K27-('Konfigurasi Model'!$B$11*V27)</f>
        <v>0.39730590823665429</v>
      </c>
      <c r="L28" s="13">
        <f>L27-('Konfigurasi Model'!$B$11*W27)</f>
        <v>0.45837697991723103</v>
      </c>
      <c r="M28" s="13">
        <f>M27-('Konfigurasi Model'!$B$11*X27)</f>
        <v>0.49330406401589005</v>
      </c>
      <c r="N28" s="13">
        <f t="shared" si="0"/>
        <v>4.6025679989529449</v>
      </c>
      <c r="O28" s="13">
        <f t="shared" si="1"/>
        <v>0.99007346820462561</v>
      </c>
      <c r="P28" s="12">
        <f t="shared" si="2"/>
        <v>1</v>
      </c>
      <c r="Q28" s="13">
        <f t="shared" si="3"/>
        <v>0.99007346820462561</v>
      </c>
      <c r="R28" s="13">
        <f t="shared" si="4"/>
        <v>0.98024547244273574</v>
      </c>
      <c r="T28" s="14">
        <f t="shared" si="5"/>
        <v>1.946087569894922E-2</v>
      </c>
      <c r="U28" s="14">
        <f t="shared" si="6"/>
        <v>9.9250466064641024E-2</v>
      </c>
      <c r="V28" s="14">
        <f t="shared" si="7"/>
        <v>6.4220889806532427E-2</v>
      </c>
      <c r="W28" s="14">
        <f t="shared" si="8"/>
        <v>3.3083488688213675E-2</v>
      </c>
      <c r="X28" s="14">
        <f t="shared" si="9"/>
        <v>9.7304378494746102E-3</v>
      </c>
      <c r="Y28" s="12">
        <f t="shared" si="10"/>
        <v>0</v>
      </c>
    </row>
    <row r="29" spans="1:25" x14ac:dyDescent="0.3">
      <c r="A29" s="23"/>
      <c r="B29" s="12">
        <v>25</v>
      </c>
      <c r="C29" s="12">
        <v>4.8</v>
      </c>
      <c r="D29" s="12">
        <v>3.4</v>
      </c>
      <c r="E29" s="12">
        <v>1.9</v>
      </c>
      <c r="F29" s="12">
        <v>0.2</v>
      </c>
      <c r="G29" s="12">
        <v>0</v>
      </c>
      <c r="I29" s="13">
        <f>I28-('Konfigurasi Model'!$B$11*T28)</f>
        <v>0.46801875004395299</v>
      </c>
      <c r="J29" s="13">
        <f>J28-('Konfigurasi Model'!$B$11*U28)</f>
        <v>0.3421535350192027</v>
      </c>
      <c r="K29" s="13">
        <f>K28-('Konfigurasi Model'!$B$11*V28)</f>
        <v>0.39088381925600107</v>
      </c>
      <c r="L29" s="13">
        <f>L28-('Konfigurasi Model'!$B$11*W28)</f>
        <v>0.45506863104840967</v>
      </c>
      <c r="M29" s="13">
        <f>M28-('Konfigurasi Model'!$B$11*X28)</f>
        <v>0.49233102023094261</v>
      </c>
      <c r="N29" s="13">
        <f t="shared" si="0"/>
        <v>4.4024573066446955</v>
      </c>
      <c r="O29" s="13">
        <f t="shared" si="1"/>
        <v>0.98790097156357326</v>
      </c>
      <c r="P29" s="12">
        <f t="shared" si="2"/>
        <v>1</v>
      </c>
      <c r="Q29" s="13">
        <f t="shared" si="3"/>
        <v>0.98790097156357326</v>
      </c>
      <c r="R29" s="13">
        <f t="shared" si="4"/>
        <v>0.975948329616252</v>
      </c>
      <c r="T29" s="14">
        <f t="shared" si="5"/>
        <v>2.3616053185020421E-2</v>
      </c>
      <c r="U29" s="14">
        <f t="shared" si="6"/>
        <v>0.11335705528809802</v>
      </c>
      <c r="V29" s="14">
        <f t="shared" si="7"/>
        <v>8.0294580829069429E-2</v>
      </c>
      <c r="W29" s="14">
        <f t="shared" si="8"/>
        <v>4.4870501051538794E-2</v>
      </c>
      <c r="X29" s="14">
        <f t="shared" si="9"/>
        <v>4.7232106370040843E-3</v>
      </c>
      <c r="Y29" s="12">
        <f t="shared" si="10"/>
        <v>0</v>
      </c>
    </row>
    <row r="30" spans="1:25" x14ac:dyDescent="0.3">
      <c r="A30" s="23"/>
      <c r="B30" s="12">
        <v>26</v>
      </c>
      <c r="C30" s="12">
        <v>5</v>
      </c>
      <c r="D30" s="12">
        <v>3</v>
      </c>
      <c r="E30" s="12">
        <v>1.6</v>
      </c>
      <c r="F30" s="12">
        <v>0.2</v>
      </c>
      <c r="G30" s="12">
        <v>0</v>
      </c>
      <c r="I30" s="13">
        <f>I29-('Konfigurasi Model'!$B$11*T29)</f>
        <v>0.46565714472545094</v>
      </c>
      <c r="J30" s="13">
        <f>J29-('Konfigurasi Model'!$B$11*U29)</f>
        <v>0.3308178294903929</v>
      </c>
      <c r="K30" s="13">
        <f>K29-('Konfigurasi Model'!$B$11*V29)</f>
        <v>0.38285436117309413</v>
      </c>
      <c r="L30" s="13">
        <f>L29-('Konfigurasi Model'!$B$11*W29)</f>
        <v>0.45058158094325579</v>
      </c>
      <c r="M30" s="13">
        <f>M29-('Konfigurasi Model'!$B$11*X29)</f>
        <v>0.49185869916724217</v>
      </c>
      <c r="N30" s="13">
        <f t="shared" si="0"/>
        <v>4.087611645039356</v>
      </c>
      <c r="O30" s="13">
        <f t="shared" si="1"/>
        <v>0.9834976368803946</v>
      </c>
      <c r="P30" s="12">
        <f t="shared" si="2"/>
        <v>1</v>
      </c>
      <c r="Q30" s="13">
        <f t="shared" si="3"/>
        <v>0.9834976368803946</v>
      </c>
      <c r="R30" s="13">
        <f t="shared" si="4"/>
        <v>0.96726760174932047</v>
      </c>
      <c r="T30" s="14">
        <f t="shared" si="5"/>
        <v>3.1924402395794305E-2</v>
      </c>
      <c r="U30" s="14">
        <f t="shared" si="6"/>
        <v>0.15962201197897152</v>
      </c>
      <c r="V30" s="14">
        <f t="shared" si="7"/>
        <v>9.5773207187382914E-2</v>
      </c>
      <c r="W30" s="14">
        <f t="shared" si="8"/>
        <v>5.1079043833270887E-2</v>
      </c>
      <c r="X30" s="14">
        <f t="shared" si="9"/>
        <v>6.3848804791588609E-3</v>
      </c>
      <c r="Y30" s="12">
        <f t="shared" si="10"/>
        <v>0</v>
      </c>
    </row>
    <row r="31" spans="1:25" x14ac:dyDescent="0.3">
      <c r="A31" s="23"/>
      <c r="B31" s="12">
        <v>27</v>
      </c>
      <c r="C31" s="12">
        <v>5</v>
      </c>
      <c r="D31" s="12">
        <v>3.4</v>
      </c>
      <c r="E31" s="12">
        <v>1.6</v>
      </c>
      <c r="F31" s="12">
        <v>0.4</v>
      </c>
      <c r="G31" s="12">
        <v>0</v>
      </c>
      <c r="I31" s="13">
        <f>I30-('Konfigurasi Model'!$B$11*T30)</f>
        <v>0.46246470448587151</v>
      </c>
      <c r="J31" s="13">
        <f>J30-('Konfigurasi Model'!$B$11*U30)</f>
        <v>0.31485562829249575</v>
      </c>
      <c r="K31" s="13">
        <f>K30-('Konfigurasi Model'!$B$11*V30)</f>
        <v>0.37327704045435584</v>
      </c>
      <c r="L31" s="13">
        <f>L30-('Konfigurasi Model'!$B$11*W30)</f>
        <v>0.4454736765599287</v>
      </c>
      <c r="M31" s="13">
        <f>M30-('Konfigurasi Model'!$B$11*X30)</f>
        <v>0.49122021111932629</v>
      </c>
      <c r="N31" s="13">
        <f t="shared" si="0"/>
        <v>4.2151307504367761</v>
      </c>
      <c r="O31" s="13">
        <f t="shared" si="1"/>
        <v>0.98544459855601108</v>
      </c>
      <c r="P31" s="12">
        <f t="shared" si="2"/>
        <v>1</v>
      </c>
      <c r="Q31" s="13">
        <f t="shared" si="3"/>
        <v>0.98544459855601108</v>
      </c>
      <c r="R31" s="13">
        <f t="shared" si="4"/>
        <v>0.97110105682321779</v>
      </c>
      <c r="T31" s="14">
        <f t="shared" si="5"/>
        <v>2.826953144948767E-2</v>
      </c>
      <c r="U31" s="14">
        <f t="shared" si="6"/>
        <v>0.14134765724743836</v>
      </c>
      <c r="V31" s="14">
        <f t="shared" si="7"/>
        <v>9.6116406928258069E-2</v>
      </c>
      <c r="W31" s="14">
        <f t="shared" si="8"/>
        <v>4.5231250319180273E-2</v>
      </c>
      <c r="X31" s="14">
        <f t="shared" si="9"/>
        <v>1.1307812579795068E-2</v>
      </c>
      <c r="Y31" s="12">
        <f t="shared" si="10"/>
        <v>0</v>
      </c>
    </row>
    <row r="32" spans="1:25" x14ac:dyDescent="0.3">
      <c r="A32" s="23"/>
      <c r="B32" s="12">
        <v>28</v>
      </c>
      <c r="C32" s="12">
        <v>5.2</v>
      </c>
      <c r="D32" s="12">
        <v>3.5</v>
      </c>
      <c r="E32" s="12">
        <v>1.5</v>
      </c>
      <c r="F32" s="12">
        <v>0.2</v>
      </c>
      <c r="G32" s="12">
        <v>0</v>
      </c>
      <c r="I32" s="13">
        <f>I31-('Konfigurasi Model'!$B$11*T31)</f>
        <v>0.45963775134092277</v>
      </c>
      <c r="J32" s="13">
        <f>J31-('Konfigurasi Model'!$B$11*U31)</f>
        <v>0.30072086256775193</v>
      </c>
      <c r="K32" s="13">
        <f>K31-('Konfigurasi Model'!$B$11*V31)</f>
        <v>0.36366539976153001</v>
      </c>
      <c r="L32" s="13">
        <f>L31-('Konfigurasi Model'!$B$11*W31)</f>
        <v>0.44095055152801066</v>
      </c>
      <c r="M32" s="13">
        <f>M31-('Konfigurasi Model'!$B$11*X31)</f>
        <v>0.49008942986134679</v>
      </c>
      <c r="N32" s="13">
        <f t="shared" si="0"/>
        <v>4.0556588491228736</v>
      </c>
      <c r="O32" s="13">
        <f t="shared" si="1"/>
        <v>0.98297094984953093</v>
      </c>
      <c r="P32" s="12">
        <f t="shared" si="2"/>
        <v>1</v>
      </c>
      <c r="Q32" s="13">
        <f t="shared" si="3"/>
        <v>0.98297094984953093</v>
      </c>
      <c r="R32" s="13">
        <f t="shared" si="4"/>
        <v>0.96623188824808903</v>
      </c>
      <c r="T32" s="14">
        <f t="shared" si="5"/>
        <v>3.2908022563918275E-2</v>
      </c>
      <c r="U32" s="14">
        <f t="shared" si="6"/>
        <v>0.17112171733237505</v>
      </c>
      <c r="V32" s="14">
        <f t="shared" si="7"/>
        <v>0.11517807897371396</v>
      </c>
      <c r="W32" s="14">
        <f t="shared" si="8"/>
        <v>4.9362033845877409E-2</v>
      </c>
      <c r="X32" s="14">
        <f t="shared" si="9"/>
        <v>6.5816045127836554E-3</v>
      </c>
      <c r="Y32" s="12">
        <f t="shared" si="10"/>
        <v>0</v>
      </c>
    </row>
    <row r="33" spans="1:25" x14ac:dyDescent="0.3">
      <c r="A33" s="23"/>
      <c r="B33" s="12">
        <v>29</v>
      </c>
      <c r="C33" s="12">
        <v>5.2</v>
      </c>
      <c r="D33" s="12">
        <v>3.4</v>
      </c>
      <c r="E33" s="12">
        <v>1.4</v>
      </c>
      <c r="F33" s="12">
        <v>0.2</v>
      </c>
      <c r="G33" s="12">
        <v>0</v>
      </c>
      <c r="I33" s="13">
        <f>I32-('Konfigurasi Model'!$B$11*T32)</f>
        <v>0.45634694908453094</v>
      </c>
      <c r="J33" s="13">
        <f>J32-('Konfigurasi Model'!$B$11*U32)</f>
        <v>0.28360869083451445</v>
      </c>
      <c r="K33" s="13">
        <f>K32-('Konfigurasi Model'!$B$11*V32)</f>
        <v>0.35214759186415862</v>
      </c>
      <c r="L33" s="13">
        <f>L32-('Konfigurasi Model'!$B$11*W32)</f>
        <v>0.43601434814342294</v>
      </c>
      <c r="M33" s="13">
        <f>M32-('Konfigurasi Model'!$B$11*X32)</f>
        <v>0.48943126941006843</v>
      </c>
      <c r="N33" s="13">
        <f t="shared" si="0"/>
        <v>3.8367202950449513</v>
      </c>
      <c r="O33" s="13">
        <f t="shared" si="1"/>
        <v>0.97889098939216779</v>
      </c>
      <c r="P33" s="12">
        <f t="shared" si="2"/>
        <v>1</v>
      </c>
      <c r="Q33" s="13">
        <f t="shared" si="3"/>
        <v>0.97889098939216779</v>
      </c>
      <c r="R33" s="13">
        <f t="shared" si="4"/>
        <v>0.95822756911317719</v>
      </c>
      <c r="T33" s="14">
        <f t="shared" si="5"/>
        <v>4.0454471842254668E-2</v>
      </c>
      <c r="U33" s="14">
        <f t="shared" si="6"/>
        <v>0.21036325357972427</v>
      </c>
      <c r="V33" s="14">
        <f t="shared" si="7"/>
        <v>0.13754520426366587</v>
      </c>
      <c r="W33" s="14">
        <f t="shared" si="8"/>
        <v>5.6636260579156529E-2</v>
      </c>
      <c r="X33" s="14">
        <f t="shared" si="9"/>
        <v>8.0908943684509342E-3</v>
      </c>
      <c r="Y33" s="12">
        <f t="shared" si="10"/>
        <v>0</v>
      </c>
    </row>
    <row r="34" spans="1:25" x14ac:dyDescent="0.3">
      <c r="A34" s="23"/>
      <c r="B34" s="12">
        <v>30</v>
      </c>
      <c r="C34" s="12">
        <v>4.7</v>
      </c>
      <c r="D34" s="12">
        <v>3.2</v>
      </c>
      <c r="E34" s="12">
        <v>1.6</v>
      </c>
      <c r="F34" s="12">
        <v>0.2</v>
      </c>
      <c r="G34" s="12">
        <v>0</v>
      </c>
      <c r="I34" s="13">
        <f>I33-('Konfigurasi Model'!$B$11*T33)</f>
        <v>0.45230150190030549</v>
      </c>
      <c r="J34" s="13">
        <f>J33-('Konfigurasi Model'!$B$11*U33)</f>
        <v>0.262572365476542</v>
      </c>
      <c r="K34" s="13">
        <f>K33-('Konfigurasi Model'!$B$11*V33)</f>
        <v>0.33839307143779201</v>
      </c>
      <c r="L34" s="13">
        <f>L33-('Konfigurasi Model'!$B$11*W33)</f>
        <v>0.43035072208550729</v>
      </c>
      <c r="M34" s="13">
        <f>M33-('Konfigurasi Model'!$B$11*X33)</f>
        <v>0.48862217997322333</v>
      </c>
      <c r="N34" s="13">
        <f t="shared" si="0"/>
        <v>3.5555350395724443</v>
      </c>
      <c r="O34" s="13">
        <f t="shared" si="1"/>
        <v>0.97222727133882225</v>
      </c>
      <c r="P34" s="12">
        <f t="shared" si="2"/>
        <v>1</v>
      </c>
      <c r="Q34" s="13">
        <f t="shared" si="3"/>
        <v>0.97222727133882225</v>
      </c>
      <c r="R34" s="13">
        <f t="shared" si="4"/>
        <v>0.94522586713493195</v>
      </c>
      <c r="T34" s="14">
        <f t="shared" si="5"/>
        <v>5.2503003062929827E-2</v>
      </c>
      <c r="U34" s="14">
        <f t="shared" si="6"/>
        <v>0.2467641143957702</v>
      </c>
      <c r="V34" s="14">
        <f t="shared" si="7"/>
        <v>0.16800960980137547</v>
      </c>
      <c r="W34" s="14">
        <f t="shared" si="8"/>
        <v>8.4004804900687735E-2</v>
      </c>
      <c r="X34" s="14">
        <f t="shared" si="9"/>
        <v>1.0500600612585967E-2</v>
      </c>
      <c r="Y34" s="12">
        <f t="shared" si="10"/>
        <v>0</v>
      </c>
    </row>
    <row r="35" spans="1:25" x14ac:dyDescent="0.3">
      <c r="A35" s="23"/>
      <c r="B35" s="12">
        <v>31</v>
      </c>
      <c r="C35" s="12">
        <v>4.8</v>
      </c>
      <c r="D35" s="12">
        <v>3.1</v>
      </c>
      <c r="E35" s="12">
        <v>1.6</v>
      </c>
      <c r="F35" s="12">
        <v>0.2</v>
      </c>
      <c r="G35" s="12">
        <v>0</v>
      </c>
      <c r="I35" s="13">
        <f>I34-('Konfigurasi Model'!$B$11*T34)</f>
        <v>0.44705120159401252</v>
      </c>
      <c r="J35" s="13">
        <f>J34-('Konfigurasi Model'!$B$11*U34)</f>
        <v>0.23789595403696498</v>
      </c>
      <c r="K35" s="13">
        <f>K34-('Konfigurasi Model'!$B$11*V34)</f>
        <v>0.32159211045765446</v>
      </c>
      <c r="L35" s="13">
        <f>L34-('Konfigurasi Model'!$B$11*W34)</f>
        <v>0.42195024159543854</v>
      </c>
      <c r="M35" s="13">
        <f>M34-('Konfigurasi Model'!$B$11*X34)</f>
        <v>0.48757211991196475</v>
      </c>
      <c r="N35" s="13">
        <f t="shared" si="0"/>
        <v>3.358522133925268</v>
      </c>
      <c r="O35" s="13">
        <f t="shared" si="1"/>
        <v>0.96638279823493989</v>
      </c>
      <c r="P35" s="12">
        <f t="shared" si="2"/>
        <v>1</v>
      </c>
      <c r="Q35" s="13">
        <f t="shared" si="3"/>
        <v>0.96638279823493989</v>
      </c>
      <c r="R35" s="13">
        <f t="shared" si="4"/>
        <v>0.93389571272439253</v>
      </c>
      <c r="T35" s="14">
        <f t="shared" si="5"/>
        <v>6.2789921204361041E-2</v>
      </c>
      <c r="U35" s="14">
        <f t="shared" si="6"/>
        <v>0.30139162178093298</v>
      </c>
      <c r="V35" s="14">
        <f t="shared" si="7"/>
        <v>0.19464875573351922</v>
      </c>
      <c r="W35" s="14">
        <f t="shared" si="8"/>
        <v>0.10046387392697767</v>
      </c>
      <c r="X35" s="14">
        <f t="shared" si="9"/>
        <v>1.2557984240872209E-2</v>
      </c>
      <c r="Y35" s="12">
        <f t="shared" si="10"/>
        <v>0</v>
      </c>
    </row>
    <row r="36" spans="1:25" x14ac:dyDescent="0.3">
      <c r="A36" s="23"/>
      <c r="B36" s="12">
        <v>32</v>
      </c>
      <c r="C36" s="12">
        <v>5.4</v>
      </c>
      <c r="D36" s="12">
        <v>3.4</v>
      </c>
      <c r="E36" s="12">
        <v>1.5</v>
      </c>
      <c r="F36" s="12">
        <v>0.4</v>
      </c>
      <c r="G36" s="12">
        <v>0</v>
      </c>
      <c r="I36" s="13">
        <f>I35-('Konfigurasi Model'!$B$11*T35)</f>
        <v>0.44077220947357643</v>
      </c>
      <c r="J36" s="13">
        <f>J35-('Konfigurasi Model'!$B$11*U35)</f>
        <v>0.20775679185887169</v>
      </c>
      <c r="K36" s="13">
        <f>K35-('Konfigurasi Model'!$B$11*V35)</f>
        <v>0.30212723488430254</v>
      </c>
      <c r="L36" s="13">
        <f>L35-('Konfigurasi Model'!$B$11*W35)</f>
        <v>0.41190385420274078</v>
      </c>
      <c r="M36" s="13">
        <f>M35-('Konfigurasi Model'!$B$11*X35)</f>
        <v>0.48631632148787751</v>
      </c>
      <c r="N36" s="13">
        <f t="shared" si="0"/>
        <v>3.4022737940173746</v>
      </c>
      <c r="O36" s="13">
        <f t="shared" si="1"/>
        <v>0.9677755214537539</v>
      </c>
      <c r="P36" s="12">
        <f t="shared" si="2"/>
        <v>1</v>
      </c>
      <c r="Q36" s="13">
        <f t="shared" si="3"/>
        <v>0.9677755214537539</v>
      </c>
      <c r="R36" s="13">
        <f t="shared" si="4"/>
        <v>0.93658945992508524</v>
      </c>
      <c r="T36" s="14">
        <f t="shared" si="5"/>
        <v>6.0362213915992273E-2</v>
      </c>
      <c r="U36" s="14">
        <f t="shared" si="6"/>
        <v>0.32595595514635828</v>
      </c>
      <c r="V36" s="14">
        <f t="shared" si="7"/>
        <v>0.20523152731437372</v>
      </c>
      <c r="W36" s="14">
        <f t="shared" si="8"/>
        <v>9.0543320873988406E-2</v>
      </c>
      <c r="X36" s="14">
        <f t="shared" si="9"/>
        <v>2.414488556639691E-2</v>
      </c>
      <c r="Y36" s="12">
        <f t="shared" si="10"/>
        <v>0</v>
      </c>
    </row>
    <row r="37" spans="1:25" x14ac:dyDescent="0.3">
      <c r="A37" s="23"/>
      <c r="B37" s="12">
        <v>33</v>
      </c>
      <c r="C37" s="12">
        <v>5.2</v>
      </c>
      <c r="D37" s="12">
        <v>4.0999999999999996</v>
      </c>
      <c r="E37" s="12">
        <v>1.5</v>
      </c>
      <c r="F37" s="12">
        <v>0.1</v>
      </c>
      <c r="G37" s="12">
        <v>0</v>
      </c>
      <c r="I37" s="13">
        <f>I36-('Konfigurasi Model'!$B$11*T36)</f>
        <v>0.43473598808197722</v>
      </c>
      <c r="J37" s="13">
        <f>J36-('Konfigurasi Model'!$B$11*U36)</f>
        <v>0.17516119634423585</v>
      </c>
      <c r="K37" s="13">
        <f>K36-('Konfigurasi Model'!$B$11*V36)</f>
        <v>0.28160408215286514</v>
      </c>
      <c r="L37" s="13">
        <f>L36-('Konfigurasi Model'!$B$11*W36)</f>
        <v>0.40284952211534192</v>
      </c>
      <c r="M37" s="13">
        <f>M36-('Konfigurasi Model'!$B$11*X36)</f>
        <v>0.48390183293123784</v>
      </c>
      <c r="N37" s="13">
        <f t="shared" si="0"/>
        <v>3.1528154123648875</v>
      </c>
      <c r="O37" s="13">
        <f t="shared" si="1"/>
        <v>0.95901951366959881</v>
      </c>
      <c r="P37" s="12">
        <f t="shared" si="2"/>
        <v>1</v>
      </c>
      <c r="Q37" s="13">
        <f t="shared" si="3"/>
        <v>0.95901951366959881</v>
      </c>
      <c r="R37" s="13">
        <f t="shared" si="4"/>
        <v>0.91971842759907385</v>
      </c>
      <c r="T37" s="14">
        <f t="shared" si="5"/>
        <v>7.5381016900083836E-2</v>
      </c>
      <c r="U37" s="14">
        <f t="shared" si="6"/>
        <v>0.39198128788043596</v>
      </c>
      <c r="V37" s="14">
        <f t="shared" si="7"/>
        <v>0.30906216929034369</v>
      </c>
      <c r="W37" s="14">
        <f t="shared" si="8"/>
        <v>0.11307152535012575</v>
      </c>
      <c r="X37" s="14">
        <f t="shared" si="9"/>
        <v>7.5381016900083839E-3</v>
      </c>
      <c r="Y37" s="12">
        <f t="shared" si="10"/>
        <v>0</v>
      </c>
    </row>
    <row r="38" spans="1:25" x14ac:dyDescent="0.3">
      <c r="A38" s="23"/>
      <c r="B38" s="12">
        <v>34</v>
      </c>
      <c r="C38" s="12">
        <v>5.5</v>
      </c>
      <c r="D38" s="12">
        <v>4.2</v>
      </c>
      <c r="E38" s="12">
        <v>1.4</v>
      </c>
      <c r="F38" s="12">
        <v>0.2</v>
      </c>
      <c r="G38" s="12">
        <v>0</v>
      </c>
      <c r="I38" s="13">
        <f>I37-('Konfigurasi Model'!$B$11*T37)</f>
        <v>0.42719788639196882</v>
      </c>
      <c r="J38" s="13">
        <f>J37-('Konfigurasi Model'!$B$11*U37)</f>
        <v>0.13596306755619225</v>
      </c>
      <c r="K38" s="13">
        <f>K37-('Konfigurasi Model'!$B$11*V37)</f>
        <v>0.25069786522383075</v>
      </c>
      <c r="L38" s="13">
        <f>L37-('Konfigurasi Model'!$B$11*W37)</f>
        <v>0.39154236958032934</v>
      </c>
      <c r="M38" s="13">
        <f>M37-('Konfigurasi Model'!$B$11*X37)</f>
        <v>0.48314802276223701</v>
      </c>
      <c r="N38" s="13">
        <f t="shared" si="0"/>
        <v>2.8727147138560234</v>
      </c>
      <c r="O38" s="13">
        <f t="shared" si="1"/>
        <v>0.94648102777936105</v>
      </c>
      <c r="P38" s="12">
        <f t="shared" si="2"/>
        <v>1</v>
      </c>
      <c r="Q38" s="13">
        <f t="shared" si="3"/>
        <v>0.94648102777936105</v>
      </c>
      <c r="R38" s="13">
        <f t="shared" si="4"/>
        <v>0.89582633594627559</v>
      </c>
      <c r="T38" s="14">
        <f t="shared" si="5"/>
        <v>9.5887409576051005E-2</v>
      </c>
      <c r="U38" s="14">
        <f t="shared" si="6"/>
        <v>0.52738075266828055</v>
      </c>
      <c r="V38" s="14">
        <f t="shared" si="7"/>
        <v>0.40272712021941426</v>
      </c>
      <c r="W38" s="14">
        <f t="shared" si="8"/>
        <v>0.13424237340647141</v>
      </c>
      <c r="X38" s="14">
        <f t="shared" si="9"/>
        <v>1.9177481915210202E-2</v>
      </c>
      <c r="Y38" s="12">
        <f t="shared" si="10"/>
        <v>0</v>
      </c>
    </row>
    <row r="39" spans="1:25" x14ac:dyDescent="0.3">
      <c r="A39" s="23"/>
      <c r="B39" s="12">
        <v>35</v>
      </c>
      <c r="C39" s="12">
        <v>4.9000000000000004</v>
      </c>
      <c r="D39" s="12">
        <v>3.1</v>
      </c>
      <c r="E39" s="12">
        <v>1.5</v>
      </c>
      <c r="F39" s="12">
        <v>0.1</v>
      </c>
      <c r="G39" s="12">
        <v>0</v>
      </c>
      <c r="I39" s="13">
        <f>I38-('Konfigurasi Model'!$B$11*T38)</f>
        <v>0.41760914543436373</v>
      </c>
      <c r="J39" s="13">
        <f>J38-('Konfigurasi Model'!$B$11*U38)</f>
        <v>8.3224992289364197E-2</v>
      </c>
      <c r="K39" s="13">
        <f>K38-('Konfigurasi Model'!$B$11*V38)</f>
        <v>0.21042515320188931</v>
      </c>
      <c r="L39" s="13">
        <f>L38-('Konfigurasi Model'!$B$11*W38)</f>
        <v>0.37811813223968221</v>
      </c>
      <c r="M39" s="13">
        <f>M38-('Konfigurasi Model'!$B$11*X38)</f>
        <v>0.48123027457071599</v>
      </c>
      <c r="N39" s="13">
        <f t="shared" si="0"/>
        <v>2.0930298083947001</v>
      </c>
      <c r="O39" s="13">
        <f t="shared" si="1"/>
        <v>0.89022386493303152</v>
      </c>
      <c r="P39" s="12">
        <f t="shared" si="2"/>
        <v>1</v>
      </c>
      <c r="Q39" s="13">
        <f t="shared" si="3"/>
        <v>0.89022386493303152</v>
      </c>
      <c r="R39" s="13">
        <f t="shared" si="4"/>
        <v>0.7924985296963043</v>
      </c>
      <c r="T39" s="14">
        <f t="shared" si="5"/>
        <v>0.17399485127263087</v>
      </c>
      <c r="U39" s="14">
        <f t="shared" si="6"/>
        <v>0.85257477123589132</v>
      </c>
      <c r="V39" s="14">
        <f t="shared" si="7"/>
        <v>0.53938403894515574</v>
      </c>
      <c r="W39" s="14">
        <f t="shared" si="8"/>
        <v>0.26099227690894633</v>
      </c>
      <c r="X39" s="14">
        <f t="shared" si="9"/>
        <v>1.7399485127263088E-2</v>
      </c>
      <c r="Y39" s="12">
        <f t="shared" si="10"/>
        <v>0</v>
      </c>
    </row>
    <row r="40" spans="1:25" x14ac:dyDescent="0.3">
      <c r="A40" s="23"/>
      <c r="B40" s="12">
        <v>36</v>
      </c>
      <c r="C40" s="12">
        <v>5</v>
      </c>
      <c r="D40" s="12">
        <v>3.2</v>
      </c>
      <c r="E40" s="12">
        <v>1.2</v>
      </c>
      <c r="F40" s="12">
        <v>0.2</v>
      </c>
      <c r="G40" s="12">
        <v>0</v>
      </c>
      <c r="I40" s="13">
        <f>I39-('Konfigurasi Model'!$B$11*T39)</f>
        <v>0.40020966030710065</v>
      </c>
      <c r="J40" s="13">
        <f>J39-('Konfigurasi Model'!$B$11*U39)</f>
        <v>-2.0324848342249402E-3</v>
      </c>
      <c r="K40" s="13">
        <f>K39-('Konfigurasi Model'!$B$11*V39)</f>
        <v>0.15648674930737375</v>
      </c>
      <c r="L40" s="13">
        <f>L39-('Konfigurasi Model'!$B$11*W39)</f>
        <v>0.35201890454878759</v>
      </c>
      <c r="M40" s="13">
        <f>M39-('Konfigurasi Model'!$B$11*X39)</f>
        <v>0.47949032605798969</v>
      </c>
      <c r="N40" s="13">
        <f t="shared" si="0"/>
        <v>1.4091255845897148</v>
      </c>
      <c r="O40" s="13">
        <f t="shared" si="1"/>
        <v>0.80362798873485086</v>
      </c>
      <c r="P40" s="12">
        <f t="shared" si="2"/>
        <v>1</v>
      </c>
      <c r="Q40" s="13">
        <f t="shared" si="3"/>
        <v>0.80362798873485086</v>
      </c>
      <c r="R40" s="13">
        <f t="shared" si="4"/>
        <v>0.64581794427802164</v>
      </c>
      <c r="T40" s="14">
        <f t="shared" si="5"/>
        <v>0.25364113725799825</v>
      </c>
      <c r="U40" s="14">
        <f t="shared" si="6"/>
        <v>1.2682056862899913</v>
      </c>
      <c r="V40" s="14">
        <f t="shared" si="7"/>
        <v>0.81165163922559447</v>
      </c>
      <c r="W40" s="14">
        <f t="shared" si="8"/>
        <v>0.30436936470959791</v>
      </c>
      <c r="X40" s="14">
        <f t="shared" si="9"/>
        <v>5.0728227451599654E-2</v>
      </c>
      <c r="Y40" s="12">
        <f t="shared" si="10"/>
        <v>0</v>
      </c>
    </row>
    <row r="41" spans="1:25" x14ac:dyDescent="0.3">
      <c r="A41" s="23"/>
      <c r="B41" s="12">
        <v>37</v>
      </c>
      <c r="C41" s="12">
        <v>5.5</v>
      </c>
      <c r="D41" s="12">
        <v>3.5</v>
      </c>
      <c r="E41" s="12">
        <v>1.3</v>
      </c>
      <c r="F41" s="12">
        <v>0.2</v>
      </c>
      <c r="G41" s="12">
        <v>0</v>
      </c>
      <c r="I41" s="13">
        <f>I40-('Konfigurasi Model'!$B$11*T40)</f>
        <v>0.37484554658130081</v>
      </c>
      <c r="J41" s="13">
        <f>J40-('Konfigurasi Model'!$B$11*U40)</f>
        <v>-0.12885305346322407</v>
      </c>
      <c r="K41" s="13">
        <f>K40-('Konfigurasi Model'!$B$11*V40)</f>
        <v>7.5321585384814288E-2</v>
      </c>
      <c r="L41" s="13">
        <f>L40-('Konfigurasi Model'!$B$11*W40)</f>
        <v>0.3215819680778278</v>
      </c>
      <c r="M41" s="13">
        <f>M40-('Konfigurasi Model'!$B$11*X40)</f>
        <v>0.47441750331282972</v>
      </c>
      <c r="N41" s="13">
        <f t="shared" si="0"/>
        <v>0.4427193605441605</v>
      </c>
      <c r="O41" s="13">
        <f t="shared" si="1"/>
        <v>0.60890680882670545</v>
      </c>
      <c r="P41" s="12">
        <f t="shared" si="2"/>
        <v>1</v>
      </c>
      <c r="Q41" s="13">
        <f t="shared" si="3"/>
        <v>0.60890680882670545</v>
      </c>
      <c r="R41" s="13">
        <f t="shared" si="4"/>
        <v>0.37076750183552204</v>
      </c>
      <c r="T41" s="14">
        <f t="shared" si="5"/>
        <v>0.29000929095240929</v>
      </c>
      <c r="U41" s="14">
        <f t="shared" si="6"/>
        <v>1.595051100238251</v>
      </c>
      <c r="V41" s="14">
        <f t="shared" si="7"/>
        <v>1.0150325183334326</v>
      </c>
      <c r="W41" s="14">
        <f t="shared" si="8"/>
        <v>0.3770120782381321</v>
      </c>
      <c r="X41" s="14">
        <f t="shared" si="9"/>
        <v>5.8001858190481863E-2</v>
      </c>
      <c r="Y41" s="12">
        <f t="shared" si="10"/>
        <v>0</v>
      </c>
    </row>
    <row r="42" spans="1:25" x14ac:dyDescent="0.3">
      <c r="A42" s="23"/>
      <c r="B42" s="12">
        <v>38</v>
      </c>
      <c r="C42" s="12">
        <v>4.9000000000000004</v>
      </c>
      <c r="D42" s="12">
        <v>3.1</v>
      </c>
      <c r="E42" s="12">
        <v>1.5</v>
      </c>
      <c r="F42" s="12">
        <v>0.1</v>
      </c>
      <c r="G42" s="12">
        <v>0</v>
      </c>
      <c r="I42" s="13">
        <f>I41-('Konfigurasi Model'!$B$11*T41)</f>
        <v>0.34584461748605988</v>
      </c>
      <c r="J42" s="13">
        <f>J41-('Konfigurasi Model'!$B$11*U41)</f>
        <v>-0.28835816348704918</v>
      </c>
      <c r="K42" s="13">
        <f>K41-('Konfigurasi Model'!$B$11*V41)</f>
        <v>-2.618166644852897E-2</v>
      </c>
      <c r="L42" s="13">
        <f>L41-('Konfigurasi Model'!$B$11*W41)</f>
        <v>0.2838807602540146</v>
      </c>
      <c r="M42" s="13">
        <f>M41-('Konfigurasi Model'!$B$11*X41)</f>
        <v>0.46861731749378155</v>
      </c>
      <c r="N42" s="13">
        <f t="shared" si="0"/>
        <v>-0.67559067746052082</v>
      </c>
      <c r="O42" s="13">
        <f t="shared" si="1"/>
        <v>0.33724612712614982</v>
      </c>
      <c r="P42" s="12">
        <f t="shared" si="2"/>
        <v>0</v>
      </c>
      <c r="Q42" s="13">
        <f t="shared" si="3"/>
        <v>0.33724612712614982</v>
      </c>
      <c r="R42" s="13">
        <f t="shared" si="4"/>
        <v>0.11373495026158721</v>
      </c>
      <c r="T42" s="14">
        <f t="shared" si="5"/>
        <v>0.15075655753396328</v>
      </c>
      <c r="U42" s="14">
        <f t="shared" si="6"/>
        <v>0.73870713191642012</v>
      </c>
      <c r="V42" s="14">
        <f t="shared" si="7"/>
        <v>0.46734532835528619</v>
      </c>
      <c r="W42" s="14">
        <f t="shared" si="8"/>
        <v>0.22613483630094491</v>
      </c>
      <c r="X42" s="14">
        <f t="shared" si="9"/>
        <v>1.5075655753396328E-2</v>
      </c>
      <c r="Y42" s="12">
        <f t="shared" si="10"/>
        <v>1</v>
      </c>
    </row>
    <row r="43" spans="1:25" x14ac:dyDescent="0.3">
      <c r="A43" s="23"/>
      <c r="B43" s="12">
        <v>39</v>
      </c>
      <c r="C43" s="12">
        <v>4.4000000000000004</v>
      </c>
      <c r="D43" s="12">
        <v>3</v>
      </c>
      <c r="E43" s="12">
        <v>1.3</v>
      </c>
      <c r="F43" s="12">
        <v>0.2</v>
      </c>
      <c r="G43" s="12">
        <v>0</v>
      </c>
      <c r="I43" s="13">
        <f>I42-('Konfigurasi Model'!$B$11*T42)</f>
        <v>0.33076896173266357</v>
      </c>
      <c r="J43" s="13">
        <f>J42-('Konfigurasi Model'!$B$11*U42)</f>
        <v>-0.36222887667869119</v>
      </c>
      <c r="K43" s="13">
        <f>K42-('Konfigurasi Model'!$B$11*V42)</f>
        <v>-7.2916199284057598E-2</v>
      </c>
      <c r="L43" s="13">
        <f>L42-('Konfigurasi Model'!$B$11*W42)</f>
        <v>0.26126727662392013</v>
      </c>
      <c r="M43" s="13">
        <f>M42-('Konfigurasi Model'!$B$11*X42)</f>
        <v>0.4671097519184419</v>
      </c>
      <c r="N43" s="13">
        <f t="shared" si="0"/>
        <v>-1.0487172835109662</v>
      </c>
      <c r="O43" s="13">
        <f t="shared" si="1"/>
        <v>0.25947149365528704</v>
      </c>
      <c r="P43" s="12">
        <f t="shared" si="2"/>
        <v>0</v>
      </c>
      <c r="Q43" s="13">
        <f t="shared" si="3"/>
        <v>0.25947149365528704</v>
      </c>
      <c r="R43" s="13">
        <f t="shared" si="4"/>
        <v>6.732545601970566E-2</v>
      </c>
      <c r="T43" s="14">
        <f t="shared" si="5"/>
        <v>9.9712838770498594E-2</v>
      </c>
      <c r="U43" s="14">
        <f t="shared" si="6"/>
        <v>0.43873649059019387</v>
      </c>
      <c r="V43" s="14">
        <f t="shared" si="7"/>
        <v>0.29913851631149579</v>
      </c>
      <c r="W43" s="14">
        <f t="shared" si="8"/>
        <v>0.12962669040164818</v>
      </c>
      <c r="X43" s="14">
        <f t="shared" si="9"/>
        <v>1.9942567754099721E-2</v>
      </c>
      <c r="Y43" s="12">
        <f t="shared" si="10"/>
        <v>1</v>
      </c>
    </row>
    <row r="44" spans="1:25" x14ac:dyDescent="0.3">
      <c r="A44" s="23"/>
      <c r="B44" s="12">
        <v>40</v>
      </c>
      <c r="C44" s="12">
        <v>5.0999999999999996</v>
      </c>
      <c r="D44" s="12">
        <v>3.4</v>
      </c>
      <c r="E44" s="12">
        <v>1.5</v>
      </c>
      <c r="F44" s="12">
        <v>0.2</v>
      </c>
      <c r="G44" s="12">
        <v>0</v>
      </c>
      <c r="I44" s="13">
        <f>I43-('Konfigurasi Model'!$B$11*T43)</f>
        <v>0.32079767785561369</v>
      </c>
      <c r="J44" s="13">
        <f>J43-('Konfigurasi Model'!$B$11*U43)</f>
        <v>-0.40610252573771055</v>
      </c>
      <c r="K44" s="13">
        <f>K43-('Konfigurasi Model'!$B$11*V43)</f>
        <v>-0.10283005091520718</v>
      </c>
      <c r="L44" s="13">
        <f>L43-('Konfigurasi Model'!$B$11*W43)</f>
        <v>0.2483046075837553</v>
      </c>
      <c r="M44" s="13">
        <f>M43-('Konfigurasi Model'!$B$11*X43)</f>
        <v>0.46511549514303191</v>
      </c>
      <c r="N44" s="13">
        <f t="shared" si="0"/>
        <v>-1.6344673661141749</v>
      </c>
      <c r="O44" s="13">
        <f t="shared" si="1"/>
        <v>0.1632192955659949</v>
      </c>
      <c r="P44" s="12">
        <f t="shared" si="2"/>
        <v>0</v>
      </c>
      <c r="Q44" s="13">
        <f t="shared" si="3"/>
        <v>0.1632192955659949</v>
      </c>
      <c r="R44" s="13">
        <f t="shared" si="4"/>
        <v>2.6640538445059602E-2</v>
      </c>
      <c r="T44" s="14">
        <f t="shared" si="5"/>
        <v>4.4584577053116345E-2</v>
      </c>
      <c r="U44" s="14">
        <f t="shared" si="6"/>
        <v>0.22738134297089335</v>
      </c>
      <c r="V44" s="14">
        <f t="shared" si="7"/>
        <v>0.15158756198059556</v>
      </c>
      <c r="W44" s="14">
        <f t="shared" si="8"/>
        <v>6.687686557967451E-2</v>
      </c>
      <c r="X44" s="14">
        <f t="shared" si="9"/>
        <v>8.916915410623269E-3</v>
      </c>
      <c r="Y44" s="12">
        <f t="shared" si="10"/>
        <v>1</v>
      </c>
    </row>
    <row r="45" spans="1:25" x14ac:dyDescent="0.3">
      <c r="A45" s="23"/>
      <c r="B45" s="12">
        <v>41</v>
      </c>
      <c r="C45" s="12">
        <v>7</v>
      </c>
      <c r="D45" s="12">
        <v>3.2</v>
      </c>
      <c r="E45" s="12">
        <v>4.7</v>
      </c>
      <c r="F45" s="12">
        <v>1.4</v>
      </c>
      <c r="G45" s="12">
        <v>1</v>
      </c>
      <c r="I45" s="13">
        <f>I44-('Konfigurasi Model'!$B$11*T44)</f>
        <v>0.31633922015030208</v>
      </c>
      <c r="J45" s="13">
        <f>J44-('Konfigurasi Model'!$B$11*U44)</f>
        <v>-0.42884066003479987</v>
      </c>
      <c r="K45" s="13">
        <f>K44-('Konfigurasi Model'!$B$11*V44)</f>
        <v>-0.11798880711326673</v>
      </c>
      <c r="L45" s="13">
        <f>L44-('Konfigurasi Model'!$B$11*W44)</f>
        <v>0.24161692102578786</v>
      </c>
      <c r="M45" s="13">
        <f>M44-('Konfigurasi Model'!$B$11*X44)</f>
        <v>0.46422380360196958</v>
      </c>
      <c r="N45" s="13">
        <f t="shared" si="0"/>
        <v>-1.2775967289917902</v>
      </c>
      <c r="O45" s="13">
        <f t="shared" si="1"/>
        <v>0.21795959115502309</v>
      </c>
      <c r="P45" s="12">
        <f t="shared" si="2"/>
        <v>0</v>
      </c>
      <c r="Q45" s="13">
        <f t="shared" si="3"/>
        <v>-0.78204040884497694</v>
      </c>
      <c r="R45" s="13">
        <f t="shared" si="4"/>
        <v>0.61158720106641873</v>
      </c>
      <c r="T45" s="14">
        <f t="shared" si="5"/>
        <v>-0.26660259260016306</v>
      </c>
      <c r="U45" s="14">
        <f t="shared" si="6"/>
        <v>-1.8662181482011415</v>
      </c>
      <c r="V45" s="14">
        <f t="shared" si="7"/>
        <v>-0.85312829632052178</v>
      </c>
      <c r="W45" s="14">
        <f t="shared" si="8"/>
        <v>-1.2530321852207664</v>
      </c>
      <c r="X45" s="14">
        <f t="shared" si="9"/>
        <v>-0.37324362964022828</v>
      </c>
      <c r="Y45" s="12">
        <f t="shared" si="10"/>
        <v>0</v>
      </c>
    </row>
    <row r="46" spans="1:25" x14ac:dyDescent="0.3">
      <c r="A46" s="23"/>
      <c r="B46" s="12">
        <v>42</v>
      </c>
      <c r="C46" s="12">
        <v>6.4</v>
      </c>
      <c r="D46" s="12">
        <v>3.2</v>
      </c>
      <c r="E46" s="12">
        <v>4.5</v>
      </c>
      <c r="F46" s="12">
        <v>1.5</v>
      </c>
      <c r="G46" s="12">
        <v>1</v>
      </c>
      <c r="I46" s="13">
        <f>I45-('Konfigurasi Model'!$B$11*T45)</f>
        <v>0.34299947941031839</v>
      </c>
      <c r="J46" s="13">
        <f>J45-('Konfigurasi Model'!$B$11*U45)</f>
        <v>-0.2422188452146857</v>
      </c>
      <c r="K46" s="13">
        <f>K45-('Konfigurasi Model'!$B$11*V45)</f>
        <v>-3.2675977481214549E-2</v>
      </c>
      <c r="L46" s="13">
        <f>L45-('Konfigurasi Model'!$B$11*W45)</f>
        <v>0.36692013954786451</v>
      </c>
      <c r="M46" s="13">
        <f>M45-('Konfigurasi Model'!$B$11*X45)</f>
        <v>0.50154816656599244</v>
      </c>
      <c r="N46" s="13">
        <f t="shared" si="0"/>
        <v>1.0916986199108218</v>
      </c>
      <c r="O46" s="13">
        <f t="shared" si="1"/>
        <v>0.74870144784056869</v>
      </c>
      <c r="P46" s="12">
        <f t="shared" si="2"/>
        <v>1</v>
      </c>
      <c r="Q46" s="13">
        <f t="shared" si="3"/>
        <v>-0.25129855215943131</v>
      </c>
      <c r="R46" s="13">
        <f t="shared" si="4"/>
        <v>6.3150962317426423E-2</v>
      </c>
      <c r="T46" s="14">
        <f t="shared" si="5"/>
        <v>-9.4562433839164711E-2</v>
      </c>
      <c r="U46" s="14">
        <f t="shared" si="6"/>
        <v>-0.60519957657065415</v>
      </c>
      <c r="V46" s="14">
        <f t="shared" si="7"/>
        <v>-0.30259978828532708</v>
      </c>
      <c r="W46" s="14">
        <f t="shared" si="8"/>
        <v>-0.42553095227624121</v>
      </c>
      <c r="X46" s="14">
        <f t="shared" si="9"/>
        <v>-0.14184365075874705</v>
      </c>
      <c r="Y46" s="12">
        <f t="shared" si="10"/>
        <v>1</v>
      </c>
    </row>
    <row r="47" spans="1:25" x14ac:dyDescent="0.3">
      <c r="A47" s="23"/>
      <c r="B47" s="12">
        <v>43</v>
      </c>
      <c r="C47" s="12">
        <v>6.9</v>
      </c>
      <c r="D47" s="12">
        <v>3.1</v>
      </c>
      <c r="E47" s="12">
        <v>4.9000000000000004</v>
      </c>
      <c r="F47" s="12">
        <v>1.5</v>
      </c>
      <c r="G47" s="12">
        <v>1</v>
      </c>
      <c r="I47" s="13">
        <f>I46-('Konfigurasi Model'!$B$11*T46)</f>
        <v>0.35245572279423487</v>
      </c>
      <c r="J47" s="13">
        <f>J46-('Konfigurasi Model'!$B$11*U46)</f>
        <v>-0.18169888755762029</v>
      </c>
      <c r="K47" s="13">
        <f>K46-('Konfigurasi Model'!$B$11*V46)</f>
        <v>-2.4159986526818417E-3</v>
      </c>
      <c r="L47" s="13">
        <f>L46-('Konfigurasi Model'!$B$11*W46)</f>
        <v>0.40947323477548864</v>
      </c>
      <c r="M47" s="13">
        <f>M46-('Konfigurasi Model'!$B$11*X46)</f>
        <v>0.51573253164186716</v>
      </c>
      <c r="N47" s="13">
        <f t="shared" si="0"/>
        <v>1.8712614506860363</v>
      </c>
      <c r="O47" s="13">
        <f t="shared" si="1"/>
        <v>0.86660417035903714</v>
      </c>
      <c r="P47" s="12">
        <f t="shared" si="2"/>
        <v>1</v>
      </c>
      <c r="Q47" s="13">
        <f t="shared" si="3"/>
        <v>-0.13339582964096286</v>
      </c>
      <c r="R47" s="13">
        <f t="shared" si="4"/>
        <v>1.7794447365600787E-2</v>
      </c>
      <c r="T47" s="14">
        <f t="shared" si="5"/>
        <v>-3.084148459252805E-2</v>
      </c>
      <c r="U47" s="14">
        <f t="shared" si="6"/>
        <v>-0.21280624368844356</v>
      </c>
      <c r="V47" s="14">
        <f t="shared" si="7"/>
        <v>-9.5608602236836954E-2</v>
      </c>
      <c r="W47" s="14">
        <f t="shared" si="8"/>
        <v>-0.15112327450338744</v>
      </c>
      <c r="X47" s="14">
        <f t="shared" si="9"/>
        <v>-4.6262226888792071E-2</v>
      </c>
      <c r="Y47" s="12">
        <f t="shared" si="10"/>
        <v>1</v>
      </c>
    </row>
    <row r="48" spans="1:25" x14ac:dyDescent="0.3">
      <c r="A48" s="23"/>
      <c r="B48" s="12">
        <v>44</v>
      </c>
      <c r="C48" s="12">
        <v>5.5</v>
      </c>
      <c r="D48" s="12">
        <v>2.2999999999999998</v>
      </c>
      <c r="E48" s="12">
        <v>4</v>
      </c>
      <c r="F48" s="12">
        <v>1.3</v>
      </c>
      <c r="G48" s="12">
        <v>1</v>
      </c>
      <c r="I48" s="13">
        <f>I47-('Konfigurasi Model'!$B$11*T47)</f>
        <v>0.35553987125348768</v>
      </c>
      <c r="J48" s="13">
        <f>J47-('Konfigurasi Model'!$B$11*U47)</f>
        <v>-0.16041826318877594</v>
      </c>
      <c r="K48" s="13">
        <f>K47-('Konfigurasi Model'!$B$11*V47)</f>
        <v>7.1448615710018541E-3</v>
      </c>
      <c r="L48" s="13">
        <f>L47-('Konfigurasi Model'!$B$11*W47)</f>
        <v>0.42458556222582738</v>
      </c>
      <c r="M48" s="13">
        <f>M47-('Konfigurasi Model'!$B$11*X47)</f>
        <v>0.52035875433074641</v>
      </c>
      <c r="N48" s="13">
        <f t="shared" si="0"/>
        <v>1.8644812348618043</v>
      </c>
      <c r="O48" s="13">
        <f t="shared" si="1"/>
        <v>0.86581841793805581</v>
      </c>
      <c r="P48" s="12">
        <f t="shared" si="2"/>
        <v>1</v>
      </c>
      <c r="Q48" s="13">
        <f t="shared" si="3"/>
        <v>-0.13418158206194419</v>
      </c>
      <c r="R48" s="13">
        <f t="shared" si="4"/>
        <v>1.8004696964646263E-2</v>
      </c>
      <c r="T48" s="14">
        <f t="shared" si="5"/>
        <v>-3.1177596482768286E-2</v>
      </c>
      <c r="U48" s="14">
        <f t="shared" si="6"/>
        <v>-0.17147678065522556</v>
      </c>
      <c r="V48" s="14">
        <f t="shared" si="7"/>
        <v>-7.1708471910367055E-2</v>
      </c>
      <c r="W48" s="14">
        <f t="shared" si="8"/>
        <v>-0.12471038593107314</v>
      </c>
      <c r="X48" s="14">
        <f t="shared" si="9"/>
        <v>-4.053087542759877E-2</v>
      </c>
      <c r="Y48" s="12">
        <f t="shared" si="10"/>
        <v>1</v>
      </c>
    </row>
    <row r="49" spans="1:25" x14ac:dyDescent="0.3">
      <c r="A49" s="23"/>
      <c r="B49" s="12">
        <v>45</v>
      </c>
      <c r="C49" s="12">
        <v>6.5</v>
      </c>
      <c r="D49" s="12">
        <v>2.8</v>
      </c>
      <c r="E49" s="12">
        <v>4.5999999999999996</v>
      </c>
      <c r="F49" s="12">
        <v>1.5</v>
      </c>
      <c r="G49" s="12">
        <v>1</v>
      </c>
      <c r="I49" s="13">
        <f>I48-('Konfigurasi Model'!$B$11*T48)</f>
        <v>0.3586576309017645</v>
      </c>
      <c r="J49" s="13">
        <f>J48-('Konfigurasi Model'!$B$11*U48)</f>
        <v>-0.14327058512325339</v>
      </c>
      <c r="K49" s="13">
        <f>K48-('Konfigurasi Model'!$B$11*V48)</f>
        <v>1.4315708762038561E-2</v>
      </c>
      <c r="L49" s="13">
        <f>L48-('Konfigurasi Model'!$B$11*W48)</f>
        <v>0.43705660081893472</v>
      </c>
      <c r="M49" s="13">
        <f>M48-('Konfigurasi Model'!$B$11*X48)</f>
        <v>0.52441184187350631</v>
      </c>
      <c r="N49" s="13">
        <f t="shared" si="0"/>
        <v>2.2645609387116847</v>
      </c>
      <c r="O49" s="13">
        <f t="shared" si="1"/>
        <v>0.905899152712908</v>
      </c>
      <c r="P49" s="12">
        <f t="shared" si="2"/>
        <v>1</v>
      </c>
      <c r="Q49" s="13">
        <f t="shared" si="3"/>
        <v>-9.4100847287092004E-2</v>
      </c>
      <c r="R49" s="13">
        <f t="shared" si="4"/>
        <v>8.8549694601486109E-3</v>
      </c>
      <c r="T49" s="14">
        <f t="shared" si="5"/>
        <v>-1.6043418662494605E-2</v>
      </c>
      <c r="U49" s="14">
        <f t="shared" si="6"/>
        <v>-0.10428222130621492</v>
      </c>
      <c r="V49" s="14">
        <f t="shared" si="7"/>
        <v>-4.4921572254984887E-2</v>
      </c>
      <c r="W49" s="14">
        <f t="shared" si="8"/>
        <v>-7.379972584747517E-2</v>
      </c>
      <c r="X49" s="14">
        <f t="shared" si="9"/>
        <v>-2.4065127993741907E-2</v>
      </c>
      <c r="Y49" s="12">
        <f t="shared" si="10"/>
        <v>1</v>
      </c>
    </row>
    <row r="50" spans="1:25" x14ac:dyDescent="0.3">
      <c r="A50" s="23"/>
      <c r="B50" s="12">
        <v>46</v>
      </c>
      <c r="C50" s="12">
        <v>5.7</v>
      </c>
      <c r="D50" s="12">
        <v>2.8</v>
      </c>
      <c r="E50" s="12">
        <v>4.5</v>
      </c>
      <c r="F50" s="12">
        <v>1.3</v>
      </c>
      <c r="G50" s="12">
        <v>1</v>
      </c>
      <c r="I50" s="13">
        <f>I49-('Konfigurasi Model'!$B$11*T49)</f>
        <v>0.36026197276801397</v>
      </c>
      <c r="J50" s="13">
        <f>J49-('Konfigurasi Model'!$B$11*U49)</f>
        <v>-0.13284236299263188</v>
      </c>
      <c r="K50" s="13">
        <f>K49-('Konfigurasi Model'!$B$11*V49)</f>
        <v>1.8807865987537049E-2</v>
      </c>
      <c r="L50" s="13">
        <f>L49-('Konfigurasi Model'!$B$11*W49)</f>
        <v>0.44443657340368226</v>
      </c>
      <c r="M50" s="13">
        <f>M49-('Konfigurasi Model'!$B$11*X49)</f>
        <v>0.52681835467288052</v>
      </c>
      <c r="N50" s="13">
        <f t="shared" si="0"/>
        <v>2.3405509698664311</v>
      </c>
      <c r="O50" s="13">
        <f t="shared" si="1"/>
        <v>0.91218023198980447</v>
      </c>
      <c r="P50" s="12">
        <f t="shared" si="2"/>
        <v>1</v>
      </c>
      <c r="Q50" s="13">
        <f t="shared" si="3"/>
        <v>-8.7819768010195531E-2</v>
      </c>
      <c r="R50" s="13">
        <f t="shared" si="4"/>
        <v>7.7123116533645624E-3</v>
      </c>
      <c r="T50" s="14">
        <f t="shared" si="5"/>
        <v>-1.4070036466287518E-2</v>
      </c>
      <c r="U50" s="14">
        <f t="shared" si="6"/>
        <v>-8.019920785783885E-2</v>
      </c>
      <c r="V50" s="14">
        <f t="shared" si="7"/>
        <v>-3.9396102105605048E-2</v>
      </c>
      <c r="W50" s="14">
        <f t="shared" si="8"/>
        <v>-6.3315164098293839E-2</v>
      </c>
      <c r="X50" s="14">
        <f t="shared" si="9"/>
        <v>-1.8291047406173773E-2</v>
      </c>
      <c r="Y50" s="12">
        <f t="shared" si="10"/>
        <v>1</v>
      </c>
    </row>
    <row r="51" spans="1:25" x14ac:dyDescent="0.3">
      <c r="A51" s="23"/>
      <c r="B51" s="12">
        <v>47</v>
      </c>
      <c r="C51" s="12">
        <v>6.3</v>
      </c>
      <c r="D51" s="12">
        <v>3.3</v>
      </c>
      <c r="E51" s="12">
        <v>4.7</v>
      </c>
      <c r="F51" s="12">
        <v>1.6</v>
      </c>
      <c r="G51" s="12">
        <v>1</v>
      </c>
      <c r="I51" s="13">
        <f>I50-('Konfigurasi Model'!$B$11*T50)</f>
        <v>0.36166897641464274</v>
      </c>
      <c r="J51" s="13">
        <f>J50-('Konfigurasi Model'!$B$11*U50)</f>
        <v>-0.124822442206848</v>
      </c>
      <c r="K51" s="13">
        <f>K50-('Konfigurasi Model'!$B$11*V50)</f>
        <v>2.2747476198097555E-2</v>
      </c>
      <c r="L51" s="13">
        <f>L50-('Konfigurasi Model'!$B$11*W50)</f>
        <v>0.45076808981351163</v>
      </c>
      <c r="M51" s="13">
        <f>M50-('Konfigurasi Model'!$B$11*X50)</f>
        <v>0.52864745941349789</v>
      </c>
      <c r="N51" s="13">
        <f t="shared" si="0"/>
        <v>2.6148002191503235</v>
      </c>
      <c r="O51" s="13">
        <f t="shared" si="1"/>
        <v>0.93180804385576643</v>
      </c>
      <c r="P51" s="12">
        <f t="shared" si="2"/>
        <v>1</v>
      </c>
      <c r="Q51" s="13">
        <f t="shared" si="3"/>
        <v>-6.8191956144233568E-2</v>
      </c>
      <c r="R51" s="13">
        <f t="shared" si="4"/>
        <v>4.650142882777074E-3</v>
      </c>
      <c r="T51" s="14">
        <f t="shared" si="5"/>
        <v>-8.6660810865006391E-3</v>
      </c>
      <c r="U51" s="14">
        <f t="shared" si="6"/>
        <v>-5.4596310844954025E-2</v>
      </c>
      <c r="V51" s="14">
        <f t="shared" si="7"/>
        <v>-2.8598067585452108E-2</v>
      </c>
      <c r="W51" s="14">
        <f t="shared" si="8"/>
        <v>-4.0730581106553004E-2</v>
      </c>
      <c r="X51" s="14">
        <f t="shared" si="9"/>
        <v>-1.3865729738401023E-2</v>
      </c>
      <c r="Y51" s="12">
        <f t="shared" si="10"/>
        <v>1</v>
      </c>
    </row>
    <row r="52" spans="1:25" x14ac:dyDescent="0.3">
      <c r="A52" s="23"/>
      <c r="B52" s="12">
        <v>48</v>
      </c>
      <c r="C52" s="12">
        <v>4.9000000000000004</v>
      </c>
      <c r="D52" s="12">
        <v>2.4</v>
      </c>
      <c r="E52" s="12">
        <v>3.3</v>
      </c>
      <c r="F52" s="12">
        <v>1</v>
      </c>
      <c r="G52" s="12">
        <v>1</v>
      </c>
      <c r="I52" s="13">
        <f>I51-('Konfigurasi Model'!$B$11*T51)</f>
        <v>0.36253558452329282</v>
      </c>
      <c r="J52" s="13">
        <f>J51-('Konfigurasi Model'!$B$11*U51)</f>
        <v>-0.1193628111223526</v>
      </c>
      <c r="K52" s="13">
        <f>K51-('Konfigurasi Model'!$B$11*V51)</f>
        <v>2.5607282956642767E-2</v>
      </c>
      <c r="L52" s="13">
        <f>L51-('Konfigurasi Model'!$B$11*W51)</f>
        <v>0.45484114792416691</v>
      </c>
      <c r="M52" s="13">
        <f>M51-('Konfigurasi Model'!$B$11*X51)</f>
        <v>0.53003403238733804</v>
      </c>
      <c r="N52" s="13">
        <f t="shared" si="0"/>
        <v>1.8701251096567963</v>
      </c>
      <c r="O52" s="13">
        <f t="shared" si="1"/>
        <v>0.86647275303266491</v>
      </c>
      <c r="P52" s="12">
        <f t="shared" si="2"/>
        <v>1</v>
      </c>
      <c r="Q52" s="13">
        <f t="shared" si="3"/>
        <v>-0.13352724696733509</v>
      </c>
      <c r="R52" s="13">
        <f t="shared" si="4"/>
        <v>1.7829525682675696E-2</v>
      </c>
      <c r="T52" s="14">
        <f t="shared" si="5"/>
        <v>-3.0897596407069228E-2</v>
      </c>
      <c r="U52" s="14">
        <f t="shared" si="6"/>
        <v>-0.15139822239463924</v>
      </c>
      <c r="V52" s="14">
        <f t="shared" si="7"/>
        <v>-7.415423137696614E-2</v>
      </c>
      <c r="W52" s="14">
        <f t="shared" si="8"/>
        <v>-0.10196206814332845</v>
      </c>
      <c r="X52" s="14">
        <f t="shared" si="9"/>
        <v>-3.0897596407069228E-2</v>
      </c>
      <c r="Y52" s="12">
        <f t="shared" si="10"/>
        <v>1</v>
      </c>
    </row>
    <row r="53" spans="1:25" x14ac:dyDescent="0.3">
      <c r="A53" s="23"/>
      <c r="B53" s="12">
        <v>49</v>
      </c>
      <c r="C53" s="12">
        <v>6.6</v>
      </c>
      <c r="D53" s="12">
        <v>2.9</v>
      </c>
      <c r="E53" s="12">
        <v>4.5999999999999996</v>
      </c>
      <c r="F53" s="12">
        <v>1.3</v>
      </c>
      <c r="G53" s="12">
        <v>1</v>
      </c>
      <c r="I53" s="13">
        <f>I52-('Konfigurasi Model'!$B$11*T52)</f>
        <v>0.36562534416399972</v>
      </c>
      <c r="J53" s="13">
        <f>J52-('Konfigurasi Model'!$B$11*U52)</f>
        <v>-0.10422298888288867</v>
      </c>
      <c r="K53" s="13">
        <f>K52-('Konfigurasi Model'!$B$11*V52)</f>
        <v>3.3022706094339382E-2</v>
      </c>
      <c r="L53" s="13">
        <f>L52-('Konfigurasi Model'!$B$11*W52)</f>
        <v>0.46503735473849978</v>
      </c>
      <c r="M53" s="13">
        <f>M52-('Konfigurasi Model'!$B$11*X52)</f>
        <v>0.53312379202804494</v>
      </c>
      <c r="N53" s="13">
        <f t="shared" si="0"/>
        <v>2.6057522266440762</v>
      </c>
      <c r="O53" s="13">
        <f t="shared" si="1"/>
        <v>0.93123086691517709</v>
      </c>
      <c r="P53" s="12">
        <f t="shared" si="2"/>
        <v>1</v>
      </c>
      <c r="Q53" s="13">
        <f t="shared" si="3"/>
        <v>-6.8769133084822909E-2</v>
      </c>
      <c r="R53" s="13">
        <f t="shared" si="4"/>
        <v>4.7291936652380847E-3</v>
      </c>
      <c r="T53" s="14">
        <f t="shared" si="5"/>
        <v>-8.8079422333788501E-3</v>
      </c>
      <c r="U53" s="14">
        <f t="shared" si="6"/>
        <v>-5.8132418740300409E-2</v>
      </c>
      <c r="V53" s="14">
        <f t="shared" si="7"/>
        <v>-2.5543032476798663E-2</v>
      </c>
      <c r="W53" s="14">
        <f t="shared" si="8"/>
        <v>-4.0516534273542709E-2</v>
      </c>
      <c r="X53" s="14">
        <f t="shared" si="9"/>
        <v>-1.1450324903392506E-2</v>
      </c>
      <c r="Y53" s="12">
        <f t="shared" si="10"/>
        <v>1</v>
      </c>
    </row>
    <row r="54" spans="1:25" x14ac:dyDescent="0.3">
      <c r="A54" s="23"/>
      <c r="B54" s="12">
        <v>50</v>
      </c>
      <c r="C54" s="12">
        <v>5.2</v>
      </c>
      <c r="D54" s="12">
        <v>2.7</v>
      </c>
      <c r="E54" s="12">
        <v>3.9</v>
      </c>
      <c r="F54" s="12">
        <v>1.4</v>
      </c>
      <c r="G54" s="12">
        <v>1</v>
      </c>
      <c r="I54" s="13">
        <f>I53-('Konfigurasi Model'!$B$11*T53)</f>
        <v>0.36650613838733759</v>
      </c>
      <c r="J54" s="13">
        <f>J53-('Konfigurasi Model'!$B$11*U53)</f>
        <v>-9.8409747008858628E-2</v>
      </c>
      <c r="K54" s="13">
        <f>K53-('Konfigurasi Model'!$B$11*V53)</f>
        <v>3.5577009342019246E-2</v>
      </c>
      <c r="L54" s="13">
        <f>L53-('Konfigurasi Model'!$B$11*W53)</f>
        <v>0.46908900816585403</v>
      </c>
      <c r="M54" s="13">
        <f>M53-('Konfigurasi Model'!$B$11*X53)</f>
        <v>0.5342688245183842</v>
      </c>
      <c r="N54" s="13">
        <f t="shared" si="0"/>
        <v>2.5282568653372932</v>
      </c>
      <c r="O54" s="13">
        <f t="shared" si="1"/>
        <v>0.92609914267058746</v>
      </c>
      <c r="P54" s="12">
        <f t="shared" si="2"/>
        <v>1</v>
      </c>
      <c r="Q54" s="13">
        <f t="shared" si="3"/>
        <v>-7.3900857329412539E-2</v>
      </c>
      <c r="R54" s="13">
        <f t="shared" si="4"/>
        <v>5.4613367140221867E-3</v>
      </c>
      <c r="T54" s="14">
        <f t="shared" si="5"/>
        <v>-1.01154784973827E-2</v>
      </c>
      <c r="U54" s="14">
        <f t="shared" si="6"/>
        <v>-5.2600488186390043E-2</v>
      </c>
      <c r="V54" s="14">
        <f t="shared" si="7"/>
        <v>-2.7311791942933292E-2</v>
      </c>
      <c r="W54" s="14">
        <f t="shared" si="8"/>
        <v>-3.9450366139792525E-2</v>
      </c>
      <c r="X54" s="14">
        <f t="shared" si="9"/>
        <v>-1.4161669896335778E-2</v>
      </c>
      <c r="Y54" s="12">
        <f t="shared" si="10"/>
        <v>1</v>
      </c>
    </row>
    <row r="55" spans="1:25" x14ac:dyDescent="0.3">
      <c r="A55" s="23"/>
      <c r="B55" s="12">
        <v>51</v>
      </c>
      <c r="C55" s="12">
        <v>5</v>
      </c>
      <c r="D55" s="12">
        <v>2</v>
      </c>
      <c r="E55" s="12">
        <v>3.5</v>
      </c>
      <c r="F55" s="12">
        <v>1</v>
      </c>
      <c r="G55" s="12">
        <v>1</v>
      </c>
      <c r="I55" s="13">
        <f>I54-('Konfigurasi Model'!$B$11*T54)</f>
        <v>0.36751768623707587</v>
      </c>
      <c r="J55" s="13">
        <f>J54-('Konfigurasi Model'!$B$11*U54)</f>
        <v>-9.3149698190219621E-2</v>
      </c>
      <c r="K55" s="13">
        <f>K54-('Konfigurasi Model'!$B$11*V54)</f>
        <v>3.8308188536312578E-2</v>
      </c>
      <c r="L55" s="13">
        <f>L54-('Konfigurasi Model'!$B$11*W54)</f>
        <v>0.4730340447798333</v>
      </c>
      <c r="M55" s="13">
        <f>M54-('Konfigurasi Model'!$B$11*X54)</f>
        <v>0.53568499150801774</v>
      </c>
      <c r="N55" s="13">
        <f t="shared" si="0"/>
        <v>2.169689720596037</v>
      </c>
      <c r="O55" s="13">
        <f t="shared" si="1"/>
        <v>0.89749442493517162</v>
      </c>
      <c r="P55" s="12">
        <f t="shared" si="2"/>
        <v>1</v>
      </c>
      <c r="Q55" s="13">
        <f t="shared" si="3"/>
        <v>-0.10250557506482838</v>
      </c>
      <c r="R55" s="13">
        <f t="shared" si="4"/>
        <v>1.0507392919371165E-2</v>
      </c>
      <c r="T55" s="14">
        <f t="shared" si="5"/>
        <v>-1.8860653131477837E-2</v>
      </c>
      <c r="U55" s="14">
        <f t="shared" si="6"/>
        <v>-9.4303265657389182E-2</v>
      </c>
      <c r="V55" s="14">
        <f t="shared" si="7"/>
        <v>-3.7721306262955674E-2</v>
      </c>
      <c r="W55" s="14">
        <f t="shared" si="8"/>
        <v>-6.6012285960172432E-2</v>
      </c>
      <c r="X55" s="14">
        <f t="shared" si="9"/>
        <v>-1.8860653131477837E-2</v>
      </c>
      <c r="Y55" s="12">
        <f t="shared" si="10"/>
        <v>1</v>
      </c>
    </row>
    <row r="56" spans="1:25" x14ac:dyDescent="0.3">
      <c r="A56" s="23"/>
      <c r="B56" s="12">
        <v>52</v>
      </c>
      <c r="C56" s="12">
        <v>5.9</v>
      </c>
      <c r="D56" s="12">
        <v>3</v>
      </c>
      <c r="E56" s="12">
        <v>4.2</v>
      </c>
      <c r="F56" s="12">
        <v>1.5</v>
      </c>
      <c r="G56" s="12">
        <v>1</v>
      </c>
      <c r="I56" s="13">
        <f>I55-('Konfigurasi Model'!$B$11*T55)</f>
        <v>0.36940375155022365</v>
      </c>
      <c r="J56" s="13">
        <f>J55-('Konfigurasi Model'!$B$11*U55)</f>
        <v>-8.3719371624480704E-2</v>
      </c>
      <c r="K56" s="13">
        <f>K55-('Konfigurasi Model'!$B$11*V55)</f>
        <v>4.2080319162608147E-2</v>
      </c>
      <c r="L56" s="13">
        <f>L55-('Konfigurasi Model'!$B$11*W55)</f>
        <v>0.47963527337585055</v>
      </c>
      <c r="M56" s="13">
        <f>M55-('Konfigurasi Model'!$B$11*X55)</f>
        <v>0.53757105682116557</v>
      </c>
      <c r="N56" s="13">
        <f t="shared" si="0"/>
        <v>2.822525149863933</v>
      </c>
      <c r="O56" s="13">
        <f t="shared" si="1"/>
        <v>0.94388097283200134</v>
      </c>
      <c r="P56" s="12">
        <f t="shared" si="2"/>
        <v>1</v>
      </c>
      <c r="Q56" s="13">
        <f t="shared" si="3"/>
        <v>-5.6119027167998659E-2</v>
      </c>
      <c r="R56" s="13">
        <f t="shared" si="4"/>
        <v>3.1493452102825717E-3</v>
      </c>
      <c r="T56" s="14">
        <f t="shared" si="5"/>
        <v>-5.9452140417306353E-3</v>
      </c>
      <c r="U56" s="14">
        <f t="shared" si="6"/>
        <v>-3.5076762846210752E-2</v>
      </c>
      <c r="V56" s="14">
        <f t="shared" si="7"/>
        <v>-1.7835642125191904E-2</v>
      </c>
      <c r="W56" s="14">
        <f t="shared" si="8"/>
        <v>-2.4969898975268669E-2</v>
      </c>
      <c r="X56" s="14">
        <f t="shared" si="9"/>
        <v>-8.9178210625959521E-3</v>
      </c>
      <c r="Y56" s="12">
        <f t="shared" si="10"/>
        <v>1</v>
      </c>
    </row>
    <row r="57" spans="1:25" x14ac:dyDescent="0.3">
      <c r="A57" s="23"/>
      <c r="B57" s="12">
        <v>53</v>
      </c>
      <c r="C57" s="12">
        <v>6</v>
      </c>
      <c r="D57" s="12">
        <v>2.2000000000000002</v>
      </c>
      <c r="E57" s="12">
        <v>4</v>
      </c>
      <c r="F57" s="12">
        <v>1</v>
      </c>
      <c r="G57" s="12">
        <v>1</v>
      </c>
      <c r="I57" s="13">
        <f>I56-('Konfigurasi Model'!$B$11*T56)</f>
        <v>0.36999827295439669</v>
      </c>
      <c r="J57" s="13">
        <f>J56-('Konfigurasi Model'!$B$11*U56)</f>
        <v>-8.0211695339859626E-2</v>
      </c>
      <c r="K57" s="13">
        <f>K56-('Konfigurasi Model'!$B$11*V56)</f>
        <v>4.3863883375127338E-2</v>
      </c>
      <c r="L57" s="13">
        <f>L56-('Konfigurasi Model'!$B$11*W56)</f>
        <v>0.48213226327337744</v>
      </c>
      <c r="M57" s="13">
        <f>M56-('Konfigurasi Model'!$B$11*X56)</f>
        <v>0.53846283892742519</v>
      </c>
      <c r="N57" s="13">
        <f t="shared" si="0"/>
        <v>2.452220536361454</v>
      </c>
      <c r="O57" s="13">
        <f t="shared" si="1"/>
        <v>0.92072368277526762</v>
      </c>
      <c r="P57" s="12">
        <f t="shared" si="2"/>
        <v>1</v>
      </c>
      <c r="Q57" s="13">
        <f t="shared" si="3"/>
        <v>-7.9276317224732384E-2</v>
      </c>
      <c r="R57" s="13">
        <f t="shared" si="4"/>
        <v>6.2847344727164009E-3</v>
      </c>
      <c r="T57" s="14">
        <f t="shared" si="5"/>
        <v>-1.1573007737968249E-2</v>
      </c>
      <c r="U57" s="14">
        <f t="shared" si="6"/>
        <v>-6.9438046427809486E-2</v>
      </c>
      <c r="V57" s="14">
        <f t="shared" si="7"/>
        <v>-2.5460617023530148E-2</v>
      </c>
      <c r="W57" s="14">
        <f t="shared" si="8"/>
        <v>-4.6292030951872995E-2</v>
      </c>
      <c r="X57" s="14">
        <f t="shared" si="9"/>
        <v>-1.1573007737968249E-2</v>
      </c>
      <c r="Y57" s="12">
        <f t="shared" si="10"/>
        <v>1</v>
      </c>
    </row>
    <row r="58" spans="1:25" x14ac:dyDescent="0.3">
      <c r="A58" s="23"/>
      <c r="B58" s="12">
        <v>54</v>
      </c>
      <c r="C58" s="12">
        <v>6.1</v>
      </c>
      <c r="D58" s="12">
        <v>2.9</v>
      </c>
      <c r="E58" s="12">
        <v>4.7</v>
      </c>
      <c r="F58" s="12">
        <v>1.4</v>
      </c>
      <c r="G58" s="12">
        <v>1</v>
      </c>
      <c r="I58" s="13">
        <f>I57-('Konfigurasi Model'!$B$11*T57)</f>
        <v>0.37115557372819352</v>
      </c>
      <c r="J58" s="13">
        <f>J57-('Konfigurasi Model'!$B$11*U57)</f>
        <v>-7.3267890697078675E-2</v>
      </c>
      <c r="K58" s="13">
        <f>K57-('Konfigurasi Model'!$B$11*V57)</f>
        <v>4.640994507748035E-2</v>
      </c>
      <c r="L58" s="13">
        <f>L57-('Konfigurasi Model'!$B$11*W57)</f>
        <v>0.48676146636856471</v>
      </c>
      <c r="M58" s="13">
        <f>M57-('Konfigurasi Model'!$B$11*X57)</f>
        <v>0.53962013970122202</v>
      </c>
      <c r="N58" s="13">
        <f t="shared" si="0"/>
        <v>3.1020573687146715</v>
      </c>
      <c r="O58" s="13">
        <f t="shared" si="1"/>
        <v>0.95697752977389949</v>
      </c>
      <c r="P58" s="12">
        <f t="shared" si="2"/>
        <v>1</v>
      </c>
      <c r="Q58" s="13">
        <f t="shared" si="3"/>
        <v>-4.3022470226100507E-2</v>
      </c>
      <c r="R58" s="13">
        <f t="shared" si="4"/>
        <v>1.8509329443557045E-3</v>
      </c>
      <c r="T58" s="14">
        <f t="shared" si="5"/>
        <v>-3.5426024737333054E-3</v>
      </c>
      <c r="U58" s="14">
        <f t="shared" si="6"/>
        <v>-2.1609875089773162E-2</v>
      </c>
      <c r="V58" s="14">
        <f t="shared" si="7"/>
        <v>-1.0273547173826586E-2</v>
      </c>
      <c r="W58" s="14">
        <f t="shared" si="8"/>
        <v>-1.6650231626546535E-2</v>
      </c>
      <c r="X58" s="14">
        <f t="shared" si="9"/>
        <v>-4.9596434632266269E-3</v>
      </c>
      <c r="Y58" s="12">
        <f t="shared" si="10"/>
        <v>1</v>
      </c>
    </row>
    <row r="59" spans="1:25" x14ac:dyDescent="0.3">
      <c r="A59" s="23"/>
      <c r="B59" s="12">
        <v>55</v>
      </c>
      <c r="C59" s="12">
        <v>5.6</v>
      </c>
      <c r="D59" s="12">
        <v>2.9</v>
      </c>
      <c r="E59" s="12">
        <v>3.6</v>
      </c>
      <c r="F59" s="12">
        <v>1.3</v>
      </c>
      <c r="G59" s="12">
        <v>1</v>
      </c>
      <c r="I59" s="13">
        <f>I58-('Konfigurasi Model'!$B$11*T58)</f>
        <v>0.37150983397556686</v>
      </c>
      <c r="J59" s="13">
        <f>J58-('Konfigurasi Model'!$B$11*U58)</f>
        <v>-7.1106903188101353E-2</v>
      </c>
      <c r="K59" s="13">
        <f>K58-('Konfigurasi Model'!$B$11*V58)</f>
        <v>4.7437299794863011E-2</v>
      </c>
      <c r="L59" s="13">
        <f>L58-('Konfigurasi Model'!$B$11*W58)</f>
        <v>0.48842648953121937</v>
      </c>
      <c r="M59" s="13">
        <f>M58-('Konfigurasi Model'!$B$11*X58)</f>
        <v>0.54011610404754473</v>
      </c>
      <c r="N59" s="13">
        <f t="shared" si="0"/>
        <v>2.5713656431015002</v>
      </c>
      <c r="O59" s="13">
        <f t="shared" si="1"/>
        <v>0.92899583004658692</v>
      </c>
      <c r="P59" s="12">
        <f t="shared" si="2"/>
        <v>1</v>
      </c>
      <c r="Q59" s="13">
        <f t="shared" si="3"/>
        <v>-7.1004169953413077E-2</v>
      </c>
      <c r="R59" s="13">
        <f t="shared" si="4"/>
        <v>5.0415921507731684E-3</v>
      </c>
      <c r="T59" s="14">
        <f t="shared" si="5"/>
        <v>-9.3672361697277537E-3</v>
      </c>
      <c r="U59" s="14">
        <f t="shared" si="6"/>
        <v>-5.2456522550475421E-2</v>
      </c>
      <c r="V59" s="14">
        <f t="shared" si="7"/>
        <v>-2.7164984892210486E-2</v>
      </c>
      <c r="W59" s="14">
        <f t="shared" si="8"/>
        <v>-3.3722050211019913E-2</v>
      </c>
      <c r="X59" s="14">
        <f t="shared" si="9"/>
        <v>-1.217740702064608E-2</v>
      </c>
      <c r="Y59" s="12">
        <f t="shared" si="10"/>
        <v>1</v>
      </c>
    </row>
    <row r="60" spans="1:25" x14ac:dyDescent="0.3">
      <c r="A60" s="23"/>
      <c r="B60" s="12">
        <v>56</v>
      </c>
      <c r="C60" s="12">
        <v>6.7</v>
      </c>
      <c r="D60" s="12">
        <v>3.1</v>
      </c>
      <c r="E60" s="12">
        <v>4.4000000000000004</v>
      </c>
      <c r="F60" s="12">
        <v>1.4</v>
      </c>
      <c r="G60" s="12">
        <v>1</v>
      </c>
      <c r="I60" s="13">
        <f>I59-('Konfigurasi Model'!$B$11*T59)</f>
        <v>0.37244655759253964</v>
      </c>
      <c r="J60" s="13">
        <f>J59-('Konfigurasi Model'!$B$11*U59)</f>
        <v>-6.5861250933053811E-2</v>
      </c>
      <c r="K60" s="13">
        <f>K59-('Konfigurasi Model'!$B$11*V59)</f>
        <v>5.0153798284084061E-2</v>
      </c>
      <c r="L60" s="13">
        <f>L59-('Konfigurasi Model'!$B$11*W59)</f>
        <v>0.49179869455232134</v>
      </c>
      <c r="M60" s="13">
        <f>M59-('Konfigurasi Model'!$B$11*X59)</f>
        <v>0.54133384474960933</v>
      </c>
      <c r="N60" s="13">
        <f t="shared" si="0"/>
        <v>3.0084345897014066</v>
      </c>
      <c r="O60" s="13">
        <f t="shared" si="1"/>
        <v>0.95295372214040297</v>
      </c>
      <c r="P60" s="12">
        <f t="shared" si="2"/>
        <v>1</v>
      </c>
      <c r="Q60" s="13">
        <f t="shared" si="3"/>
        <v>-4.704627785959703E-2</v>
      </c>
      <c r="R60" s="13">
        <f t="shared" si="4"/>
        <v>2.2133522604424099E-3</v>
      </c>
      <c r="T60" s="14">
        <f t="shared" si="5"/>
        <v>-4.2184445499929384E-3</v>
      </c>
      <c r="U60" s="14">
        <f t="shared" si="6"/>
        <v>-2.8263578484952687E-2</v>
      </c>
      <c r="V60" s="14">
        <f t="shared" si="7"/>
        <v>-1.307717810497811E-2</v>
      </c>
      <c r="W60" s="14">
        <f t="shared" si="8"/>
        <v>-1.8561156019968932E-2</v>
      </c>
      <c r="X60" s="14">
        <f t="shared" si="9"/>
        <v>-5.905822369990113E-3</v>
      </c>
      <c r="Y60" s="12">
        <f t="shared" si="10"/>
        <v>1</v>
      </c>
    </row>
    <row r="61" spans="1:25" x14ac:dyDescent="0.3">
      <c r="A61" s="23"/>
      <c r="B61" s="12">
        <v>57</v>
      </c>
      <c r="C61" s="12">
        <v>5.6</v>
      </c>
      <c r="D61" s="12">
        <v>3</v>
      </c>
      <c r="E61" s="12">
        <v>4.5</v>
      </c>
      <c r="F61" s="12">
        <v>1.5</v>
      </c>
      <c r="G61" s="12">
        <v>1</v>
      </c>
      <c r="I61" s="13">
        <f>I60-('Konfigurasi Model'!$B$11*T60)</f>
        <v>0.37286840204753896</v>
      </c>
      <c r="J61" s="13">
        <f>J60-('Konfigurasi Model'!$B$11*U60)</f>
        <v>-6.3034893084558535E-2</v>
      </c>
      <c r="K61" s="13">
        <f>K60-('Konfigurasi Model'!$B$11*V60)</f>
        <v>5.1461516094581869E-2</v>
      </c>
      <c r="L61" s="13">
        <f>L60-('Konfigurasi Model'!$B$11*W60)</f>
        <v>0.49365481015431822</v>
      </c>
      <c r="M61" s="13">
        <f>M60-('Konfigurasi Model'!$B$11*X60)</f>
        <v>0.54192442698660837</v>
      </c>
      <c r="N61" s="13">
        <f t="shared" si="0"/>
        <v>3.2085908352321013</v>
      </c>
      <c r="O61" s="13">
        <f t="shared" si="1"/>
        <v>0.96115628872144976</v>
      </c>
      <c r="P61" s="12">
        <f t="shared" si="2"/>
        <v>1</v>
      </c>
      <c r="Q61" s="13">
        <f t="shared" si="3"/>
        <v>-3.8843711278550241E-2</v>
      </c>
      <c r="R61" s="13">
        <f t="shared" si="4"/>
        <v>1.5088339058913713E-3</v>
      </c>
      <c r="T61" s="14">
        <f t="shared" si="5"/>
        <v>-2.9004503945672792E-3</v>
      </c>
      <c r="U61" s="14">
        <f t="shared" si="6"/>
        <v>-1.6242522209576761E-2</v>
      </c>
      <c r="V61" s="14">
        <f t="shared" si="7"/>
        <v>-8.701351183701838E-3</v>
      </c>
      <c r="W61" s="14">
        <f t="shared" si="8"/>
        <v>-1.3052026775552757E-2</v>
      </c>
      <c r="X61" s="14">
        <f t="shared" si="9"/>
        <v>-4.350675591850919E-3</v>
      </c>
      <c r="Y61" s="12">
        <f t="shared" si="10"/>
        <v>1</v>
      </c>
    </row>
    <row r="62" spans="1:25" x14ac:dyDescent="0.3">
      <c r="A62" s="23"/>
      <c r="B62" s="12">
        <v>58</v>
      </c>
      <c r="C62" s="12">
        <v>5.8</v>
      </c>
      <c r="D62" s="12">
        <v>2.7</v>
      </c>
      <c r="E62" s="12">
        <v>4.0999999999999996</v>
      </c>
      <c r="F62" s="12">
        <v>1</v>
      </c>
      <c r="G62" s="12">
        <v>1</v>
      </c>
      <c r="I62" s="13">
        <f>I61-('Konfigurasi Model'!$B$11*T61)</f>
        <v>0.37315844708699569</v>
      </c>
      <c r="J62" s="13">
        <f>J61-('Konfigurasi Model'!$B$11*U61)</f>
        <v>-6.141064086360086E-2</v>
      </c>
      <c r="K62" s="13">
        <f>K61-('Konfigurasi Model'!$B$11*V61)</f>
        <v>5.2331651212952052E-2</v>
      </c>
      <c r="L62" s="13">
        <f>L61-('Konfigurasi Model'!$B$11*W61)</f>
        <v>0.49496001283187352</v>
      </c>
      <c r="M62" s="13">
        <f>M61-('Konfigurasi Model'!$B$11*X61)</f>
        <v>0.54235949454579346</v>
      </c>
      <c r="N62" s="13">
        <f t="shared" si="0"/>
        <v>2.7299677355095562</v>
      </c>
      <c r="O62" s="13">
        <f t="shared" si="1"/>
        <v>0.93877198267094963</v>
      </c>
      <c r="P62" s="12">
        <f t="shared" si="2"/>
        <v>1</v>
      </c>
      <c r="Q62" s="13">
        <f t="shared" si="3"/>
        <v>-6.1228017329050366E-2</v>
      </c>
      <c r="R62" s="13">
        <f t="shared" si="4"/>
        <v>3.748870106046492E-3</v>
      </c>
      <c r="T62" s="14">
        <f t="shared" si="5"/>
        <v>-7.0386684444582372E-3</v>
      </c>
      <c r="U62" s="14">
        <f t="shared" si="6"/>
        <v>-4.0824276977857774E-2</v>
      </c>
      <c r="V62" s="14">
        <f t="shared" si="7"/>
        <v>-1.900440480003724E-2</v>
      </c>
      <c r="W62" s="14">
        <f t="shared" si="8"/>
        <v>-2.8858540622278769E-2</v>
      </c>
      <c r="X62" s="14">
        <f t="shared" si="9"/>
        <v>-7.0386684444582372E-3</v>
      </c>
      <c r="Y62" s="12">
        <f t="shared" si="10"/>
        <v>1</v>
      </c>
    </row>
    <row r="63" spans="1:25" x14ac:dyDescent="0.3">
      <c r="A63" s="23"/>
      <c r="B63" s="12">
        <v>59</v>
      </c>
      <c r="C63" s="12">
        <v>6.2</v>
      </c>
      <c r="D63" s="12">
        <v>2.2000000000000002</v>
      </c>
      <c r="E63" s="12">
        <v>4.5</v>
      </c>
      <c r="F63" s="12">
        <v>1.5</v>
      </c>
      <c r="G63" s="12">
        <v>1</v>
      </c>
      <c r="I63" s="13">
        <f>I62-('Konfigurasi Model'!$B$11*T62)</f>
        <v>0.37386231393144154</v>
      </c>
      <c r="J63" s="13">
        <f>J62-('Konfigurasi Model'!$B$11*U62)</f>
        <v>-5.732821316581508E-2</v>
      </c>
      <c r="K63" s="13">
        <f>K62-('Konfigurasi Model'!$B$11*V62)</f>
        <v>5.4232091692955772E-2</v>
      </c>
      <c r="L63" s="13">
        <f>L62-('Konfigurasi Model'!$B$11*W62)</f>
        <v>0.49784586689410137</v>
      </c>
      <c r="M63" s="13">
        <f>M62-('Konfigurasi Model'!$B$11*X62)</f>
        <v>0.54306336139023925</v>
      </c>
      <c r="N63" s="13">
        <f t="shared" si="0"/>
        <v>3.1926394371367057</v>
      </c>
      <c r="O63" s="13">
        <f t="shared" si="1"/>
        <v>0.96055634471007945</v>
      </c>
      <c r="P63" s="12">
        <f t="shared" si="2"/>
        <v>1</v>
      </c>
      <c r="Q63" s="13">
        <f t="shared" si="3"/>
        <v>-3.9443655289920554E-2</v>
      </c>
      <c r="R63" s="13">
        <f t="shared" si="4"/>
        <v>1.5558019426300776E-3</v>
      </c>
      <c r="T63" s="14">
        <f t="shared" si="5"/>
        <v>-2.988870854211176E-3</v>
      </c>
      <c r="U63" s="14">
        <f t="shared" si="6"/>
        <v>-1.8530999296109293E-2</v>
      </c>
      <c r="V63" s="14">
        <f t="shared" si="7"/>
        <v>-6.5755158792645879E-3</v>
      </c>
      <c r="W63" s="14">
        <f t="shared" si="8"/>
        <v>-1.3449918843950292E-2</v>
      </c>
      <c r="X63" s="14">
        <f t="shared" si="9"/>
        <v>-4.4833062813167644E-3</v>
      </c>
      <c r="Y63" s="12">
        <f t="shared" si="10"/>
        <v>1</v>
      </c>
    </row>
    <row r="64" spans="1:25" x14ac:dyDescent="0.3">
      <c r="A64" s="23"/>
      <c r="B64" s="12">
        <v>60</v>
      </c>
      <c r="C64" s="12">
        <v>5.6</v>
      </c>
      <c r="D64" s="12">
        <v>2.5</v>
      </c>
      <c r="E64" s="12">
        <v>3.9</v>
      </c>
      <c r="F64" s="12">
        <v>1.1000000000000001</v>
      </c>
      <c r="G64" s="12">
        <v>1</v>
      </c>
      <c r="I64" s="13">
        <f>I63-('Konfigurasi Model'!$B$11*T63)</f>
        <v>0.37416120101686268</v>
      </c>
      <c r="J64" s="13">
        <f>J63-('Konfigurasi Model'!$B$11*U63)</f>
        <v>-5.5475113236204153E-2</v>
      </c>
      <c r="K64" s="13">
        <f>K63-('Konfigurasi Model'!$B$11*V63)</f>
        <v>5.4889643280882229E-2</v>
      </c>
      <c r="L64" s="13">
        <f>L63-('Konfigurasi Model'!$B$11*W63)</f>
        <v>0.49919085877849639</v>
      </c>
      <c r="M64" s="13">
        <f>M63-('Konfigurasi Model'!$B$11*X63)</f>
        <v>0.54351169201837091</v>
      </c>
      <c r="N64" s="13">
        <f t="shared" si="0"/>
        <v>2.7454318855526689</v>
      </c>
      <c r="O64" s="13">
        <f t="shared" si="1"/>
        <v>0.93965484083335182</v>
      </c>
      <c r="P64" s="12">
        <f t="shared" si="2"/>
        <v>1</v>
      </c>
      <c r="Q64" s="13">
        <f t="shared" si="3"/>
        <v>-6.0345159166648177E-2</v>
      </c>
      <c r="R64" s="13">
        <f t="shared" si="4"/>
        <v>3.6415382348481025E-3</v>
      </c>
      <c r="T64" s="14">
        <f t="shared" si="5"/>
        <v>-6.8435780609095173E-3</v>
      </c>
      <c r="U64" s="14">
        <f t="shared" si="6"/>
        <v>-3.8324037141093295E-2</v>
      </c>
      <c r="V64" s="14">
        <f t="shared" si="7"/>
        <v>-1.7108945152273795E-2</v>
      </c>
      <c r="W64" s="14">
        <f t="shared" si="8"/>
        <v>-2.6689954437547118E-2</v>
      </c>
      <c r="X64" s="14">
        <f t="shared" si="9"/>
        <v>-7.52793586700047E-3</v>
      </c>
      <c r="Y64" s="12">
        <f t="shared" si="10"/>
        <v>1</v>
      </c>
    </row>
    <row r="65" spans="1:25" x14ac:dyDescent="0.3">
      <c r="A65" s="23"/>
      <c r="B65" s="12">
        <v>61</v>
      </c>
      <c r="C65" s="12">
        <v>5.9</v>
      </c>
      <c r="D65" s="12">
        <v>3.2</v>
      </c>
      <c r="E65" s="12">
        <v>4.8</v>
      </c>
      <c r="F65" s="12">
        <v>1.8</v>
      </c>
      <c r="G65" s="12">
        <v>1</v>
      </c>
      <c r="I65" s="13">
        <f>I64-('Konfigurasi Model'!$B$11*T64)</f>
        <v>0.37484555882295362</v>
      </c>
      <c r="J65" s="13">
        <f>J64-('Konfigurasi Model'!$B$11*U64)</f>
        <v>-5.1642709522094821E-2</v>
      </c>
      <c r="K65" s="13">
        <f>K64-('Konfigurasi Model'!$B$11*V64)</f>
        <v>5.6600537796109608E-2</v>
      </c>
      <c r="L65" s="13">
        <f>L64-('Konfigurasi Model'!$B$11*W64)</f>
        <v>0.5018598542222511</v>
      </c>
      <c r="M65" s="13">
        <f>M64-('Konfigurasi Model'!$B$11*X64)</f>
        <v>0.5442644856050709</v>
      </c>
      <c r="N65" s="13">
        <f t="shared" si="0"/>
        <v>3.6398786679460775</v>
      </c>
      <c r="O65" s="13">
        <f t="shared" si="1"/>
        <v>0.97441618714118217</v>
      </c>
      <c r="P65" s="12">
        <f t="shared" si="2"/>
        <v>1</v>
      </c>
      <c r="Q65" s="13">
        <f t="shared" si="3"/>
        <v>-2.5583812858817834E-2</v>
      </c>
      <c r="R65" s="13">
        <f t="shared" si="4"/>
        <v>6.545314803950127E-4</v>
      </c>
      <c r="T65" s="14">
        <f t="shared" si="5"/>
        <v>-1.2755721389807633E-3</v>
      </c>
      <c r="U65" s="14">
        <f t="shared" si="6"/>
        <v>-7.5258756199865036E-3</v>
      </c>
      <c r="V65" s="14">
        <f t="shared" si="7"/>
        <v>-4.0818308447384431E-3</v>
      </c>
      <c r="W65" s="14">
        <f t="shared" si="8"/>
        <v>-6.1227462671076633E-3</v>
      </c>
      <c r="X65" s="14">
        <f t="shared" si="9"/>
        <v>-2.2960298501653741E-3</v>
      </c>
      <c r="Y65" s="12">
        <f t="shared" si="10"/>
        <v>1</v>
      </c>
    </row>
    <row r="66" spans="1:25" x14ac:dyDescent="0.3">
      <c r="A66" s="23"/>
      <c r="B66" s="12">
        <v>62</v>
      </c>
      <c r="C66" s="12">
        <v>6.1</v>
      </c>
      <c r="D66" s="12">
        <v>2.8</v>
      </c>
      <c r="E66" s="12">
        <v>4</v>
      </c>
      <c r="F66" s="12">
        <v>1.3</v>
      </c>
      <c r="G66" s="12">
        <v>1</v>
      </c>
      <c r="I66" s="13">
        <f>I65-('Konfigurasi Model'!$B$11*T65)</f>
        <v>0.37497311603685168</v>
      </c>
      <c r="J66" s="13">
        <f>J65-('Konfigurasi Model'!$B$11*U65)</f>
        <v>-5.0890121960096173E-2</v>
      </c>
      <c r="K66" s="13">
        <f>K65-('Konfigurasi Model'!$B$11*V65)</f>
        <v>5.7008720880583452E-2</v>
      </c>
      <c r="L66" s="13">
        <f>L65-('Konfigurasi Model'!$B$11*W65)</f>
        <v>0.50247212884896186</v>
      </c>
      <c r="M66" s="13">
        <f>M65-('Konfigurasi Model'!$B$11*X65)</f>
        <v>0.54449408859008741</v>
      </c>
      <c r="N66" s="13">
        <f t="shared" si="0"/>
        <v>2.9418986211088596</v>
      </c>
      <c r="O66" s="13">
        <f t="shared" si="1"/>
        <v>0.94987919495760365</v>
      </c>
      <c r="P66" s="12">
        <f t="shared" si="2"/>
        <v>1</v>
      </c>
      <c r="Q66" s="13">
        <f t="shared" si="3"/>
        <v>-5.0120805042396355E-2</v>
      </c>
      <c r="R66" s="13">
        <f t="shared" si="4"/>
        <v>2.5120950980979037E-3</v>
      </c>
      <c r="T66" s="14">
        <f t="shared" si="5"/>
        <v>-4.7723737388763584E-3</v>
      </c>
      <c r="U66" s="14">
        <f t="shared" si="6"/>
        <v>-2.9111479807145783E-2</v>
      </c>
      <c r="V66" s="14">
        <f t="shared" si="7"/>
        <v>-1.3362646468853804E-2</v>
      </c>
      <c r="W66" s="14">
        <f t="shared" si="8"/>
        <v>-1.9089494955505434E-2</v>
      </c>
      <c r="X66" s="14">
        <f t="shared" si="9"/>
        <v>-6.2040858605392664E-3</v>
      </c>
      <c r="Y66" s="12">
        <f t="shared" si="10"/>
        <v>1</v>
      </c>
    </row>
    <row r="67" spans="1:25" x14ac:dyDescent="0.3">
      <c r="A67" s="23"/>
      <c r="B67" s="12">
        <v>63</v>
      </c>
      <c r="C67" s="12">
        <v>6.3</v>
      </c>
      <c r="D67" s="12">
        <v>2.5</v>
      </c>
      <c r="E67" s="12">
        <v>4.9000000000000004</v>
      </c>
      <c r="F67" s="12">
        <v>1.5</v>
      </c>
      <c r="G67" s="12">
        <v>1</v>
      </c>
      <c r="I67" s="13">
        <f>I66-('Konfigurasi Model'!$B$11*T66)</f>
        <v>0.37545035341073935</v>
      </c>
      <c r="J67" s="13">
        <f>J66-('Konfigurasi Model'!$B$11*U66)</f>
        <v>-4.7978973979381598E-2</v>
      </c>
      <c r="K67" s="13">
        <f>K66-('Konfigurasi Model'!$B$11*V66)</f>
        <v>5.8344985527468834E-2</v>
      </c>
      <c r="L67" s="13">
        <f>L66-('Konfigurasi Model'!$B$11*W66)</f>
        <v>0.5043810783445124</v>
      </c>
      <c r="M67" s="13">
        <f>M66-('Konfigurasi Model'!$B$11*X66)</f>
        <v>0.54511449717614135</v>
      </c>
      <c r="N67" s="13">
        <f t="shared" si="0"/>
        <v>3.5081843108116302</v>
      </c>
      <c r="O67" s="13">
        <f t="shared" si="1"/>
        <v>0.97091974272377291</v>
      </c>
      <c r="P67" s="12">
        <f t="shared" si="2"/>
        <v>1</v>
      </c>
      <c r="Q67" s="13">
        <f t="shared" si="3"/>
        <v>-2.9080257276227095E-2</v>
      </c>
      <c r="R67" s="13">
        <f t="shared" si="4"/>
        <v>8.4566136325155887E-4</v>
      </c>
      <c r="T67" s="14">
        <f t="shared" si="5"/>
        <v>-1.6421386264792771E-3</v>
      </c>
      <c r="U67" s="14">
        <f t="shared" si="6"/>
        <v>-1.0345473346819446E-2</v>
      </c>
      <c r="V67" s="14">
        <f t="shared" si="7"/>
        <v>-4.1053465661981927E-3</v>
      </c>
      <c r="W67" s="14">
        <f t="shared" si="8"/>
        <v>-8.0464792697484584E-3</v>
      </c>
      <c r="X67" s="14">
        <f t="shared" si="9"/>
        <v>-2.4632079397189158E-3</v>
      </c>
      <c r="Y67" s="12">
        <f t="shared" si="10"/>
        <v>1</v>
      </c>
    </row>
    <row r="68" spans="1:25" x14ac:dyDescent="0.3">
      <c r="A68" s="23"/>
      <c r="B68" s="12">
        <v>64</v>
      </c>
      <c r="C68" s="12">
        <v>6.1</v>
      </c>
      <c r="D68" s="12">
        <v>2.8</v>
      </c>
      <c r="E68" s="12">
        <v>4.7</v>
      </c>
      <c r="F68" s="12">
        <v>1.2</v>
      </c>
      <c r="G68" s="12">
        <v>1</v>
      </c>
      <c r="I68" s="13">
        <f>I67-('Konfigurasi Model'!$B$11*T67)</f>
        <v>0.37561456727338727</v>
      </c>
      <c r="J68" s="13">
        <f>J67-('Konfigurasi Model'!$B$11*U67)</f>
        <v>-4.6944426644699652E-2</v>
      </c>
      <c r="K68" s="13">
        <f>K67-('Konfigurasi Model'!$B$11*V67)</f>
        <v>5.8755520184088653E-2</v>
      </c>
      <c r="L68" s="13">
        <f>L67-('Konfigurasi Model'!$B$11*W67)</f>
        <v>0.50518572627148728</v>
      </c>
      <c r="M68" s="13">
        <f>M67-('Konfigurasi Model'!$B$11*X67)</f>
        <v>0.54536081797011327</v>
      </c>
      <c r="N68" s="13">
        <f t="shared" si="0"/>
        <v>3.2825749162962934</v>
      </c>
      <c r="O68" s="13">
        <f t="shared" si="1"/>
        <v>0.9638261661208446</v>
      </c>
      <c r="P68" s="12">
        <f t="shared" si="2"/>
        <v>1</v>
      </c>
      <c r="Q68" s="13">
        <f t="shared" si="3"/>
        <v>-3.6173833879155404E-2</v>
      </c>
      <c r="R68" s="13">
        <f t="shared" si="4"/>
        <v>1.3085462575167313E-3</v>
      </c>
      <c r="T68" s="14">
        <f t="shared" si="5"/>
        <v>-2.5224222451482609E-3</v>
      </c>
      <c r="U68" s="14">
        <f t="shared" si="6"/>
        <v>-1.538677569540439E-2</v>
      </c>
      <c r="V68" s="14">
        <f t="shared" si="7"/>
        <v>-7.0627822864151304E-3</v>
      </c>
      <c r="W68" s="14">
        <f t="shared" si="8"/>
        <v>-1.1855384552196827E-2</v>
      </c>
      <c r="X68" s="14">
        <f t="shared" si="9"/>
        <v>-3.0269066941779128E-3</v>
      </c>
      <c r="Y68" s="12">
        <f t="shared" si="10"/>
        <v>1</v>
      </c>
    </row>
    <row r="69" spans="1:25" x14ac:dyDescent="0.3">
      <c r="A69" s="23"/>
      <c r="B69" s="12">
        <v>65</v>
      </c>
      <c r="C69" s="12">
        <v>6.4</v>
      </c>
      <c r="D69" s="12">
        <v>2.9</v>
      </c>
      <c r="E69" s="12">
        <v>4.3</v>
      </c>
      <c r="F69" s="12">
        <v>1.3</v>
      </c>
      <c r="G69" s="12">
        <v>1</v>
      </c>
      <c r="I69" s="13">
        <f>I68-('Konfigurasi Model'!$B$11*T68)</f>
        <v>0.37586680949790208</v>
      </c>
      <c r="J69" s="13">
        <f>J68-('Konfigurasi Model'!$B$11*U68)</f>
        <v>-4.5405749075159214E-2</v>
      </c>
      <c r="K69" s="13">
        <f>K68-('Konfigurasi Model'!$B$11*V68)</f>
        <v>5.9461798412730166E-2</v>
      </c>
      <c r="L69" s="13">
        <f>L68-('Konfigurasi Model'!$B$11*W68)</f>
        <v>0.50637126472670702</v>
      </c>
      <c r="M69" s="13">
        <f>M68-('Konfigurasi Model'!$B$11*X68)</f>
        <v>0.54566350863953106</v>
      </c>
      <c r="N69" s="13">
        <f t="shared" ref="N69:N132" si="11">I69+J69*C69+K69*D69+L69*E69+M69*F69</f>
        <v>3.1444682303700309</v>
      </c>
      <c r="O69" s="13">
        <f t="shared" ref="O69:O132" si="12">1/(1+EXP(-N69))</f>
        <v>0.95869020049382914</v>
      </c>
      <c r="P69" s="12">
        <f t="shared" ref="P69:P132" si="13">IF(O69&gt;0.5,1,0)</f>
        <v>1</v>
      </c>
      <c r="Q69" s="13">
        <f t="shared" ref="Q69:Q132" si="14">O69-G69</f>
        <v>-4.1309799506170863E-2</v>
      </c>
      <c r="R69" s="13">
        <f t="shared" ref="R69:R132" si="15">Q69^2</f>
        <v>1.7064995352400346E-3</v>
      </c>
      <c r="T69" s="14">
        <f t="shared" ref="T69:T132" si="16">2*(O69-G69)*(1-O69)*O69</f>
        <v>-3.2720087631637898E-3</v>
      </c>
      <c r="U69" s="14">
        <f t="shared" ref="U69:U132" si="17">2*(O69-G69)*(1-O69)*O69*C69</f>
        <v>-2.0940856084248255E-2</v>
      </c>
      <c r="V69" s="14">
        <f t="shared" ref="V69:V132" si="18">2*(O69-G69)*(1-O69)*O69*D69</f>
        <v>-9.4888254131749901E-3</v>
      </c>
      <c r="W69" s="14">
        <f t="shared" ref="W69:W132" si="19">2*(O69-G69)*(1-O69)*O69*E69</f>
        <v>-1.4069637681604295E-2</v>
      </c>
      <c r="X69" s="14">
        <f t="shared" ref="X69:X132" si="20">2*(O69-G69)*(1-O69)*O69*F69</f>
        <v>-4.2536113921129272E-3</v>
      </c>
      <c r="Y69" s="12">
        <f t="shared" ref="Y69:Y132" si="21">IF(P69=G69,1,0)</f>
        <v>1</v>
      </c>
    </row>
    <row r="70" spans="1:25" x14ac:dyDescent="0.3">
      <c r="A70" s="23"/>
      <c r="B70" s="12">
        <v>66</v>
      </c>
      <c r="C70" s="12">
        <v>6.6</v>
      </c>
      <c r="D70" s="12">
        <v>3</v>
      </c>
      <c r="E70" s="12">
        <v>4.4000000000000004</v>
      </c>
      <c r="F70" s="12">
        <v>1.4</v>
      </c>
      <c r="G70" s="12">
        <v>1</v>
      </c>
      <c r="I70" s="13">
        <f>I69-('Konfigurasi Model'!$B$11*T69)</f>
        <v>0.37619401037421846</v>
      </c>
      <c r="J70" s="13">
        <f>J69-('Konfigurasi Model'!$B$11*U69)</f>
        <v>-4.3311663466734387E-2</v>
      </c>
      <c r="K70" s="13">
        <f>K69-('Konfigurasi Model'!$B$11*V69)</f>
        <v>6.0410680954047662E-2</v>
      </c>
      <c r="L70" s="13">
        <f>L69-('Konfigurasi Model'!$B$11*W69)</f>
        <v>0.50777822849486742</v>
      </c>
      <c r="M70" s="13">
        <f>M69-('Konfigurasi Model'!$B$11*X69)</f>
        <v>0.54608886977874238</v>
      </c>
      <c r="N70" s="13">
        <f t="shared" si="11"/>
        <v>3.2703176974235708</v>
      </c>
      <c r="O70" s="13">
        <f t="shared" si="12"/>
        <v>0.96339637659281563</v>
      </c>
      <c r="P70" s="12">
        <f t="shared" si="13"/>
        <v>1</v>
      </c>
      <c r="Q70" s="13">
        <f t="shared" si="14"/>
        <v>-3.6603623407184371E-2</v>
      </c>
      <c r="R70" s="13">
        <f t="shared" si="15"/>
        <v>1.3398252465349756E-3</v>
      </c>
      <c r="T70" s="14">
        <f t="shared" si="16"/>
        <v>-2.5815655755587427E-3</v>
      </c>
      <c r="U70" s="14">
        <f t="shared" si="17"/>
        <v>-1.7038332798687699E-2</v>
      </c>
      <c r="V70" s="14">
        <f t="shared" si="18"/>
        <v>-7.7446967266762284E-3</v>
      </c>
      <c r="W70" s="14">
        <f t="shared" si="19"/>
        <v>-1.1358888532458469E-2</v>
      </c>
      <c r="X70" s="14">
        <f t="shared" si="20"/>
        <v>-3.6141918057822396E-3</v>
      </c>
      <c r="Y70" s="12">
        <f t="shared" si="21"/>
        <v>1</v>
      </c>
    </row>
    <row r="71" spans="1:25" x14ac:dyDescent="0.3">
      <c r="A71" s="23"/>
      <c r="B71" s="12">
        <v>67</v>
      </c>
      <c r="C71" s="12">
        <v>6.8</v>
      </c>
      <c r="D71" s="12">
        <v>2.8</v>
      </c>
      <c r="E71" s="12">
        <v>4.8</v>
      </c>
      <c r="F71" s="12">
        <v>1.4</v>
      </c>
      <c r="G71" s="12">
        <v>1</v>
      </c>
      <c r="I71" s="13">
        <f>I70-('Konfigurasi Model'!$B$11*T70)</f>
        <v>0.37645216693177436</v>
      </c>
      <c r="J71" s="13">
        <f>J70-('Konfigurasi Model'!$B$11*U70)</f>
        <v>-4.1607830186865619E-2</v>
      </c>
      <c r="K71" s="13">
        <f>K70-('Konfigurasi Model'!$B$11*V70)</f>
        <v>6.1185150626715284E-2</v>
      </c>
      <c r="L71" s="13">
        <f>L70-('Konfigurasi Model'!$B$11*W70)</f>
        <v>0.50891411734811332</v>
      </c>
      <c r="M71" s="13">
        <f>M70-('Konfigurasi Model'!$B$11*X70)</f>
        <v>0.54645028895932057</v>
      </c>
      <c r="N71" s="13">
        <f t="shared" si="11"/>
        <v>3.4726555112298834</v>
      </c>
      <c r="O71" s="13">
        <f t="shared" si="12"/>
        <v>0.96989964119168148</v>
      </c>
      <c r="P71" s="12">
        <f t="shared" si="13"/>
        <v>1</v>
      </c>
      <c r="Q71" s="13">
        <f t="shared" si="14"/>
        <v>-3.0100358808318517E-2</v>
      </c>
      <c r="R71" s="13">
        <f t="shared" si="15"/>
        <v>9.0603160038951812E-4</v>
      </c>
      <c r="T71" s="14">
        <f t="shared" si="16"/>
        <v>-1.7575194482522371E-3</v>
      </c>
      <c r="U71" s="14">
        <f t="shared" si="17"/>
        <v>-1.1951132248115212E-2</v>
      </c>
      <c r="V71" s="14">
        <f t="shared" si="18"/>
        <v>-4.9210544551062637E-3</v>
      </c>
      <c r="W71" s="14">
        <f t="shared" si="19"/>
        <v>-8.4360933516107375E-3</v>
      </c>
      <c r="X71" s="14">
        <f t="shared" si="20"/>
        <v>-2.4605272275531318E-3</v>
      </c>
      <c r="Y71" s="12">
        <f t="shared" si="21"/>
        <v>1</v>
      </c>
    </row>
    <row r="72" spans="1:25" x14ac:dyDescent="0.3">
      <c r="A72" s="23"/>
      <c r="B72" s="12">
        <v>68</v>
      </c>
      <c r="C72" s="12">
        <v>6.7</v>
      </c>
      <c r="D72" s="12">
        <v>3</v>
      </c>
      <c r="E72" s="12">
        <v>5</v>
      </c>
      <c r="F72" s="12">
        <v>1.7</v>
      </c>
      <c r="G72" s="12">
        <v>1</v>
      </c>
      <c r="I72" s="13">
        <f>I71-('Konfigurasi Model'!$B$11*T71)</f>
        <v>0.37662791887659958</v>
      </c>
      <c r="J72" s="13">
        <f>J71-('Konfigurasi Model'!$B$11*U71)</f>
        <v>-4.0412716962054097E-2</v>
      </c>
      <c r="K72" s="13">
        <f>K71-('Konfigurasi Model'!$B$11*V71)</f>
        <v>6.1677256072225912E-2</v>
      </c>
      <c r="L72" s="13">
        <f>L71-('Konfigurasi Model'!$B$11*W71)</f>
        <v>0.50975772668327435</v>
      </c>
      <c r="M72" s="13">
        <f>M71-('Konfigurasi Model'!$B$11*X71)</f>
        <v>0.54669634168207593</v>
      </c>
      <c r="N72" s="13">
        <f t="shared" si="11"/>
        <v>3.7690668977234156</v>
      </c>
      <c r="O72" s="13">
        <f t="shared" si="12"/>
        <v>0.97744679988210292</v>
      </c>
      <c r="P72" s="12">
        <f t="shared" si="13"/>
        <v>1</v>
      </c>
      <c r="Q72" s="13">
        <f t="shared" si="14"/>
        <v>-2.2553200117897076E-2</v>
      </c>
      <c r="R72" s="13">
        <f t="shared" si="15"/>
        <v>5.0864683555791265E-4</v>
      </c>
      <c r="T72" s="14">
        <f t="shared" si="16"/>
        <v>-9.9435044337247997E-4</v>
      </c>
      <c r="U72" s="14">
        <f t="shared" si="17"/>
        <v>-6.6621479705956162E-3</v>
      </c>
      <c r="V72" s="14">
        <f t="shared" si="18"/>
        <v>-2.9830513301174399E-3</v>
      </c>
      <c r="W72" s="14">
        <f t="shared" si="19"/>
        <v>-4.9717522168623999E-3</v>
      </c>
      <c r="X72" s="14">
        <f t="shared" si="20"/>
        <v>-1.690395753733216E-3</v>
      </c>
      <c r="Y72" s="12">
        <f t="shared" si="21"/>
        <v>1</v>
      </c>
    </row>
    <row r="73" spans="1:25" x14ac:dyDescent="0.3">
      <c r="A73" s="23"/>
      <c r="B73" s="12">
        <v>69</v>
      </c>
      <c r="C73" s="12">
        <v>6</v>
      </c>
      <c r="D73" s="12">
        <v>2.9</v>
      </c>
      <c r="E73" s="12">
        <v>4.5</v>
      </c>
      <c r="F73" s="12">
        <v>1.5</v>
      </c>
      <c r="G73" s="12">
        <v>1</v>
      </c>
      <c r="I73" s="13">
        <f>I72-('Konfigurasi Model'!$B$11*T72)</f>
        <v>0.37672735392093681</v>
      </c>
      <c r="J73" s="13">
        <f>J72-('Konfigurasi Model'!$B$11*U72)</f>
        <v>-3.9746502164994535E-2</v>
      </c>
      <c r="K73" s="13">
        <f>K72-('Konfigurasi Model'!$B$11*V72)</f>
        <v>6.1975561205237659E-2</v>
      </c>
      <c r="L73" s="13">
        <f>L72-('Konfigurasi Model'!$B$11*W72)</f>
        <v>0.51025490190496059</v>
      </c>
      <c r="M73" s="13">
        <f>M72-('Konfigurasi Model'!$B$11*X72)</f>
        <v>0.54686538125744921</v>
      </c>
      <c r="N73" s="13">
        <f t="shared" si="11"/>
        <v>3.4344225988846553</v>
      </c>
      <c r="O73" s="13">
        <f t="shared" si="12"/>
        <v>0.96876317819538038</v>
      </c>
      <c r="P73" s="12">
        <f t="shared" si="13"/>
        <v>1</v>
      </c>
      <c r="Q73" s="13">
        <f t="shared" si="14"/>
        <v>-3.1236821804619619E-2</v>
      </c>
      <c r="R73" s="13">
        <f t="shared" si="15"/>
        <v>9.7573903645355967E-4</v>
      </c>
      <c r="T73" s="14">
        <f t="shared" si="16"/>
        <v>-1.8905201000880972E-3</v>
      </c>
      <c r="U73" s="14">
        <f t="shared" si="17"/>
        <v>-1.1343120600528583E-2</v>
      </c>
      <c r="V73" s="14">
        <f t="shared" si="18"/>
        <v>-5.4825082902554816E-3</v>
      </c>
      <c r="W73" s="14">
        <f t="shared" si="19"/>
        <v>-8.5073404503964375E-3</v>
      </c>
      <c r="X73" s="14">
        <f t="shared" si="20"/>
        <v>-2.8357801501321458E-3</v>
      </c>
      <c r="Y73" s="12">
        <f t="shared" si="21"/>
        <v>1</v>
      </c>
    </row>
    <row r="74" spans="1:25" x14ac:dyDescent="0.3">
      <c r="A74" s="23"/>
      <c r="B74" s="12">
        <v>70</v>
      </c>
      <c r="C74" s="12">
        <v>5.7</v>
      </c>
      <c r="D74" s="12">
        <v>2.6</v>
      </c>
      <c r="E74" s="12">
        <v>3.5</v>
      </c>
      <c r="F74" s="12">
        <v>1</v>
      </c>
      <c r="G74" s="12">
        <v>1</v>
      </c>
      <c r="I74" s="13">
        <f>I73-('Konfigurasi Model'!$B$11*T73)</f>
        <v>0.37691640593094561</v>
      </c>
      <c r="J74" s="13">
        <f>J73-('Konfigurasi Model'!$B$11*U73)</f>
        <v>-3.8612190104941678E-2</v>
      </c>
      <c r="K74" s="13">
        <f>K73-('Konfigurasi Model'!$B$11*V73)</f>
        <v>6.2523812034263201E-2</v>
      </c>
      <c r="L74" s="13">
        <f>L73-('Konfigurasi Model'!$B$11*W73)</f>
        <v>0.51110563595000025</v>
      </c>
      <c r="M74" s="13">
        <f>M73-('Konfigurasi Model'!$B$11*X73)</f>
        <v>0.54714895927246243</v>
      </c>
      <c r="N74" s="13">
        <f t="shared" si="11"/>
        <v>2.6554075187193256</v>
      </c>
      <c r="O74" s="13">
        <f t="shared" si="12"/>
        <v>0.93434349882411094</v>
      </c>
      <c r="P74" s="12">
        <f t="shared" si="13"/>
        <v>1</v>
      </c>
      <c r="Q74" s="13">
        <f t="shared" si="14"/>
        <v>-6.5656501175889059E-2</v>
      </c>
      <c r="R74" s="13">
        <f t="shared" si="15"/>
        <v>4.310776146659521E-3</v>
      </c>
      <c r="T74" s="14">
        <f t="shared" si="16"/>
        <v>-8.0554913350347514E-3</v>
      </c>
      <c r="U74" s="14">
        <f t="shared" si="17"/>
        <v>-4.5916300609698084E-2</v>
      </c>
      <c r="V74" s="14">
        <f t="shared" si="18"/>
        <v>-2.0944277471090355E-2</v>
      </c>
      <c r="W74" s="14">
        <f t="shared" si="19"/>
        <v>-2.8194219672621632E-2</v>
      </c>
      <c r="X74" s="14">
        <f t="shared" si="20"/>
        <v>-8.0554913350347514E-3</v>
      </c>
      <c r="Y74" s="12">
        <f t="shared" si="21"/>
        <v>1</v>
      </c>
    </row>
    <row r="75" spans="1:25" x14ac:dyDescent="0.3">
      <c r="A75" s="23"/>
      <c r="B75" s="12">
        <v>71</v>
      </c>
      <c r="C75" s="12">
        <v>5.5</v>
      </c>
      <c r="D75" s="12">
        <v>2.4</v>
      </c>
      <c r="E75" s="12">
        <v>3.8</v>
      </c>
      <c r="F75" s="12">
        <v>1.1000000000000001</v>
      </c>
      <c r="G75" s="12">
        <v>1</v>
      </c>
      <c r="I75" s="13">
        <f>I74-('Konfigurasi Model'!$B$11*T74)</f>
        <v>0.37772195506444911</v>
      </c>
      <c r="J75" s="13">
        <f>J74-('Konfigurasi Model'!$B$11*U74)</f>
        <v>-3.4020560043971873E-2</v>
      </c>
      <c r="K75" s="13">
        <f>K74-('Konfigurasi Model'!$B$11*V74)</f>
        <v>6.4618239781372239E-2</v>
      </c>
      <c r="L75" s="13">
        <f>L74-('Konfigurasi Model'!$B$11*W74)</f>
        <v>0.5139250579172624</v>
      </c>
      <c r="M75" s="13">
        <f>M74-('Konfigurasi Model'!$B$11*X74)</f>
        <v>0.54795450840596593</v>
      </c>
      <c r="N75" s="13">
        <f t="shared" si="11"/>
        <v>2.9013578296300571</v>
      </c>
      <c r="O75" s="13">
        <f t="shared" si="12"/>
        <v>0.94791351848365579</v>
      </c>
      <c r="P75" s="12">
        <f t="shared" si="13"/>
        <v>1</v>
      </c>
      <c r="Q75" s="13">
        <f t="shared" si="14"/>
        <v>-5.2086481516344207E-2</v>
      </c>
      <c r="R75" s="13">
        <f t="shared" si="15"/>
        <v>2.7130015567524667E-3</v>
      </c>
      <c r="T75" s="14">
        <f t="shared" si="16"/>
        <v>-5.1433817026257326E-3</v>
      </c>
      <c r="U75" s="14">
        <f t="shared" si="17"/>
        <v>-2.828859936444153E-2</v>
      </c>
      <c r="V75" s="14">
        <f t="shared" si="18"/>
        <v>-1.2344116086301758E-2</v>
      </c>
      <c r="W75" s="14">
        <f t="shared" si="19"/>
        <v>-1.9544850469977781E-2</v>
      </c>
      <c r="X75" s="14">
        <f t="shared" si="20"/>
        <v>-5.6577198728883062E-3</v>
      </c>
      <c r="Y75" s="12">
        <f t="shared" si="21"/>
        <v>1</v>
      </c>
    </row>
    <row r="76" spans="1:25" x14ac:dyDescent="0.3">
      <c r="A76" s="23"/>
      <c r="B76" s="12">
        <v>72</v>
      </c>
      <c r="C76" s="12">
        <v>5.5</v>
      </c>
      <c r="D76" s="12">
        <v>2.4</v>
      </c>
      <c r="E76" s="12">
        <v>3.7</v>
      </c>
      <c r="F76" s="12">
        <v>1</v>
      </c>
      <c r="G76" s="12">
        <v>1</v>
      </c>
      <c r="I76" s="13">
        <f>I75-('Konfigurasi Model'!$B$11*T75)</f>
        <v>0.3782362932347117</v>
      </c>
      <c r="J76" s="13">
        <f>J75-('Konfigurasi Model'!$B$11*U75)</f>
        <v>-3.1191700107527719E-2</v>
      </c>
      <c r="K76" s="13">
        <f>K75-('Konfigurasi Model'!$B$11*V75)</f>
        <v>6.5852651390002417E-2</v>
      </c>
      <c r="L76" s="13">
        <f>L75-('Konfigurasi Model'!$B$11*W75)</f>
        <v>0.5158795429642602</v>
      </c>
      <c r="M76" s="13">
        <f>M75-('Konfigurasi Model'!$B$11*X75)</f>
        <v>0.54852028039325473</v>
      </c>
      <c r="N76" s="13">
        <f t="shared" si="11"/>
        <v>2.8220028953403324</v>
      </c>
      <c r="O76" s="13">
        <f t="shared" si="12"/>
        <v>0.9438533027621705</v>
      </c>
      <c r="P76" s="12">
        <f t="shared" si="13"/>
        <v>1</v>
      </c>
      <c r="Q76" s="13">
        <f t="shared" si="14"/>
        <v>-5.6146697237829502E-2</v>
      </c>
      <c r="R76" s="13">
        <f t="shared" si="15"/>
        <v>3.152451610716491E-3</v>
      </c>
      <c r="T76" s="14">
        <f t="shared" si="16"/>
        <v>-5.9509037291453687E-3</v>
      </c>
      <c r="U76" s="14">
        <f t="shared" si="17"/>
        <v>-3.2729970510299529E-2</v>
      </c>
      <c r="V76" s="14">
        <f t="shared" si="18"/>
        <v>-1.4282168949948885E-2</v>
      </c>
      <c r="W76" s="14">
        <f t="shared" si="19"/>
        <v>-2.2018343797837864E-2</v>
      </c>
      <c r="X76" s="14">
        <f t="shared" si="20"/>
        <v>-5.9509037291453687E-3</v>
      </c>
      <c r="Y76" s="12">
        <f t="shared" si="21"/>
        <v>1</v>
      </c>
    </row>
    <row r="77" spans="1:25" x14ac:dyDescent="0.3">
      <c r="A77" s="23"/>
      <c r="B77" s="12">
        <v>73</v>
      </c>
      <c r="C77" s="12">
        <v>5.8</v>
      </c>
      <c r="D77" s="12">
        <v>2.7</v>
      </c>
      <c r="E77" s="12">
        <v>3.9</v>
      </c>
      <c r="F77" s="12">
        <v>1.2</v>
      </c>
      <c r="G77" s="12">
        <v>1</v>
      </c>
      <c r="I77" s="13">
        <f>I76-('Konfigurasi Model'!$B$11*T76)</f>
        <v>0.37883138360762625</v>
      </c>
      <c r="J77" s="13">
        <f>J76-('Konfigurasi Model'!$B$11*U76)</f>
        <v>-2.7918703056497764E-2</v>
      </c>
      <c r="K77" s="13">
        <f>K76-('Konfigurasi Model'!$B$11*V76)</f>
        <v>6.7280868284997311E-2</v>
      </c>
      <c r="L77" s="13">
        <f>L76-('Konfigurasi Model'!$B$11*W76)</f>
        <v>0.51808137734404403</v>
      </c>
      <c r="M77" s="13">
        <f>M76-('Konfigurasi Model'!$B$11*X76)</f>
        <v>0.54911537076616923</v>
      </c>
      <c r="N77" s="13">
        <f t="shared" si="11"/>
        <v>3.0780170668106064</v>
      </c>
      <c r="O77" s="13">
        <f t="shared" si="12"/>
        <v>0.95597680797607154</v>
      </c>
      <c r="P77" s="12">
        <f t="shared" si="13"/>
        <v>1</v>
      </c>
      <c r="Q77" s="13">
        <f t="shared" si="14"/>
        <v>-4.4023192023928459E-2</v>
      </c>
      <c r="R77" s="13">
        <f t="shared" si="15"/>
        <v>1.9380414359756782E-3</v>
      </c>
      <c r="T77" s="14">
        <f t="shared" si="16"/>
        <v>-3.705445331378782E-3</v>
      </c>
      <c r="U77" s="14">
        <f t="shared" si="17"/>
        <v>-2.1491582921996936E-2</v>
      </c>
      <c r="V77" s="14">
        <f t="shared" si="18"/>
        <v>-1.0004702394722712E-2</v>
      </c>
      <c r="W77" s="14">
        <f t="shared" si="19"/>
        <v>-1.445123679237725E-2</v>
      </c>
      <c r="X77" s="14">
        <f t="shared" si="20"/>
        <v>-4.446534397654538E-3</v>
      </c>
      <c r="Y77" s="12">
        <f t="shared" si="21"/>
        <v>1</v>
      </c>
    </row>
    <row r="78" spans="1:25" x14ac:dyDescent="0.3">
      <c r="A78" s="23"/>
      <c r="B78" s="12">
        <v>74</v>
      </c>
      <c r="C78" s="12">
        <v>6</v>
      </c>
      <c r="D78" s="12">
        <v>2.7</v>
      </c>
      <c r="E78" s="12">
        <v>5.0999999999999996</v>
      </c>
      <c r="F78" s="12">
        <v>1.6</v>
      </c>
      <c r="G78" s="12">
        <v>1</v>
      </c>
      <c r="I78" s="13">
        <f>I77-('Konfigurasi Model'!$B$11*T77)</f>
        <v>0.37920192814076414</v>
      </c>
      <c r="J78" s="13">
        <f>J77-('Konfigurasi Model'!$B$11*U77)</f>
        <v>-2.5769544764298071E-2</v>
      </c>
      <c r="K78" s="13">
        <f>K77-('Konfigurasi Model'!$B$11*V77)</f>
        <v>6.8281338524469576E-2</v>
      </c>
      <c r="L78" s="13">
        <f>L77-('Konfigurasi Model'!$B$11*W77)</f>
        <v>0.51952650102328179</v>
      </c>
      <c r="M78" s="13">
        <f>M77-('Konfigurasi Model'!$B$11*X77)</f>
        <v>0.54956002420593464</v>
      </c>
      <c r="N78" s="13">
        <f t="shared" si="11"/>
        <v>3.9378254675192759</v>
      </c>
      <c r="O78" s="13">
        <f t="shared" si="12"/>
        <v>0.98088206751364226</v>
      </c>
      <c r="P78" s="12">
        <f t="shared" si="13"/>
        <v>1</v>
      </c>
      <c r="Q78" s="13">
        <f t="shared" si="14"/>
        <v>-1.9117932486357736E-2</v>
      </c>
      <c r="R78" s="13">
        <f t="shared" si="15"/>
        <v>3.6549534255293249E-4</v>
      </c>
      <c r="T78" s="14">
        <f t="shared" si="16"/>
        <v>-7.1701565453985471E-4</v>
      </c>
      <c r="U78" s="14">
        <f t="shared" si="17"/>
        <v>-4.3020939272391283E-3</v>
      </c>
      <c r="V78" s="14">
        <f t="shared" si="18"/>
        <v>-1.9359422672576079E-3</v>
      </c>
      <c r="W78" s="14">
        <f t="shared" si="19"/>
        <v>-3.6567798381532588E-3</v>
      </c>
      <c r="X78" s="14">
        <f t="shared" si="20"/>
        <v>-1.1472250472637675E-3</v>
      </c>
      <c r="Y78" s="12">
        <f t="shared" si="21"/>
        <v>1</v>
      </c>
    </row>
    <row r="79" spans="1:25" x14ac:dyDescent="0.3">
      <c r="A79" s="23"/>
      <c r="B79" s="12">
        <v>75</v>
      </c>
      <c r="C79" s="12">
        <v>5.4</v>
      </c>
      <c r="D79" s="12">
        <v>3</v>
      </c>
      <c r="E79" s="12">
        <v>4.5</v>
      </c>
      <c r="F79" s="12">
        <v>1.5</v>
      </c>
      <c r="G79" s="12">
        <v>1</v>
      </c>
      <c r="I79" s="13">
        <f>I78-('Konfigurasi Model'!$B$11*T78)</f>
        <v>0.37927362970621814</v>
      </c>
      <c r="J79" s="13">
        <f>J78-('Konfigurasi Model'!$B$11*U78)</f>
        <v>-2.5339335371574158E-2</v>
      </c>
      <c r="K79" s="13">
        <f>K78-('Konfigurasi Model'!$B$11*V78)</f>
        <v>6.847493275119533E-2</v>
      </c>
      <c r="L79" s="13">
        <f>L78-('Konfigurasi Model'!$B$11*W78)</f>
        <v>0.51989217900709717</v>
      </c>
      <c r="M79" s="13">
        <f>M78-('Konfigurasi Model'!$B$11*X78)</f>
        <v>0.54967474671066097</v>
      </c>
      <c r="N79" s="13">
        <f t="shared" si="11"/>
        <v>3.6118929425512327</v>
      </c>
      <c r="O79" s="13">
        <f t="shared" si="12"/>
        <v>0.97370918244419657</v>
      </c>
      <c r="P79" s="12">
        <f t="shared" si="13"/>
        <v>1</v>
      </c>
      <c r="Q79" s="13">
        <f t="shared" si="14"/>
        <v>-2.6290817555803425E-2</v>
      </c>
      <c r="R79" s="13">
        <f t="shared" si="15"/>
        <v>6.9120708775254156E-4</v>
      </c>
      <c r="T79" s="14">
        <f t="shared" si="16"/>
        <v>-1.3460693766303225E-3</v>
      </c>
      <c r="U79" s="14">
        <f t="shared" si="17"/>
        <v>-7.2687746338037417E-3</v>
      </c>
      <c r="V79" s="14">
        <f t="shared" si="18"/>
        <v>-4.0382081298909675E-3</v>
      </c>
      <c r="W79" s="14">
        <f t="shared" si="19"/>
        <v>-6.0573121948364513E-3</v>
      </c>
      <c r="X79" s="14">
        <f t="shared" si="20"/>
        <v>-2.0191040649454838E-3</v>
      </c>
      <c r="Y79" s="12">
        <f t="shared" si="21"/>
        <v>1</v>
      </c>
    </row>
    <row r="80" spans="1:25" x14ac:dyDescent="0.3">
      <c r="A80" s="23"/>
      <c r="B80" s="12">
        <v>76</v>
      </c>
      <c r="C80" s="12">
        <v>6</v>
      </c>
      <c r="D80" s="12">
        <v>3.4</v>
      </c>
      <c r="E80" s="12">
        <v>4.5</v>
      </c>
      <c r="F80" s="12">
        <v>1.6</v>
      </c>
      <c r="G80" s="12">
        <v>1</v>
      </c>
      <c r="I80" s="13">
        <f>I79-('Konfigurasi Model'!$B$11*T79)</f>
        <v>0.37940823664388118</v>
      </c>
      <c r="J80" s="13">
        <f>J79-('Konfigurasi Model'!$B$11*U79)</f>
        <v>-2.4612457908193785E-2</v>
      </c>
      <c r="K80" s="13">
        <f>K79-('Konfigurasi Model'!$B$11*V79)</f>
        <v>6.8878753564184422E-2</v>
      </c>
      <c r="L80" s="13">
        <f>L79-('Konfigurasi Model'!$B$11*W79)</f>
        <v>0.52049791022658076</v>
      </c>
      <c r="M80" s="13">
        <f>M79-('Konfigurasi Model'!$B$11*X79)</f>
        <v>0.5498766571171555</v>
      </c>
      <c r="N80" s="13">
        <f t="shared" si="11"/>
        <v>3.6879644987200075</v>
      </c>
      <c r="O80" s="13">
        <f t="shared" si="12"/>
        <v>0.97558797492785398</v>
      </c>
      <c r="P80" s="12">
        <f t="shared" si="13"/>
        <v>1</v>
      </c>
      <c r="Q80" s="13">
        <f t="shared" si="14"/>
        <v>-2.4412025072146015E-2</v>
      </c>
      <c r="R80" s="13">
        <f t="shared" si="15"/>
        <v>5.9594696812308569E-4</v>
      </c>
      <c r="T80" s="14">
        <f t="shared" si="16"/>
        <v>-1.162797391591191E-3</v>
      </c>
      <c r="U80" s="14">
        <f t="shared" si="17"/>
        <v>-6.9767843495471462E-3</v>
      </c>
      <c r="V80" s="14">
        <f t="shared" si="18"/>
        <v>-3.9535111314100493E-3</v>
      </c>
      <c r="W80" s="14">
        <f t="shared" si="19"/>
        <v>-5.2325882621603592E-3</v>
      </c>
      <c r="X80" s="14">
        <f t="shared" si="20"/>
        <v>-1.8604758265459058E-3</v>
      </c>
      <c r="Y80" s="12">
        <f t="shared" si="21"/>
        <v>1</v>
      </c>
    </row>
    <row r="81" spans="1:28" x14ac:dyDescent="0.3">
      <c r="A81" s="23"/>
      <c r="B81" s="12">
        <v>77</v>
      </c>
      <c r="C81" s="12">
        <v>6.7</v>
      </c>
      <c r="D81" s="12">
        <v>3.1</v>
      </c>
      <c r="E81" s="12">
        <v>4.7</v>
      </c>
      <c r="F81" s="12">
        <v>1.5</v>
      </c>
      <c r="G81" s="12">
        <v>1</v>
      </c>
      <c r="I81" s="13">
        <f>I80-('Konfigurasi Model'!$B$11*T80)</f>
        <v>0.3795245163830403</v>
      </c>
      <c r="J81" s="13">
        <f>J80-('Konfigurasi Model'!$B$11*U80)</f>
        <v>-2.391477947323907E-2</v>
      </c>
      <c r="K81" s="13">
        <f>K80-('Konfigurasi Model'!$B$11*V80)</f>
        <v>6.9274104677325421E-2</v>
      </c>
      <c r="L81" s="13">
        <f>L80-('Konfigurasi Model'!$B$11*W80)</f>
        <v>0.52102116905279683</v>
      </c>
      <c r="M81" s="13">
        <f>M80-('Konfigurasi Model'!$B$11*X80)</f>
        <v>0.55006270469981011</v>
      </c>
      <c r="N81" s="13">
        <f t="shared" si="11"/>
        <v>3.7079387700099078</v>
      </c>
      <c r="O81" s="13">
        <f t="shared" si="12"/>
        <v>0.97605919173125744</v>
      </c>
      <c r="P81" s="12">
        <f t="shared" si="13"/>
        <v>1</v>
      </c>
      <c r="Q81" s="13">
        <f t="shared" si="14"/>
        <v>-2.3940808268742564E-2</v>
      </c>
      <c r="R81" s="13">
        <f t="shared" si="15"/>
        <v>5.7316230056069233E-4</v>
      </c>
      <c r="T81" s="14">
        <f t="shared" si="16"/>
        <v>-1.1188806636321948E-3</v>
      </c>
      <c r="U81" s="14">
        <f t="shared" si="17"/>
        <v>-7.4965004463357051E-3</v>
      </c>
      <c r="V81" s="14">
        <f t="shared" si="18"/>
        <v>-3.4685300572598042E-3</v>
      </c>
      <c r="W81" s="14">
        <f t="shared" si="19"/>
        <v>-5.2587391190713154E-3</v>
      </c>
      <c r="X81" s="14">
        <f t="shared" si="20"/>
        <v>-1.6783209954482922E-3</v>
      </c>
      <c r="Y81" s="12">
        <f t="shared" si="21"/>
        <v>1</v>
      </c>
    </row>
    <row r="82" spans="1:28" x14ac:dyDescent="0.3">
      <c r="A82" s="23"/>
      <c r="B82" s="12">
        <v>78</v>
      </c>
      <c r="C82" s="12">
        <v>6.3</v>
      </c>
      <c r="D82" s="12">
        <v>2.2999999999999998</v>
      </c>
      <c r="E82" s="12">
        <v>4.4000000000000004</v>
      </c>
      <c r="F82" s="12">
        <v>1.3</v>
      </c>
      <c r="G82" s="12">
        <v>1</v>
      </c>
      <c r="I82" s="13">
        <f>I81-('Konfigurasi Model'!$B$11*T81)</f>
        <v>0.3796364044494035</v>
      </c>
      <c r="J82" s="13">
        <f>J81-('Konfigurasi Model'!$B$11*U81)</f>
        <v>-2.3165129428605498E-2</v>
      </c>
      <c r="K82" s="13">
        <f>K81-('Konfigurasi Model'!$B$11*V81)</f>
        <v>6.9620957683051404E-2</v>
      </c>
      <c r="L82" s="13">
        <f>L81-('Konfigurasi Model'!$B$11*W81)</f>
        <v>0.521547042964704</v>
      </c>
      <c r="M82" s="13">
        <f>M81-('Konfigurasi Model'!$B$11*X81)</f>
        <v>0.55023053679935496</v>
      </c>
      <c r="N82" s="13">
        <f t="shared" si="11"/>
        <v>3.4039309786040661</v>
      </c>
      <c r="O82" s="13">
        <f t="shared" si="12"/>
        <v>0.96782716247080058</v>
      </c>
      <c r="P82" s="12">
        <f t="shared" si="13"/>
        <v>1</v>
      </c>
      <c r="Q82" s="13">
        <f t="shared" si="14"/>
        <v>-3.2172837529199416E-2</v>
      </c>
      <c r="R82" s="13">
        <f t="shared" si="15"/>
        <v>1.0350914746802625E-3</v>
      </c>
      <c r="T82" s="14">
        <f t="shared" si="16"/>
        <v>-2.0035792896750297E-3</v>
      </c>
      <c r="U82" s="14">
        <f t="shared" si="17"/>
        <v>-1.2622549524952687E-2</v>
      </c>
      <c r="V82" s="14">
        <f t="shared" si="18"/>
        <v>-4.6082323662525676E-3</v>
      </c>
      <c r="W82" s="14">
        <f t="shared" si="19"/>
        <v>-8.8157488745701316E-3</v>
      </c>
      <c r="X82" s="14">
        <f t="shared" si="20"/>
        <v>-2.6046530765775388E-3</v>
      </c>
      <c r="Y82" s="12">
        <f t="shared" si="21"/>
        <v>1</v>
      </c>
    </row>
    <row r="83" spans="1:28" x14ac:dyDescent="0.3">
      <c r="A83" s="23"/>
      <c r="B83" s="12">
        <v>79</v>
      </c>
      <c r="C83" s="12">
        <v>5.6</v>
      </c>
      <c r="D83" s="12">
        <v>3</v>
      </c>
      <c r="E83" s="12">
        <v>4.0999999999999996</v>
      </c>
      <c r="F83" s="12">
        <v>1.3</v>
      </c>
      <c r="G83" s="12">
        <v>1</v>
      </c>
      <c r="I83" s="13">
        <f>I82-('Konfigurasi Model'!$B$11*T82)</f>
        <v>0.379836762378371</v>
      </c>
      <c r="J83" s="13">
        <f>J82-('Konfigurasi Model'!$B$11*U82)</f>
        <v>-2.190287447611023E-2</v>
      </c>
      <c r="K83" s="13">
        <f>K82-('Konfigurasi Model'!$B$11*V82)</f>
        <v>7.0081780919676664E-2</v>
      </c>
      <c r="L83" s="13">
        <f>L82-('Konfigurasi Model'!$B$11*W82)</f>
        <v>0.52242861785216099</v>
      </c>
      <c r="M83" s="13">
        <f>M82-('Konfigurasi Model'!$B$11*X82)</f>
        <v>0.55049100210701274</v>
      </c>
      <c r="N83" s="13">
        <f t="shared" si="11"/>
        <v>3.3250216440041602</v>
      </c>
      <c r="O83" s="13">
        <f t="shared" si="12"/>
        <v>0.96527729591685585</v>
      </c>
      <c r="P83" s="12">
        <f t="shared" si="13"/>
        <v>1</v>
      </c>
      <c r="Q83" s="13">
        <f t="shared" si="14"/>
        <v>-3.4722704083144151E-2</v>
      </c>
      <c r="R83" s="13">
        <f t="shared" si="15"/>
        <v>1.2056661788455954E-3</v>
      </c>
      <c r="T83" s="14">
        <f t="shared" si="16"/>
        <v>-2.3276043777889694E-3</v>
      </c>
      <c r="U83" s="14">
        <f t="shared" si="17"/>
        <v>-1.3034584515618229E-2</v>
      </c>
      <c r="V83" s="14">
        <f t="shared" si="18"/>
        <v>-6.9828131333669087E-3</v>
      </c>
      <c r="W83" s="14">
        <f t="shared" si="19"/>
        <v>-9.5431779489347744E-3</v>
      </c>
      <c r="X83" s="14">
        <f t="shared" si="20"/>
        <v>-3.0258856911256605E-3</v>
      </c>
      <c r="Y83" s="12">
        <f t="shared" si="21"/>
        <v>1</v>
      </c>
    </row>
    <row r="84" spans="1:28" x14ac:dyDescent="0.3">
      <c r="A84" s="23"/>
      <c r="B84" s="12">
        <v>80</v>
      </c>
      <c r="C84" s="12">
        <v>5.5</v>
      </c>
      <c r="D84" s="12">
        <v>2.5</v>
      </c>
      <c r="E84" s="12">
        <v>4</v>
      </c>
      <c r="F84" s="12">
        <v>1.3</v>
      </c>
      <c r="G84" s="12">
        <v>1</v>
      </c>
      <c r="I84" s="13">
        <f>I83-('Konfigurasi Model'!$B$11*T83)</f>
        <v>0.38006952281614992</v>
      </c>
      <c r="J84" s="13">
        <f>J83-('Konfigurasi Model'!$B$11*U83)</f>
        <v>-2.0599416024548407E-2</v>
      </c>
      <c r="K84" s="13">
        <f>K83-('Konfigurasi Model'!$B$11*V83)</f>
        <v>7.0780062233013349E-2</v>
      </c>
      <c r="L84" s="13">
        <f>L83-('Konfigurasi Model'!$B$11*W83)</f>
        <v>0.52338293564705451</v>
      </c>
      <c r="M84" s="13">
        <f>M83-('Konfigurasi Model'!$B$11*X83)</f>
        <v>0.55079359067612532</v>
      </c>
      <c r="N84" s="13">
        <f t="shared" si="11"/>
        <v>3.2532863007308479</v>
      </c>
      <c r="O84" s="13">
        <f t="shared" si="12"/>
        <v>0.96279102185661181</v>
      </c>
      <c r="P84" s="12">
        <f t="shared" si="13"/>
        <v>1</v>
      </c>
      <c r="Q84" s="13">
        <f t="shared" si="14"/>
        <v>-3.7208978143388194E-2</v>
      </c>
      <c r="R84" s="13">
        <f t="shared" si="15"/>
        <v>1.3845080544751403E-3</v>
      </c>
      <c r="T84" s="14">
        <f t="shared" si="16"/>
        <v>-2.6659838490736597E-3</v>
      </c>
      <c r="U84" s="14">
        <f t="shared" si="17"/>
        <v>-1.4662911169905129E-2</v>
      </c>
      <c r="V84" s="14">
        <f t="shared" si="18"/>
        <v>-6.6649596226841488E-3</v>
      </c>
      <c r="W84" s="14">
        <f t="shared" si="19"/>
        <v>-1.0663935396294639E-2</v>
      </c>
      <c r="X84" s="14">
        <f t="shared" si="20"/>
        <v>-3.4657790037957575E-3</v>
      </c>
      <c r="Y84" s="12">
        <f t="shared" si="21"/>
        <v>1</v>
      </c>
      <c r="AA84" s="17">
        <f>AVERAGE(Y5:Y84)</f>
        <v>0.52500000000000002</v>
      </c>
      <c r="AB84" s="16">
        <f>AVERAGE(R5:R84)</f>
        <v>0.44988865513952919</v>
      </c>
    </row>
    <row r="85" spans="1:28" x14ac:dyDescent="0.3">
      <c r="A85" s="23" t="s">
        <v>90</v>
      </c>
      <c r="B85" s="12">
        <v>1</v>
      </c>
      <c r="C85" s="12">
        <v>5.0999999999999996</v>
      </c>
      <c r="D85" s="12">
        <v>3.5</v>
      </c>
      <c r="E85" s="12">
        <v>1.4</v>
      </c>
      <c r="F85" s="12">
        <v>0.2</v>
      </c>
      <c r="G85" s="12">
        <v>0</v>
      </c>
      <c r="I85" s="13">
        <f>I84</f>
        <v>0.38006952281614992</v>
      </c>
      <c r="J85" s="13">
        <f>J84</f>
        <v>-2.0599416024548407E-2</v>
      </c>
      <c r="K85" s="13">
        <f>K84</f>
        <v>7.0780062233013349E-2</v>
      </c>
      <c r="L85" s="13">
        <f>L84</f>
        <v>0.52338293564705451</v>
      </c>
      <c r="M85" s="13">
        <f>M84</f>
        <v>0.55079359067612532</v>
      </c>
      <c r="N85" s="13">
        <f t="shared" si="11"/>
        <v>1.365637546947601</v>
      </c>
      <c r="O85" s="13">
        <f t="shared" si="12"/>
        <v>0.79667441921350701</v>
      </c>
      <c r="P85" s="12">
        <f t="shared" si="13"/>
        <v>1</v>
      </c>
      <c r="Q85" s="13">
        <f t="shared" si="14"/>
        <v>0.79667441921350701</v>
      </c>
      <c r="R85" s="13">
        <f t="shared" si="15"/>
        <v>0.63469013022917875</v>
      </c>
      <c r="T85" s="14">
        <f t="shared" si="16"/>
        <v>0.25809747869660526</v>
      </c>
      <c r="U85" s="14">
        <f t="shared" si="17"/>
        <v>1.3162971413526867</v>
      </c>
      <c r="V85" s="14">
        <f t="shared" si="18"/>
        <v>0.90334117543811843</v>
      </c>
      <c r="W85" s="14">
        <f t="shared" si="19"/>
        <v>0.36133647017524734</v>
      </c>
      <c r="X85" s="14">
        <f t="shared" si="20"/>
        <v>5.1619495739321057E-2</v>
      </c>
      <c r="Y85" s="12">
        <f t="shared" si="21"/>
        <v>0</v>
      </c>
    </row>
    <row r="86" spans="1:28" x14ac:dyDescent="0.3">
      <c r="A86" s="23"/>
      <c r="B86" s="12">
        <v>2</v>
      </c>
      <c r="C86" s="12">
        <v>4.9000000000000004</v>
      </c>
      <c r="D86" s="12">
        <v>3</v>
      </c>
      <c r="E86" s="12">
        <v>1.4</v>
      </c>
      <c r="F86" s="12">
        <v>0.2</v>
      </c>
      <c r="G86" s="12">
        <v>0</v>
      </c>
      <c r="I86" s="13">
        <f>I85-('Konfigurasi Model'!$B$11*T85)</f>
        <v>0.35425977494648941</v>
      </c>
      <c r="J86" s="13">
        <f>J85-('Konfigurasi Model'!$B$11*U85)</f>
        <v>-0.15222913015981707</v>
      </c>
      <c r="K86" s="13">
        <f>K85-('Konfigurasi Model'!$B$11*V85)</f>
        <v>-1.9554055310798499E-2</v>
      </c>
      <c r="L86" s="13">
        <f>L85-('Konfigurasi Model'!$B$11*W85)</f>
        <v>0.48724928862952976</v>
      </c>
      <c r="M86" s="13">
        <f>M85-('Konfigurasi Model'!$B$11*X85)</f>
        <v>0.5456316411021932</v>
      </c>
      <c r="N86" s="13">
        <f t="shared" si="11"/>
        <v>0.3409502035327705</v>
      </c>
      <c r="O86" s="13">
        <f t="shared" si="12"/>
        <v>0.58442132025328652</v>
      </c>
      <c r="P86" s="12">
        <f t="shared" si="13"/>
        <v>1</v>
      </c>
      <c r="Q86" s="13">
        <f t="shared" si="14"/>
        <v>0.58442132025328652</v>
      </c>
      <c r="R86" s="13">
        <f t="shared" si="15"/>
        <v>0.3415482795665945</v>
      </c>
      <c r="T86" s="14">
        <f t="shared" si="16"/>
        <v>0.28388036618409346</v>
      </c>
      <c r="U86" s="14">
        <f t="shared" si="17"/>
        <v>1.391013794302058</v>
      </c>
      <c r="V86" s="14">
        <f t="shared" si="18"/>
        <v>0.85164109855228043</v>
      </c>
      <c r="W86" s="14">
        <f t="shared" si="19"/>
        <v>0.39743251265773083</v>
      </c>
      <c r="X86" s="14">
        <f t="shared" si="20"/>
        <v>5.6776073236818693E-2</v>
      </c>
      <c r="Y86" s="12">
        <f t="shared" si="21"/>
        <v>0</v>
      </c>
    </row>
    <row r="87" spans="1:28" x14ac:dyDescent="0.3">
      <c r="A87" s="23"/>
      <c r="B87" s="12">
        <v>3</v>
      </c>
      <c r="C87" s="12">
        <v>4.7</v>
      </c>
      <c r="D87" s="12">
        <v>3.2</v>
      </c>
      <c r="E87" s="12">
        <v>1.3</v>
      </c>
      <c r="F87" s="12">
        <v>0.2</v>
      </c>
      <c r="G87" s="12">
        <v>0</v>
      </c>
      <c r="I87" s="13">
        <f>I86-('Konfigurasi Model'!$B$11*T86)</f>
        <v>0.32587173832808009</v>
      </c>
      <c r="J87" s="13">
        <f>J86-('Konfigurasi Model'!$B$11*U86)</f>
        <v>-0.29133050959002288</v>
      </c>
      <c r="K87" s="13">
        <f>K86-('Konfigurasi Model'!$B$11*V86)</f>
        <v>-0.10471816516602654</v>
      </c>
      <c r="L87" s="13">
        <f>L86-('Konfigurasi Model'!$B$11*W86)</f>
        <v>0.44750603736375666</v>
      </c>
      <c r="M87" s="13">
        <f>M86-('Konfigurasi Model'!$B$11*X86)</f>
        <v>0.53995403377851137</v>
      </c>
      <c r="N87" s="13">
        <f t="shared" si="11"/>
        <v>-0.68873112994772645</v>
      </c>
      <c r="O87" s="13">
        <f t="shared" si="12"/>
        <v>0.33431539912655489</v>
      </c>
      <c r="P87" s="12">
        <f t="shared" si="13"/>
        <v>0</v>
      </c>
      <c r="Q87" s="13">
        <f t="shared" si="14"/>
        <v>0.33431539912655489</v>
      </c>
      <c r="R87" s="13">
        <f t="shared" si="15"/>
        <v>0.1117667860931477</v>
      </c>
      <c r="T87" s="14">
        <f t="shared" si="16"/>
        <v>0.14880285678264948</v>
      </c>
      <c r="U87" s="14">
        <f t="shared" si="17"/>
        <v>0.69937342687845261</v>
      </c>
      <c r="V87" s="14">
        <f t="shared" si="18"/>
        <v>0.47616914170447838</v>
      </c>
      <c r="W87" s="14">
        <f t="shared" si="19"/>
        <v>0.19344371381744432</v>
      </c>
      <c r="X87" s="14">
        <f t="shared" si="20"/>
        <v>2.9760571356529899E-2</v>
      </c>
      <c r="Y87" s="12">
        <f t="shared" si="21"/>
        <v>1</v>
      </c>
    </row>
    <row r="88" spans="1:28" x14ac:dyDescent="0.3">
      <c r="A88" s="23"/>
      <c r="B88" s="12">
        <v>4</v>
      </c>
      <c r="C88" s="12">
        <v>4.5999999999999996</v>
      </c>
      <c r="D88" s="12">
        <v>3.1</v>
      </c>
      <c r="E88" s="12">
        <v>1.5</v>
      </c>
      <c r="F88" s="12">
        <v>0.2</v>
      </c>
      <c r="G88" s="12">
        <v>0</v>
      </c>
      <c r="I88" s="13">
        <f>I87-('Konfigurasi Model'!$B$11*T87)</f>
        <v>0.31099145264981515</v>
      </c>
      <c r="J88" s="13">
        <f>J87-('Konfigurasi Model'!$B$11*U87)</f>
        <v>-0.36126785227786817</v>
      </c>
      <c r="K88" s="13">
        <f>K87-('Konfigurasi Model'!$B$11*V87)</f>
        <v>-0.15233507933647439</v>
      </c>
      <c r="L88" s="13">
        <f>L87-('Konfigurasi Model'!$B$11*W87)</f>
        <v>0.42816166598201222</v>
      </c>
      <c r="M88" s="13">
        <f>M87-('Konfigurasi Model'!$B$11*X87)</f>
        <v>0.5369779766428584</v>
      </c>
      <c r="N88" s="13">
        <f t="shared" si="11"/>
        <v>-1.0734413194698589</v>
      </c>
      <c r="O88" s="13">
        <f t="shared" si="12"/>
        <v>0.25474919141655811</v>
      </c>
      <c r="P88" s="12">
        <f t="shared" si="13"/>
        <v>0</v>
      </c>
      <c r="Q88" s="13">
        <f t="shared" si="14"/>
        <v>0.25474919141655811</v>
      </c>
      <c r="R88" s="13">
        <f t="shared" si="15"/>
        <v>6.489715052739016E-2</v>
      </c>
      <c r="T88" s="14">
        <f t="shared" si="16"/>
        <v>9.6729307810597728E-2</v>
      </c>
      <c r="U88" s="14">
        <f t="shared" si="17"/>
        <v>0.44495481592874953</v>
      </c>
      <c r="V88" s="14">
        <f t="shared" si="18"/>
        <v>0.29986085421285297</v>
      </c>
      <c r="W88" s="14">
        <f t="shared" si="19"/>
        <v>0.14509396171589659</v>
      </c>
      <c r="X88" s="14">
        <f t="shared" si="20"/>
        <v>1.9345861562119548E-2</v>
      </c>
      <c r="Y88" s="12">
        <f t="shared" si="21"/>
        <v>1</v>
      </c>
    </row>
    <row r="89" spans="1:28" x14ac:dyDescent="0.3">
      <c r="A89" s="23"/>
      <c r="B89" s="12">
        <v>5</v>
      </c>
      <c r="C89" s="12">
        <v>5</v>
      </c>
      <c r="D89" s="12">
        <v>3.6</v>
      </c>
      <c r="E89" s="12">
        <v>1.4</v>
      </c>
      <c r="F89" s="12">
        <v>0.2</v>
      </c>
      <c r="G89" s="12">
        <v>0</v>
      </c>
      <c r="I89" s="13">
        <f>I88-('Konfigurasi Model'!$B$11*T88)</f>
        <v>0.30131852186875535</v>
      </c>
      <c r="J89" s="13">
        <f>J88-('Konfigurasi Model'!$B$11*U88)</f>
        <v>-0.40576333387074315</v>
      </c>
      <c r="K89" s="13">
        <f>K88-('Konfigurasi Model'!$B$11*V88)</f>
        <v>-0.1823211647577597</v>
      </c>
      <c r="L89" s="13">
        <f>L88-('Konfigurasi Model'!$B$11*W88)</f>
        <v>0.41365226981042258</v>
      </c>
      <c r="M89" s="13">
        <f>M88-('Konfigurasi Model'!$B$11*X88)</f>
        <v>0.5350433904866464</v>
      </c>
      <c r="N89" s="13">
        <f t="shared" si="11"/>
        <v>-1.6977324847809743</v>
      </c>
      <c r="O89" s="13">
        <f t="shared" si="12"/>
        <v>0.15476164769281847</v>
      </c>
      <c r="P89" s="12">
        <f t="shared" si="13"/>
        <v>0</v>
      </c>
      <c r="Q89" s="13">
        <f t="shared" si="14"/>
        <v>0.15476164769281847</v>
      </c>
      <c r="R89" s="13">
        <f t="shared" si="15"/>
        <v>2.3951167596596067E-2</v>
      </c>
      <c r="T89" s="14">
        <f t="shared" si="16"/>
        <v>4.0488890870360034E-2</v>
      </c>
      <c r="U89" s="14">
        <f t="shared" si="17"/>
        <v>0.20244445435180017</v>
      </c>
      <c r="V89" s="14">
        <f t="shared" si="18"/>
        <v>0.14576000713329612</v>
      </c>
      <c r="W89" s="14">
        <f t="shared" si="19"/>
        <v>5.668444721850404E-2</v>
      </c>
      <c r="X89" s="14">
        <f t="shared" si="20"/>
        <v>8.0977781740720067E-3</v>
      </c>
      <c r="Y89" s="12">
        <f t="shared" si="21"/>
        <v>1</v>
      </c>
    </row>
    <row r="90" spans="1:28" x14ac:dyDescent="0.3">
      <c r="A90" s="23"/>
      <c r="B90" s="12">
        <v>6</v>
      </c>
      <c r="C90" s="12">
        <v>5.4</v>
      </c>
      <c r="D90" s="12">
        <v>3.9</v>
      </c>
      <c r="E90" s="12">
        <v>1.7</v>
      </c>
      <c r="F90" s="12">
        <v>0.4</v>
      </c>
      <c r="G90" s="12">
        <v>0</v>
      </c>
      <c r="I90" s="13">
        <f>I89-('Konfigurasi Model'!$B$11*T89)</f>
        <v>0.29726963278171936</v>
      </c>
      <c r="J90" s="13">
        <f>J89-('Konfigurasi Model'!$B$11*U89)</f>
        <v>-0.42600777930592315</v>
      </c>
      <c r="K90" s="13">
        <f>K89-('Konfigurasi Model'!$B$11*V89)</f>
        <v>-0.19689716547108932</v>
      </c>
      <c r="L90" s="13">
        <f>L89-('Konfigurasi Model'!$B$11*W89)</f>
        <v>0.40798382508857217</v>
      </c>
      <c r="M90" s="13">
        <f>M89-('Konfigurasi Model'!$B$11*X89)</f>
        <v>0.53423361266923919</v>
      </c>
      <c r="N90" s="13">
        <f t="shared" si="11"/>
        <v>-1.8638053730892454</v>
      </c>
      <c r="O90" s="13">
        <f t="shared" si="12"/>
        <v>0.13426012099262288</v>
      </c>
      <c r="P90" s="12">
        <f t="shared" si="13"/>
        <v>0</v>
      </c>
      <c r="Q90" s="13">
        <f t="shared" si="14"/>
        <v>0.13426012099262288</v>
      </c>
      <c r="R90" s="13">
        <f t="shared" si="15"/>
        <v>1.8025780088953735E-2</v>
      </c>
      <c r="T90" s="14">
        <f t="shared" si="16"/>
        <v>3.1211273346448788E-2</v>
      </c>
      <c r="U90" s="14">
        <f t="shared" si="17"/>
        <v>0.16854087607082346</v>
      </c>
      <c r="V90" s="14">
        <f t="shared" si="18"/>
        <v>0.12172396605115027</v>
      </c>
      <c r="W90" s="14">
        <f t="shared" si="19"/>
        <v>5.3059164688962934E-2</v>
      </c>
      <c r="X90" s="14">
        <f t="shared" si="20"/>
        <v>1.2484509338579516E-2</v>
      </c>
      <c r="Y90" s="12">
        <f t="shared" si="21"/>
        <v>1</v>
      </c>
    </row>
    <row r="91" spans="1:28" x14ac:dyDescent="0.3">
      <c r="A91" s="23"/>
      <c r="B91" s="12">
        <v>7</v>
      </c>
      <c r="C91" s="12">
        <v>4.5999999999999996</v>
      </c>
      <c r="D91" s="12">
        <v>3.4</v>
      </c>
      <c r="E91" s="12">
        <v>1.4</v>
      </c>
      <c r="F91" s="12">
        <v>0.3</v>
      </c>
      <c r="G91" s="12">
        <v>0</v>
      </c>
      <c r="I91" s="13">
        <f>I90-('Konfigurasi Model'!$B$11*T90)</f>
        <v>0.29414850544707449</v>
      </c>
      <c r="J91" s="13">
        <f>J90-('Konfigurasi Model'!$B$11*U90)</f>
        <v>-0.4428618669130055</v>
      </c>
      <c r="K91" s="13">
        <f>K90-('Konfigurasi Model'!$B$11*V90)</f>
        <v>-0.20906956207620433</v>
      </c>
      <c r="L91" s="13">
        <f>L90-('Konfigurasi Model'!$B$11*W90)</f>
        <v>0.40267790861967589</v>
      </c>
      <c r="M91" s="13">
        <f>M90-('Konfigurasi Model'!$B$11*X90)</f>
        <v>0.53298516173538124</v>
      </c>
      <c r="N91" s="13">
        <f t="shared" si="11"/>
        <v>-1.7302079728236848</v>
      </c>
      <c r="O91" s="13">
        <f t="shared" si="12"/>
        <v>0.15056097967527099</v>
      </c>
      <c r="P91" s="12">
        <f t="shared" si="13"/>
        <v>0</v>
      </c>
      <c r="Q91" s="13">
        <f t="shared" si="14"/>
        <v>0.15056097967527099</v>
      </c>
      <c r="R91" s="13">
        <f t="shared" si="15"/>
        <v>2.2668608600777365E-2</v>
      </c>
      <c r="T91" s="14">
        <f t="shared" si="16"/>
        <v>3.8511201363938104E-2</v>
      </c>
      <c r="U91" s="14">
        <f t="shared" si="17"/>
        <v>0.17715152627411526</v>
      </c>
      <c r="V91" s="14">
        <f t="shared" si="18"/>
        <v>0.13093808463738954</v>
      </c>
      <c r="W91" s="14">
        <f t="shared" si="19"/>
        <v>5.391568190951334E-2</v>
      </c>
      <c r="X91" s="14">
        <f t="shared" si="20"/>
        <v>1.155336040918143E-2</v>
      </c>
      <c r="Y91" s="12">
        <f t="shared" si="21"/>
        <v>1</v>
      </c>
    </row>
    <row r="92" spans="1:28" x14ac:dyDescent="0.3">
      <c r="A92" s="23"/>
      <c r="B92" s="12">
        <v>8</v>
      </c>
      <c r="C92" s="12">
        <v>5</v>
      </c>
      <c r="D92" s="12">
        <v>3.4</v>
      </c>
      <c r="E92" s="12">
        <v>1.5</v>
      </c>
      <c r="F92" s="12">
        <v>0.2</v>
      </c>
      <c r="G92" s="12">
        <v>0</v>
      </c>
      <c r="I92" s="13">
        <f>I91-('Konfigurasi Model'!$B$11*T91)</f>
        <v>0.29029738531068067</v>
      </c>
      <c r="J92" s="13">
        <f>J91-('Konfigurasi Model'!$B$11*U91)</f>
        <v>-0.46057701954041702</v>
      </c>
      <c r="K92" s="13">
        <f>K91-('Konfigurasi Model'!$B$11*V91)</f>
        <v>-0.22216337053994328</v>
      </c>
      <c r="L92" s="13">
        <f>L91-('Konfigurasi Model'!$B$11*W91)</f>
        <v>0.39728634042872457</v>
      </c>
      <c r="M92" s="13">
        <f>M91-('Konfigurasi Model'!$B$11*X91)</f>
        <v>0.53182982569446313</v>
      </c>
      <c r="N92" s="13">
        <f t="shared" si="11"/>
        <v>-2.0656476964452319</v>
      </c>
      <c r="O92" s="13">
        <f t="shared" si="12"/>
        <v>0.1124807918200779</v>
      </c>
      <c r="P92" s="12">
        <f t="shared" si="13"/>
        <v>0</v>
      </c>
      <c r="Q92" s="13">
        <f t="shared" si="14"/>
        <v>0.1124807918200779</v>
      </c>
      <c r="R92" s="13">
        <f t="shared" si="15"/>
        <v>1.2651928528471704E-2</v>
      </c>
      <c r="T92" s="14">
        <f t="shared" si="16"/>
        <v>2.2457659179076349E-2</v>
      </c>
      <c r="U92" s="14">
        <f t="shared" si="17"/>
        <v>0.11228829589538175</v>
      </c>
      <c r="V92" s="14">
        <f t="shared" si="18"/>
        <v>7.6356041208859582E-2</v>
      </c>
      <c r="W92" s="14">
        <f t="shared" si="19"/>
        <v>3.368648876861452E-2</v>
      </c>
      <c r="X92" s="14">
        <f t="shared" si="20"/>
        <v>4.4915318358152703E-3</v>
      </c>
      <c r="Y92" s="12">
        <f t="shared" si="21"/>
        <v>1</v>
      </c>
    </row>
    <row r="93" spans="1:28" x14ac:dyDescent="0.3">
      <c r="A93" s="23"/>
      <c r="B93" s="12">
        <v>9</v>
      </c>
      <c r="C93" s="12">
        <v>4.4000000000000004</v>
      </c>
      <c r="D93" s="12">
        <v>2.9</v>
      </c>
      <c r="E93" s="12">
        <v>1.4</v>
      </c>
      <c r="F93" s="12">
        <v>0.2</v>
      </c>
      <c r="G93" s="12">
        <v>0</v>
      </c>
      <c r="I93" s="13">
        <f>I92-('Konfigurasi Model'!$B$11*T92)</f>
        <v>0.28805161939277302</v>
      </c>
      <c r="J93" s="13">
        <f>J92-('Konfigurasi Model'!$B$11*U92)</f>
        <v>-0.47180584912995521</v>
      </c>
      <c r="K93" s="13">
        <f>K92-('Konfigurasi Model'!$B$11*V92)</f>
        <v>-0.22979897466082924</v>
      </c>
      <c r="L93" s="13">
        <f>L92-('Konfigurasi Model'!$B$11*W92)</f>
        <v>0.39391769155186313</v>
      </c>
      <c r="M93" s="13">
        <f>M92-('Konfigurasi Model'!$B$11*X92)</f>
        <v>0.53138067251088161</v>
      </c>
      <c r="N93" s="13">
        <f t="shared" si="11"/>
        <v>-1.7965502406206499</v>
      </c>
      <c r="O93" s="13">
        <f t="shared" si="12"/>
        <v>0.14227152090191827</v>
      </c>
      <c r="P93" s="12">
        <f t="shared" si="13"/>
        <v>0</v>
      </c>
      <c r="Q93" s="13">
        <f t="shared" si="14"/>
        <v>0.14227152090191827</v>
      </c>
      <c r="R93" s="13">
        <f t="shared" si="15"/>
        <v>2.0241185659744969E-2</v>
      </c>
      <c r="T93" s="14">
        <f t="shared" si="16"/>
        <v>3.4722882782149904E-2</v>
      </c>
      <c r="U93" s="14">
        <f t="shared" si="17"/>
        <v>0.1527806842414596</v>
      </c>
      <c r="V93" s="14">
        <f t="shared" si="18"/>
        <v>0.10069636006823472</v>
      </c>
      <c r="W93" s="14">
        <f t="shared" si="19"/>
        <v>4.8612035895009863E-2</v>
      </c>
      <c r="X93" s="14">
        <f t="shared" si="20"/>
        <v>6.9445765564299811E-3</v>
      </c>
      <c r="Y93" s="12">
        <f t="shared" si="21"/>
        <v>1</v>
      </c>
    </row>
    <row r="94" spans="1:28" x14ac:dyDescent="0.3">
      <c r="A94" s="23"/>
      <c r="B94" s="12">
        <v>10</v>
      </c>
      <c r="C94" s="12">
        <v>4.9000000000000004</v>
      </c>
      <c r="D94" s="12">
        <v>3.1</v>
      </c>
      <c r="E94" s="12">
        <v>1.5</v>
      </c>
      <c r="F94" s="12">
        <v>0.1</v>
      </c>
      <c r="G94" s="12">
        <v>0</v>
      </c>
      <c r="I94" s="13">
        <f>I93-('Konfigurasi Model'!$B$11*T93)</f>
        <v>0.28457933111455802</v>
      </c>
      <c r="J94" s="13">
        <f>J93-('Konfigurasi Model'!$B$11*U93)</f>
        <v>-0.48708391755410119</v>
      </c>
      <c r="K94" s="13">
        <f>K93-('Konfigurasi Model'!$B$11*V93)</f>
        <v>-0.23986861066765272</v>
      </c>
      <c r="L94" s="13">
        <f>L93-('Konfigurasi Model'!$B$11*W93)</f>
        <v>0.38905648796236214</v>
      </c>
      <c r="M94" s="13">
        <f>M93-('Konfigurasi Model'!$B$11*X93)</f>
        <v>0.53068621485523859</v>
      </c>
      <c r="N94" s="13">
        <f t="shared" si="11"/>
        <v>-2.2090712045411944</v>
      </c>
      <c r="O94" s="13">
        <f t="shared" si="12"/>
        <v>9.893884440784835E-2</v>
      </c>
      <c r="P94" s="12">
        <f t="shared" si="13"/>
        <v>0</v>
      </c>
      <c r="Q94" s="13">
        <f t="shared" si="14"/>
        <v>9.893884440784835E-2</v>
      </c>
      <c r="R94" s="13">
        <f t="shared" si="15"/>
        <v>9.7888949327604256E-3</v>
      </c>
      <c r="T94" s="14">
        <f t="shared" si="16"/>
        <v>1.7640785960166532E-2</v>
      </c>
      <c r="U94" s="14">
        <f t="shared" si="17"/>
        <v>8.6439851204816009E-2</v>
      </c>
      <c r="V94" s="14">
        <f t="shared" si="18"/>
        <v>5.4686436476516248E-2</v>
      </c>
      <c r="W94" s="14">
        <f t="shared" si="19"/>
        <v>2.6461178940249797E-2</v>
      </c>
      <c r="X94" s="14">
        <f t="shared" si="20"/>
        <v>1.7640785960166532E-3</v>
      </c>
      <c r="Y94" s="12">
        <f t="shared" si="21"/>
        <v>1</v>
      </c>
    </row>
    <row r="95" spans="1:28" x14ac:dyDescent="0.3">
      <c r="A95" s="23"/>
      <c r="B95" s="12">
        <v>11</v>
      </c>
      <c r="C95" s="12">
        <v>5.4</v>
      </c>
      <c r="D95" s="12">
        <v>3.7</v>
      </c>
      <c r="E95" s="12">
        <v>1.5</v>
      </c>
      <c r="F95" s="12">
        <v>0.2</v>
      </c>
      <c r="G95" s="12">
        <v>0</v>
      </c>
      <c r="I95" s="13">
        <f>I94-('Konfigurasi Model'!$B$11*T94)</f>
        <v>0.28281525251854139</v>
      </c>
      <c r="J95" s="13">
        <f>J94-('Konfigurasi Model'!$B$11*U94)</f>
        <v>-0.49572790267458278</v>
      </c>
      <c r="K95" s="13">
        <f>K94-('Konfigurasi Model'!$B$11*V94)</f>
        <v>-0.24533725431530434</v>
      </c>
      <c r="L95" s="13">
        <f>L94-('Konfigurasi Model'!$B$11*W94)</f>
        <v>0.38641037006833717</v>
      </c>
      <c r="M95" s="13">
        <f>M94-('Konfigurasi Model'!$B$11*X94)</f>
        <v>0.53050980699563688</v>
      </c>
      <c r="N95" s="13">
        <f t="shared" si="11"/>
        <v>-2.6161457463891988</v>
      </c>
      <c r="O95" s="13">
        <f t="shared" si="12"/>
        <v>6.8106508562429752E-2</v>
      </c>
      <c r="P95" s="12">
        <f t="shared" si="13"/>
        <v>0</v>
      </c>
      <c r="Q95" s="13">
        <f t="shared" si="14"/>
        <v>6.8106508562429752E-2</v>
      </c>
      <c r="R95" s="13">
        <f t="shared" si="15"/>
        <v>4.6384965085643172E-3</v>
      </c>
      <c r="T95" s="14">
        <f t="shared" si="16"/>
        <v>8.645169412773962E-3</v>
      </c>
      <c r="U95" s="14">
        <f t="shared" si="17"/>
        <v>4.6683914828979399E-2</v>
      </c>
      <c r="V95" s="14">
        <f t="shared" si="18"/>
        <v>3.1987126827263658E-2</v>
      </c>
      <c r="W95" s="14">
        <f t="shared" si="19"/>
        <v>1.2967754119160943E-2</v>
      </c>
      <c r="X95" s="14">
        <f t="shared" si="20"/>
        <v>1.7290338825547925E-3</v>
      </c>
      <c r="Y95" s="12">
        <f t="shared" si="21"/>
        <v>1</v>
      </c>
    </row>
    <row r="96" spans="1:28" x14ac:dyDescent="0.3">
      <c r="A96" s="23"/>
      <c r="B96" s="12">
        <v>12</v>
      </c>
      <c r="C96" s="12">
        <v>4.8</v>
      </c>
      <c r="D96" s="12">
        <v>3.4</v>
      </c>
      <c r="E96" s="12">
        <v>1.6</v>
      </c>
      <c r="F96" s="12">
        <v>0.2</v>
      </c>
      <c r="G96" s="12">
        <v>0</v>
      </c>
      <c r="I96" s="13">
        <f>I95-('Konfigurasi Model'!$B$11*T95)</f>
        <v>0.28195073557726402</v>
      </c>
      <c r="J96" s="13">
        <f>J95-('Konfigurasi Model'!$B$11*U95)</f>
        <v>-0.50039629415748077</v>
      </c>
      <c r="K96" s="13">
        <f>K95-('Konfigurasi Model'!$B$11*V95)</f>
        <v>-0.24853596699803071</v>
      </c>
      <c r="L96" s="13">
        <f>L95-('Konfigurasi Model'!$B$11*W95)</f>
        <v>0.38511359465642109</v>
      </c>
      <c r="M96" s="13">
        <f>M95-('Konfigurasi Model'!$B$11*X95)</f>
        <v>0.53033690360738139</v>
      </c>
      <c r="N96" s="13">
        <f t="shared" si="11"/>
        <v>-2.2427246320001979</v>
      </c>
      <c r="O96" s="13">
        <f t="shared" si="12"/>
        <v>9.5978873378524232E-2</v>
      </c>
      <c r="P96" s="12">
        <f t="shared" si="13"/>
        <v>0</v>
      </c>
      <c r="Q96" s="13">
        <f t="shared" si="14"/>
        <v>9.5978873378524232E-2</v>
      </c>
      <c r="R96" s="13">
        <f t="shared" si="15"/>
        <v>9.211944135010787E-3</v>
      </c>
      <c r="T96" s="14">
        <f t="shared" si="16"/>
        <v>1.6655584230613096E-2</v>
      </c>
      <c r="U96" s="14">
        <f t="shared" si="17"/>
        <v>7.9946804306942856E-2</v>
      </c>
      <c r="V96" s="14">
        <f t="shared" si="18"/>
        <v>5.662898638408452E-2</v>
      </c>
      <c r="W96" s="14">
        <f t="shared" si="19"/>
        <v>2.6648934768980954E-2</v>
      </c>
      <c r="X96" s="14">
        <f t="shared" si="20"/>
        <v>3.3311168461226193E-3</v>
      </c>
      <c r="Y96" s="12">
        <f t="shared" si="21"/>
        <v>1</v>
      </c>
    </row>
    <row r="97" spans="1:25" x14ac:dyDescent="0.3">
      <c r="A97" s="23"/>
      <c r="B97" s="12">
        <v>13</v>
      </c>
      <c r="C97" s="12">
        <v>4.8</v>
      </c>
      <c r="D97" s="12">
        <v>3</v>
      </c>
      <c r="E97" s="12">
        <v>1.4</v>
      </c>
      <c r="F97" s="12">
        <v>0.1</v>
      </c>
      <c r="G97" s="12">
        <v>0</v>
      </c>
      <c r="I97" s="13">
        <f>I96-('Konfigurasi Model'!$B$11*T96)</f>
        <v>0.2802851771542027</v>
      </c>
      <c r="J97" s="13">
        <f>J96-('Konfigurasi Model'!$B$11*U96)</f>
        <v>-0.50839097458817506</v>
      </c>
      <c r="K97" s="13">
        <f>K96-('Konfigurasi Model'!$B$11*V96)</f>
        <v>-0.25419886563643918</v>
      </c>
      <c r="L97" s="13">
        <f>L96-('Konfigurasi Model'!$B$11*W96)</f>
        <v>0.38244870117952301</v>
      </c>
      <c r="M97" s="13">
        <f>M96-('Konfigurasi Model'!$B$11*X96)</f>
        <v>0.53000379192276914</v>
      </c>
      <c r="N97" s="13">
        <f t="shared" si="11"/>
        <v>-2.3341595369347461</v>
      </c>
      <c r="O97" s="13">
        <f t="shared" si="12"/>
        <v>8.833312008342932E-2</v>
      </c>
      <c r="P97" s="12">
        <f t="shared" si="13"/>
        <v>0</v>
      </c>
      <c r="Q97" s="13">
        <f t="shared" si="14"/>
        <v>8.833312008342932E-2</v>
      </c>
      <c r="R97" s="13">
        <f t="shared" si="15"/>
        <v>7.8027401036735444E-3</v>
      </c>
      <c r="T97" s="14">
        <f t="shared" si="16"/>
        <v>1.4226999450231918E-2</v>
      </c>
      <c r="U97" s="14">
        <f t="shared" si="17"/>
        <v>6.8289597361113202E-2</v>
      </c>
      <c r="V97" s="14">
        <f t="shared" si="18"/>
        <v>4.2680998350695755E-2</v>
      </c>
      <c r="W97" s="14">
        <f t="shared" si="19"/>
        <v>1.9917799230324683E-2</v>
      </c>
      <c r="X97" s="14">
        <f t="shared" si="20"/>
        <v>1.422699945023192E-3</v>
      </c>
      <c r="Y97" s="12">
        <f t="shared" si="21"/>
        <v>1</v>
      </c>
    </row>
    <row r="98" spans="1:25" x14ac:dyDescent="0.3">
      <c r="A98" s="23"/>
      <c r="B98" s="12">
        <v>14</v>
      </c>
      <c r="C98" s="12">
        <v>4.3</v>
      </c>
      <c r="D98" s="12">
        <v>3</v>
      </c>
      <c r="E98" s="12">
        <v>1.1000000000000001</v>
      </c>
      <c r="F98" s="12">
        <v>0.1</v>
      </c>
      <c r="G98" s="12">
        <v>0</v>
      </c>
      <c r="I98" s="13">
        <f>I97-('Konfigurasi Model'!$B$11*T97)</f>
        <v>0.2788624772091795</v>
      </c>
      <c r="J98" s="13">
        <f>J97-('Konfigurasi Model'!$B$11*U97)</f>
        <v>-0.51521993432428637</v>
      </c>
      <c r="K98" s="13">
        <f>K97-('Konfigurasi Model'!$B$11*V97)</f>
        <v>-0.25846696547150877</v>
      </c>
      <c r="L98" s="13">
        <f>L97-('Konfigurasi Model'!$B$11*W97)</f>
        <v>0.38045692125649055</v>
      </c>
      <c r="M98" s="13">
        <f>M97-('Konfigurasi Model'!$B$11*X97)</f>
        <v>0.52986152192826685</v>
      </c>
      <c r="N98" s="13">
        <f t="shared" si="11"/>
        <v>-2.2404953712248119</v>
      </c>
      <c r="O98" s="13">
        <f t="shared" si="12"/>
        <v>9.6172473780084644E-2</v>
      </c>
      <c r="P98" s="12">
        <f t="shared" si="13"/>
        <v>0</v>
      </c>
      <c r="Q98" s="13">
        <f t="shared" si="14"/>
        <v>9.6172473780084644E-2</v>
      </c>
      <c r="R98" s="13">
        <f t="shared" si="15"/>
        <v>9.2491447129810691E-3</v>
      </c>
      <c r="T98" s="14">
        <f t="shared" si="16"/>
        <v>1.6719263171167377E-2</v>
      </c>
      <c r="U98" s="14">
        <f t="shared" si="17"/>
        <v>7.1892831636019713E-2</v>
      </c>
      <c r="V98" s="14">
        <f t="shared" si="18"/>
        <v>5.0157789513502131E-2</v>
      </c>
      <c r="W98" s="14">
        <f t="shared" si="19"/>
        <v>1.8391189488284117E-2</v>
      </c>
      <c r="X98" s="14">
        <f t="shared" si="20"/>
        <v>1.6719263171167378E-3</v>
      </c>
      <c r="Y98" s="12">
        <f t="shared" si="21"/>
        <v>1</v>
      </c>
    </row>
    <row r="99" spans="1:25" x14ac:dyDescent="0.3">
      <c r="A99" s="23"/>
      <c r="B99" s="12">
        <v>15</v>
      </c>
      <c r="C99" s="12">
        <v>5.8</v>
      </c>
      <c r="D99" s="12">
        <v>4</v>
      </c>
      <c r="E99" s="12">
        <v>1.2</v>
      </c>
      <c r="F99" s="12">
        <v>0.2</v>
      </c>
      <c r="G99" s="12">
        <v>0</v>
      </c>
      <c r="I99" s="13">
        <f>I98-('Konfigurasi Model'!$B$11*T98)</f>
        <v>0.27719055089206279</v>
      </c>
      <c r="J99" s="13">
        <f>J98-('Konfigurasi Model'!$B$11*U98)</f>
        <v>-0.52240921748788838</v>
      </c>
      <c r="K99" s="13">
        <f>K98-('Konfigurasi Model'!$B$11*V98)</f>
        <v>-0.26348274442285896</v>
      </c>
      <c r="L99" s="13">
        <f>L98-('Konfigurasi Model'!$B$11*W98)</f>
        <v>0.37861780230766212</v>
      </c>
      <c r="M99" s="13">
        <f>M98-('Konfigurasi Model'!$B$11*X98)</f>
        <v>0.52969432929655513</v>
      </c>
      <c r="N99" s="13">
        <f t="shared" si="11"/>
        <v>-3.2464336596006205</v>
      </c>
      <c r="O99" s="13">
        <f t="shared" si="12"/>
        <v>3.7455250430219016E-2</v>
      </c>
      <c r="P99" s="12">
        <f t="shared" si="13"/>
        <v>0</v>
      </c>
      <c r="Q99" s="13">
        <f t="shared" si="14"/>
        <v>3.7455250430219016E-2</v>
      </c>
      <c r="R99" s="13">
        <f t="shared" si="15"/>
        <v>1.4028957847904218E-3</v>
      </c>
      <c r="T99" s="14">
        <f t="shared" si="16"/>
        <v>2.7006999436871956E-3</v>
      </c>
      <c r="U99" s="14">
        <f t="shared" si="17"/>
        <v>1.5664059673385734E-2</v>
      </c>
      <c r="V99" s="14">
        <f t="shared" si="18"/>
        <v>1.0802799774748783E-2</v>
      </c>
      <c r="W99" s="14">
        <f t="shared" si="19"/>
        <v>3.2408399324246346E-3</v>
      </c>
      <c r="X99" s="14">
        <f t="shared" si="20"/>
        <v>5.4013998873743917E-4</v>
      </c>
      <c r="Y99" s="12">
        <f t="shared" si="21"/>
        <v>1</v>
      </c>
    </row>
    <row r="100" spans="1:25" x14ac:dyDescent="0.3">
      <c r="A100" s="23"/>
      <c r="B100" s="12">
        <v>16</v>
      </c>
      <c r="C100" s="12">
        <v>5.7</v>
      </c>
      <c r="D100" s="12">
        <v>4.4000000000000004</v>
      </c>
      <c r="E100" s="12">
        <v>1.5</v>
      </c>
      <c r="F100" s="12">
        <v>0.4</v>
      </c>
      <c r="G100" s="12">
        <v>0</v>
      </c>
      <c r="I100" s="13">
        <f>I99-('Konfigurasi Model'!$B$11*T99)</f>
        <v>0.27692048089769405</v>
      </c>
      <c r="J100" s="13">
        <f>J99-('Konfigurasi Model'!$B$11*U99)</f>
        <v>-0.52397562345522697</v>
      </c>
      <c r="K100" s="13">
        <f>K99-('Konfigurasi Model'!$B$11*V99)</f>
        <v>-0.26456302440033386</v>
      </c>
      <c r="L100" s="13">
        <f>L99-('Konfigurasi Model'!$B$11*W99)</f>
        <v>0.37829371831441966</v>
      </c>
      <c r="M100" s="13">
        <f>M99-('Konfigurasi Model'!$B$11*X99)</f>
        <v>0.52964031529768141</v>
      </c>
      <c r="N100" s="13">
        <f t="shared" si="11"/>
        <v>-3.0945211765678664</v>
      </c>
      <c r="O100" s="13">
        <f t="shared" si="12"/>
        <v>4.3333817608532804E-2</v>
      </c>
      <c r="P100" s="12">
        <f t="shared" si="13"/>
        <v>0</v>
      </c>
      <c r="Q100" s="13">
        <f t="shared" si="14"/>
        <v>4.3333817608532804E-2</v>
      </c>
      <c r="R100" s="13">
        <f t="shared" si="15"/>
        <v>1.8778197485295877E-3</v>
      </c>
      <c r="T100" s="14">
        <f t="shared" si="16"/>
        <v>3.5928933000902111E-3</v>
      </c>
      <c r="U100" s="14">
        <f t="shared" si="17"/>
        <v>2.0479491810514203E-2</v>
      </c>
      <c r="V100" s="14">
        <f t="shared" si="18"/>
        <v>1.580873052039693E-2</v>
      </c>
      <c r="W100" s="14">
        <f t="shared" si="19"/>
        <v>5.3893399501353167E-3</v>
      </c>
      <c r="X100" s="14">
        <f t="shared" si="20"/>
        <v>1.4371573200360845E-3</v>
      </c>
      <c r="Y100" s="12">
        <f t="shared" si="21"/>
        <v>1</v>
      </c>
    </row>
    <row r="101" spans="1:25" x14ac:dyDescent="0.3">
      <c r="A101" s="23"/>
      <c r="B101" s="12">
        <v>17</v>
      </c>
      <c r="C101" s="12">
        <v>5.4</v>
      </c>
      <c r="D101" s="12">
        <v>3.9</v>
      </c>
      <c r="E101" s="12">
        <v>1.3</v>
      </c>
      <c r="F101" s="12">
        <v>0.4</v>
      </c>
      <c r="G101" s="12">
        <v>0</v>
      </c>
      <c r="I101" s="13">
        <f>I100-('Konfigurasi Model'!$B$11*T100)</f>
        <v>0.27656119156768505</v>
      </c>
      <c r="J101" s="13">
        <f>J100-('Konfigurasi Model'!$B$11*U100)</f>
        <v>-0.52602357263627841</v>
      </c>
      <c r="K101" s="13">
        <f>K100-('Konfigurasi Model'!$B$11*V100)</f>
        <v>-0.26614389745237355</v>
      </c>
      <c r="L101" s="13">
        <f>L100-('Konfigurasi Model'!$B$11*W100)</f>
        <v>0.37775478431940612</v>
      </c>
      <c r="M101" s="13">
        <f>M100-('Konfigurasi Model'!$B$11*X100)</f>
        <v>0.52949659956567785</v>
      </c>
      <c r="N101" s="13">
        <f t="shared" si="11"/>
        <v>-2.8990474412909766</v>
      </c>
      <c r="O101" s="13">
        <f t="shared" si="12"/>
        <v>5.2200671547938608E-2</v>
      </c>
      <c r="P101" s="12">
        <f t="shared" si="13"/>
        <v>0</v>
      </c>
      <c r="Q101" s="13">
        <f t="shared" si="14"/>
        <v>5.2200671547938608E-2</v>
      </c>
      <c r="R101" s="13">
        <f t="shared" si="15"/>
        <v>2.7249101100557675E-3</v>
      </c>
      <c r="T101" s="14">
        <f t="shared" si="16"/>
        <v>5.1653359448061778E-3</v>
      </c>
      <c r="U101" s="14">
        <f t="shared" si="17"/>
        <v>2.7892814101953361E-2</v>
      </c>
      <c r="V101" s="14">
        <f t="shared" si="18"/>
        <v>2.0144810184744094E-2</v>
      </c>
      <c r="W101" s="14">
        <f t="shared" si="19"/>
        <v>6.7149367282480317E-3</v>
      </c>
      <c r="X101" s="14">
        <f t="shared" si="20"/>
        <v>2.0661343779224714E-3</v>
      </c>
      <c r="Y101" s="12">
        <f t="shared" si="21"/>
        <v>1</v>
      </c>
    </row>
    <row r="102" spans="1:25" x14ac:dyDescent="0.3">
      <c r="A102" s="23"/>
      <c r="B102" s="12">
        <v>18</v>
      </c>
      <c r="C102" s="12">
        <v>5.0999999999999996</v>
      </c>
      <c r="D102" s="12">
        <v>3.5</v>
      </c>
      <c r="E102" s="12">
        <v>1.4</v>
      </c>
      <c r="F102" s="12">
        <v>0.3</v>
      </c>
      <c r="G102" s="12">
        <v>0</v>
      </c>
      <c r="I102" s="13">
        <f>I101-('Konfigurasi Model'!$B$11*T101)</f>
        <v>0.27604465797320443</v>
      </c>
      <c r="J102" s="13">
        <f>J101-('Konfigurasi Model'!$B$11*U101)</f>
        <v>-0.52881285404647371</v>
      </c>
      <c r="K102" s="13">
        <f>K101-('Konfigurasi Model'!$B$11*V101)</f>
        <v>-0.26815837847084795</v>
      </c>
      <c r="L102" s="13">
        <f>L101-('Konfigurasi Model'!$B$11*W101)</f>
        <v>0.3770832906465813</v>
      </c>
      <c r="M102" s="13">
        <f>M101-('Konfigurasi Model'!$B$11*X101)</f>
        <v>0.52928998612788558</v>
      </c>
      <c r="N102" s="13">
        <f t="shared" si="11"/>
        <v>-2.6727516195681997</v>
      </c>
      <c r="O102" s="13">
        <f t="shared" si="12"/>
        <v>6.4600496404340194E-2</v>
      </c>
      <c r="P102" s="12">
        <f t="shared" si="13"/>
        <v>0</v>
      </c>
      <c r="Q102" s="13">
        <f t="shared" si="14"/>
        <v>6.4600496404340194E-2</v>
      </c>
      <c r="R102" s="13">
        <f t="shared" si="15"/>
        <v>4.1732241356871704E-3</v>
      </c>
      <c r="T102" s="14">
        <f t="shared" si="16"/>
        <v>7.8072635698304112E-3</v>
      </c>
      <c r="U102" s="14">
        <f t="shared" si="17"/>
        <v>3.9817044206135091E-2</v>
      </c>
      <c r="V102" s="14">
        <f t="shared" si="18"/>
        <v>2.7325422494406438E-2</v>
      </c>
      <c r="W102" s="14">
        <f t="shared" si="19"/>
        <v>1.0930168997762574E-2</v>
      </c>
      <c r="X102" s="14">
        <f t="shared" si="20"/>
        <v>2.3421790709491231E-3</v>
      </c>
      <c r="Y102" s="12">
        <f t="shared" si="21"/>
        <v>1</v>
      </c>
    </row>
    <row r="103" spans="1:25" x14ac:dyDescent="0.3">
      <c r="A103" s="23"/>
      <c r="B103" s="12">
        <v>19</v>
      </c>
      <c r="C103" s="12">
        <v>5.7</v>
      </c>
      <c r="D103" s="12">
        <v>3.8</v>
      </c>
      <c r="E103" s="12">
        <v>1.7</v>
      </c>
      <c r="F103" s="12">
        <v>0.3</v>
      </c>
      <c r="G103" s="12">
        <v>0</v>
      </c>
      <c r="I103" s="13">
        <f>I102-('Konfigurasi Model'!$B$11*T102)</f>
        <v>0.27526393161622137</v>
      </c>
      <c r="J103" s="13">
        <f>J102-('Konfigurasi Model'!$B$11*U102)</f>
        <v>-0.53279455846708723</v>
      </c>
      <c r="K103" s="13">
        <f>K102-('Konfigurasi Model'!$B$11*V102)</f>
        <v>-0.27089092072028859</v>
      </c>
      <c r="L103" s="13">
        <f>L102-('Konfigurasi Model'!$B$11*W102)</f>
        <v>0.37599027374680505</v>
      </c>
      <c r="M103" s="13">
        <f>M102-('Konfigurasi Model'!$B$11*X102)</f>
        <v>0.5290557682207907</v>
      </c>
      <c r="N103" s="13">
        <f t="shared" si="11"/>
        <v>-2.9931503545474665</v>
      </c>
      <c r="O103" s="13">
        <f t="shared" si="12"/>
        <v>4.7736278313156244E-2</v>
      </c>
      <c r="P103" s="12">
        <f t="shared" si="13"/>
        <v>0</v>
      </c>
      <c r="Q103" s="13">
        <f t="shared" si="14"/>
        <v>4.7736278313156244E-2</v>
      </c>
      <c r="R103" s="13">
        <f t="shared" si="15"/>
        <v>2.278752267191111E-3</v>
      </c>
      <c r="T103" s="14">
        <f t="shared" si="16"/>
        <v>4.3399462295154812E-3</v>
      </c>
      <c r="U103" s="14">
        <f t="shared" si="17"/>
        <v>2.4737693508238245E-2</v>
      </c>
      <c r="V103" s="14">
        <f t="shared" si="18"/>
        <v>1.6491795672158829E-2</v>
      </c>
      <c r="W103" s="14">
        <f t="shared" si="19"/>
        <v>7.3779085901763174E-3</v>
      </c>
      <c r="X103" s="14">
        <f t="shared" si="20"/>
        <v>1.3019838688546443E-3</v>
      </c>
      <c r="Y103" s="12">
        <f t="shared" si="21"/>
        <v>1</v>
      </c>
    </row>
    <row r="104" spans="1:25" x14ac:dyDescent="0.3">
      <c r="A104" s="23"/>
      <c r="B104" s="12">
        <v>20</v>
      </c>
      <c r="C104" s="12">
        <v>5.0999999999999996</v>
      </c>
      <c r="D104" s="12">
        <v>3.8</v>
      </c>
      <c r="E104" s="12">
        <v>1.5</v>
      </c>
      <c r="F104" s="12">
        <v>0.3</v>
      </c>
      <c r="G104" s="12">
        <v>0</v>
      </c>
      <c r="I104" s="13">
        <f>I103-('Konfigurasi Model'!$B$11*T103)</f>
        <v>0.2748299369932698</v>
      </c>
      <c r="J104" s="13">
        <f>J103-('Konfigurasi Model'!$B$11*U103)</f>
        <v>-0.535268327817911</v>
      </c>
      <c r="K104" s="13">
        <f>K103-('Konfigurasi Model'!$B$11*V103)</f>
        <v>-0.27254010028750447</v>
      </c>
      <c r="L104" s="13">
        <f>L103-('Konfigurasi Model'!$B$11*W103)</f>
        <v>0.3752524828877874</v>
      </c>
      <c r="M104" s="13">
        <f>M103-('Konfigurasi Model'!$B$11*X103)</f>
        <v>0.52892556983390526</v>
      </c>
      <c r="N104" s="13">
        <f t="shared" si="11"/>
        <v>-2.7691345206887408</v>
      </c>
      <c r="O104" s="13">
        <f t="shared" si="12"/>
        <v>5.9015057164887405E-2</v>
      </c>
      <c r="P104" s="12">
        <f t="shared" si="13"/>
        <v>0</v>
      </c>
      <c r="Q104" s="13">
        <f t="shared" si="14"/>
        <v>5.9015057164887405E-2</v>
      </c>
      <c r="R104" s="13">
        <f t="shared" si="15"/>
        <v>3.4827769721749282E-3</v>
      </c>
      <c r="T104" s="14">
        <f t="shared" si="16"/>
        <v>6.554481380138942E-3</v>
      </c>
      <c r="U104" s="14">
        <f t="shared" si="17"/>
        <v>3.3427855038708605E-2</v>
      </c>
      <c r="V104" s="14">
        <f t="shared" si="18"/>
        <v>2.4907029244527978E-2</v>
      </c>
      <c r="W104" s="14">
        <f t="shared" si="19"/>
        <v>9.8317220702084131E-3</v>
      </c>
      <c r="X104" s="14">
        <f t="shared" si="20"/>
        <v>1.9663444140416825E-3</v>
      </c>
      <c r="Y104" s="12">
        <f t="shared" si="21"/>
        <v>1</v>
      </c>
    </row>
    <row r="105" spans="1:25" x14ac:dyDescent="0.3">
      <c r="A105" s="23"/>
      <c r="B105" s="12">
        <v>21</v>
      </c>
      <c r="C105" s="12">
        <v>5.4</v>
      </c>
      <c r="D105" s="12">
        <v>3.4</v>
      </c>
      <c r="E105" s="12">
        <v>1.7</v>
      </c>
      <c r="F105" s="12">
        <v>0.2</v>
      </c>
      <c r="G105" s="12">
        <v>0</v>
      </c>
      <c r="I105" s="13">
        <f>I104-('Konfigurasi Model'!$B$11*T104)</f>
        <v>0.27417448885525592</v>
      </c>
      <c r="J105" s="13">
        <f>J104-('Konfigurasi Model'!$B$11*U104)</f>
        <v>-0.53861111332178191</v>
      </c>
      <c r="K105" s="13">
        <f>K104-('Konfigurasi Model'!$B$11*V104)</f>
        <v>-0.27503080321195728</v>
      </c>
      <c r="L105" s="13">
        <f>L104-('Konfigurasi Model'!$B$11*W104)</f>
        <v>0.37426931068076658</v>
      </c>
      <c r="M105" s="13">
        <f>M104-('Konfigurasi Model'!$B$11*X104)</f>
        <v>0.5287289353925011</v>
      </c>
      <c r="N105" s="13">
        <f t="shared" si="11"/>
        <v>-2.8274266387672178</v>
      </c>
      <c r="O105" s="13">
        <f t="shared" si="12"/>
        <v>5.5859961022760758E-2</v>
      </c>
      <c r="P105" s="12">
        <f t="shared" si="13"/>
        <v>0</v>
      </c>
      <c r="Q105" s="13">
        <f t="shared" si="14"/>
        <v>5.5859961022760758E-2</v>
      </c>
      <c r="R105" s="13">
        <f t="shared" si="15"/>
        <v>3.1203352454643512E-3</v>
      </c>
      <c r="T105" s="14">
        <f t="shared" si="16"/>
        <v>5.8920668805495314E-3</v>
      </c>
      <c r="U105" s="14">
        <f t="shared" si="17"/>
        <v>3.1817161154967473E-2</v>
      </c>
      <c r="V105" s="14">
        <f t="shared" si="18"/>
        <v>2.0033027393868405E-2</v>
      </c>
      <c r="W105" s="14">
        <f t="shared" si="19"/>
        <v>1.0016513696934203E-2</v>
      </c>
      <c r="X105" s="14">
        <f t="shared" si="20"/>
        <v>1.1784133761099064E-3</v>
      </c>
      <c r="Y105" s="12">
        <f t="shared" si="21"/>
        <v>1</v>
      </c>
    </row>
    <row r="106" spans="1:25" x14ac:dyDescent="0.3">
      <c r="A106" s="23"/>
      <c r="B106" s="12">
        <v>22</v>
      </c>
      <c r="C106" s="12">
        <v>5.0999999999999996</v>
      </c>
      <c r="D106" s="12">
        <v>3.7</v>
      </c>
      <c r="E106" s="12">
        <v>1.5</v>
      </c>
      <c r="F106" s="12">
        <v>0.4</v>
      </c>
      <c r="G106" s="12">
        <v>0</v>
      </c>
      <c r="I106" s="13">
        <f>I105-('Konfigurasi Model'!$B$11*T105)</f>
        <v>0.27358528216720096</v>
      </c>
      <c r="J106" s="13">
        <f>J105-('Konfigurasi Model'!$B$11*U105)</f>
        <v>-0.54179282943727869</v>
      </c>
      <c r="K106" s="13">
        <f>K105-('Konfigurasi Model'!$B$11*V105)</f>
        <v>-0.27703410595134409</v>
      </c>
      <c r="L106" s="13">
        <f>L105-('Konfigurasi Model'!$B$11*W105)</f>
        <v>0.37326765931107314</v>
      </c>
      <c r="M106" s="13">
        <f>M105-('Konfigurasi Model'!$B$11*X105)</f>
        <v>0.52861109405489015</v>
      </c>
      <c r="N106" s="13">
        <f t="shared" si="11"/>
        <v>-2.7432384133943275</v>
      </c>
      <c r="O106" s="13">
        <f t="shared" si="12"/>
        <v>6.0469656992572236E-2</v>
      </c>
      <c r="P106" s="12">
        <f t="shared" si="13"/>
        <v>0</v>
      </c>
      <c r="Q106" s="13">
        <f t="shared" si="14"/>
        <v>6.0469656992572236E-2</v>
      </c>
      <c r="R106" s="13">
        <f t="shared" si="15"/>
        <v>3.6565794167993403E-3</v>
      </c>
      <c r="T106" s="14">
        <f t="shared" si="16"/>
        <v>6.8709346273987688E-3</v>
      </c>
      <c r="U106" s="14">
        <f t="shared" si="17"/>
        <v>3.5041766599733716E-2</v>
      </c>
      <c r="V106" s="14">
        <f t="shared" si="18"/>
        <v>2.5422458121375446E-2</v>
      </c>
      <c r="W106" s="14">
        <f t="shared" si="19"/>
        <v>1.0306401941098154E-2</v>
      </c>
      <c r="X106" s="14">
        <f t="shared" si="20"/>
        <v>2.7483738509595079E-3</v>
      </c>
      <c r="Y106" s="12">
        <f t="shared" si="21"/>
        <v>1</v>
      </c>
    </row>
    <row r="107" spans="1:25" x14ac:dyDescent="0.3">
      <c r="A107" s="23"/>
      <c r="B107" s="12">
        <v>23</v>
      </c>
      <c r="C107" s="12">
        <v>4.5999999999999996</v>
      </c>
      <c r="D107" s="12">
        <v>3.6</v>
      </c>
      <c r="E107" s="12">
        <v>1</v>
      </c>
      <c r="F107" s="12">
        <v>0.2</v>
      </c>
      <c r="G107" s="12">
        <v>0</v>
      </c>
      <c r="I107" s="13">
        <f>I106-('Konfigurasi Model'!$B$11*T106)</f>
        <v>0.27289818870446109</v>
      </c>
      <c r="J107" s="13">
        <f>J106-('Konfigurasi Model'!$B$11*U106)</f>
        <v>-0.54529700609725207</v>
      </c>
      <c r="K107" s="13">
        <f>K106-('Konfigurasi Model'!$B$11*V106)</f>
        <v>-0.27957635176348161</v>
      </c>
      <c r="L107" s="13">
        <f>L106-('Konfigurasi Model'!$B$11*W106)</f>
        <v>0.37223701911696333</v>
      </c>
      <c r="M107" s="13">
        <f>M106-('Konfigurasi Model'!$B$11*X106)</f>
        <v>0.52833625666979422</v>
      </c>
      <c r="N107" s="13">
        <f t="shared" si="11"/>
        <v>-2.7640386352405097</v>
      </c>
      <c r="O107" s="13">
        <f t="shared" si="12"/>
        <v>5.9298680049496587E-2</v>
      </c>
      <c r="P107" s="12">
        <f t="shared" si="13"/>
        <v>0</v>
      </c>
      <c r="Q107" s="13">
        <f t="shared" si="14"/>
        <v>5.9298680049496587E-2</v>
      </c>
      <c r="R107" s="13">
        <f t="shared" si="15"/>
        <v>3.5163334556125646E-3</v>
      </c>
      <c r="T107" s="14">
        <f t="shared" si="16"/>
        <v>6.6156390461617086E-3</v>
      </c>
      <c r="U107" s="14">
        <f t="shared" si="17"/>
        <v>3.0431939612343858E-2</v>
      </c>
      <c r="V107" s="14">
        <f t="shared" si="18"/>
        <v>2.3816300566182152E-2</v>
      </c>
      <c r="W107" s="14">
        <f t="shared" si="19"/>
        <v>6.6156390461617086E-3</v>
      </c>
      <c r="X107" s="14">
        <f t="shared" si="20"/>
        <v>1.3231278092323418E-3</v>
      </c>
      <c r="Y107" s="12">
        <f t="shared" si="21"/>
        <v>1</v>
      </c>
    </row>
    <row r="108" spans="1:25" x14ac:dyDescent="0.3">
      <c r="A108" s="23"/>
      <c r="B108" s="12">
        <v>24</v>
      </c>
      <c r="C108" s="12">
        <v>5.0999999999999996</v>
      </c>
      <c r="D108" s="12">
        <v>3.3</v>
      </c>
      <c r="E108" s="12">
        <v>1.7</v>
      </c>
      <c r="F108" s="12">
        <v>0.5</v>
      </c>
      <c r="G108" s="12">
        <v>0</v>
      </c>
      <c r="I108" s="13">
        <f>I107-('Konfigurasi Model'!$B$11*T107)</f>
        <v>0.2722366247998449</v>
      </c>
      <c r="J108" s="13">
        <f>J107-('Konfigurasi Model'!$B$11*U107)</f>
        <v>-0.54834020005848649</v>
      </c>
      <c r="K108" s="13">
        <f>K107-('Konfigurasi Model'!$B$11*V107)</f>
        <v>-0.28195798182009985</v>
      </c>
      <c r="L108" s="13">
        <f>L107-('Konfigurasi Model'!$B$11*W107)</f>
        <v>0.37157545521234714</v>
      </c>
      <c r="M108" s="13">
        <f>M107-('Konfigurasi Model'!$B$11*X107)</f>
        <v>0.52820394388887104</v>
      </c>
      <c r="N108" s="13">
        <f t="shared" si="11"/>
        <v>-2.5589794896993396</v>
      </c>
      <c r="O108" s="13">
        <f t="shared" si="12"/>
        <v>7.1825546533121398E-2</v>
      </c>
      <c r="P108" s="12">
        <f t="shared" si="13"/>
        <v>0</v>
      </c>
      <c r="Q108" s="13">
        <f t="shared" si="14"/>
        <v>7.1825546533121398E-2</v>
      </c>
      <c r="R108" s="13">
        <f t="shared" si="15"/>
        <v>5.1589091347815875E-3</v>
      </c>
      <c r="T108" s="14">
        <f t="shared" si="16"/>
        <v>9.5767353333223743E-3</v>
      </c>
      <c r="U108" s="14">
        <f t="shared" si="17"/>
        <v>4.8841350199944109E-2</v>
      </c>
      <c r="V108" s="14">
        <f t="shared" si="18"/>
        <v>3.1603226599963834E-2</v>
      </c>
      <c r="W108" s="14">
        <f t="shared" si="19"/>
        <v>1.6280450066648036E-2</v>
      </c>
      <c r="X108" s="14">
        <f t="shared" si="20"/>
        <v>4.7883676666611872E-3</v>
      </c>
      <c r="Y108" s="12">
        <f t="shared" si="21"/>
        <v>1</v>
      </c>
    </row>
    <row r="109" spans="1:25" x14ac:dyDescent="0.3">
      <c r="A109" s="23"/>
      <c r="B109" s="12">
        <v>25</v>
      </c>
      <c r="C109" s="12">
        <v>4.8</v>
      </c>
      <c r="D109" s="12">
        <v>3.4</v>
      </c>
      <c r="E109" s="12">
        <v>1.9</v>
      </c>
      <c r="F109" s="12">
        <v>0.2</v>
      </c>
      <c r="G109" s="12">
        <v>0</v>
      </c>
      <c r="I109" s="13">
        <f>I108-('Konfigurasi Model'!$B$11*T108)</f>
        <v>0.27127895126651264</v>
      </c>
      <c r="J109" s="13">
        <f>J108-('Konfigurasi Model'!$B$11*U108)</f>
        <v>-0.5532243350784809</v>
      </c>
      <c r="K109" s="13">
        <f>K108-('Konfigurasi Model'!$B$11*V108)</f>
        <v>-0.28511830448009623</v>
      </c>
      <c r="L109" s="13">
        <f>L108-('Konfigurasi Model'!$B$11*W108)</f>
        <v>0.36994741020568234</v>
      </c>
      <c r="M109" s="13">
        <f>M108-('Konfigurasi Model'!$B$11*X108)</f>
        <v>0.52772510712220488</v>
      </c>
      <c r="N109" s="13">
        <f t="shared" si="11"/>
        <v>-2.5451549915272853</v>
      </c>
      <c r="O109" s="13">
        <f t="shared" si="12"/>
        <v>7.2752652389430864E-2</v>
      </c>
      <c r="P109" s="12">
        <f t="shared" si="13"/>
        <v>0</v>
      </c>
      <c r="Q109" s="13">
        <f t="shared" si="14"/>
        <v>7.2752652389430864E-2</v>
      </c>
      <c r="R109" s="13">
        <f t="shared" si="15"/>
        <v>5.2929484296973606E-3</v>
      </c>
      <c r="T109" s="14">
        <f t="shared" si="16"/>
        <v>9.8157447849528106E-3</v>
      </c>
      <c r="U109" s="14">
        <f t="shared" si="17"/>
        <v>4.7115574967773487E-2</v>
      </c>
      <c r="V109" s="14">
        <f t="shared" si="18"/>
        <v>3.3373532268839552E-2</v>
      </c>
      <c r="W109" s="14">
        <f t="shared" si="19"/>
        <v>1.8649915091410341E-2</v>
      </c>
      <c r="X109" s="14">
        <f t="shared" si="20"/>
        <v>1.9631489569905624E-3</v>
      </c>
      <c r="Y109" s="12">
        <f t="shared" si="21"/>
        <v>1</v>
      </c>
    </row>
    <row r="110" spans="1:25" x14ac:dyDescent="0.3">
      <c r="A110" s="23"/>
      <c r="B110" s="12">
        <v>26</v>
      </c>
      <c r="C110" s="12">
        <v>5</v>
      </c>
      <c r="D110" s="12">
        <v>3</v>
      </c>
      <c r="E110" s="12">
        <v>1.6</v>
      </c>
      <c r="F110" s="12">
        <v>0.2</v>
      </c>
      <c r="G110" s="12">
        <v>0</v>
      </c>
      <c r="I110" s="13">
        <f>I109-('Konfigurasi Model'!$B$11*T109)</f>
        <v>0.27029737678801735</v>
      </c>
      <c r="J110" s="13">
        <f>J109-('Konfigurasi Model'!$B$11*U109)</f>
        <v>-0.55793589257525822</v>
      </c>
      <c r="K110" s="13">
        <f>K109-('Konfigurasi Model'!$B$11*V109)</f>
        <v>-0.28845565770698017</v>
      </c>
      <c r="L110" s="13">
        <f>L109-('Konfigurasi Model'!$B$11*W109)</f>
        <v>0.36808241869654129</v>
      </c>
      <c r="M110" s="13">
        <f>M109-('Konfigurasi Model'!$B$11*X109)</f>
        <v>0.52752879222650584</v>
      </c>
      <c r="N110" s="13">
        <f t="shared" si="11"/>
        <v>-2.6903114308494471</v>
      </c>
      <c r="O110" s="13">
        <f t="shared" si="12"/>
        <v>6.354748281498708E-2</v>
      </c>
      <c r="P110" s="12">
        <f t="shared" si="13"/>
        <v>0</v>
      </c>
      <c r="Q110" s="13">
        <f t="shared" si="14"/>
        <v>6.354748281498708E-2</v>
      </c>
      <c r="R110" s="13">
        <f t="shared" si="15"/>
        <v>4.0382825721210786E-3</v>
      </c>
      <c r="T110" s="14">
        <f t="shared" si="16"/>
        <v>7.5633197595343041E-3</v>
      </c>
      <c r="U110" s="14">
        <f t="shared" si="17"/>
        <v>3.7816598797671519E-2</v>
      </c>
      <c r="V110" s="14">
        <f t="shared" si="18"/>
        <v>2.2689959278602914E-2</v>
      </c>
      <c r="W110" s="14">
        <f t="shared" si="19"/>
        <v>1.2101311615254887E-2</v>
      </c>
      <c r="X110" s="14">
        <f t="shared" si="20"/>
        <v>1.5126639519068609E-3</v>
      </c>
      <c r="Y110" s="12">
        <f t="shared" si="21"/>
        <v>1</v>
      </c>
    </row>
    <row r="111" spans="1:25" x14ac:dyDescent="0.3">
      <c r="A111" s="23"/>
      <c r="B111" s="12">
        <v>27</v>
      </c>
      <c r="C111" s="12">
        <v>5</v>
      </c>
      <c r="D111" s="12">
        <v>3.4</v>
      </c>
      <c r="E111" s="12">
        <v>1.6</v>
      </c>
      <c r="F111" s="12">
        <v>0.4</v>
      </c>
      <c r="G111" s="12">
        <v>0</v>
      </c>
      <c r="I111" s="13">
        <f>I110-('Konfigurasi Model'!$B$11*T110)</f>
        <v>0.26954104481206392</v>
      </c>
      <c r="J111" s="13">
        <f>J110-('Konfigurasi Model'!$B$11*U110)</f>
        <v>-0.56171755245502542</v>
      </c>
      <c r="K111" s="13">
        <f>K110-('Konfigurasi Model'!$B$11*V110)</f>
        <v>-0.29072465363484046</v>
      </c>
      <c r="L111" s="13">
        <f>L110-('Konfigurasi Model'!$B$11*W110)</f>
        <v>0.36687228753501583</v>
      </c>
      <c r="M111" s="13">
        <f>M110-('Konfigurasi Model'!$B$11*X110)</f>
        <v>0.52737752583131514</v>
      </c>
      <c r="N111" s="13">
        <f t="shared" si="11"/>
        <v>-2.7295638694329694</v>
      </c>
      <c r="O111" s="13">
        <f t="shared" si="12"/>
        <v>6.1251235320756221E-2</v>
      </c>
      <c r="P111" s="12">
        <f t="shared" si="13"/>
        <v>0</v>
      </c>
      <c r="Q111" s="13">
        <f t="shared" si="14"/>
        <v>6.1251235320756221E-2</v>
      </c>
      <c r="R111" s="13">
        <f t="shared" si="15"/>
        <v>3.7517138283186544E-3</v>
      </c>
      <c r="T111" s="14">
        <f t="shared" si="16"/>
        <v>7.0438334435283462E-3</v>
      </c>
      <c r="U111" s="14">
        <f t="shared" si="17"/>
        <v>3.5219167217641734E-2</v>
      </c>
      <c r="V111" s="14">
        <f t="shared" si="18"/>
        <v>2.3949033707996375E-2</v>
      </c>
      <c r="W111" s="14">
        <f t="shared" si="19"/>
        <v>1.1270133509645355E-2</v>
      </c>
      <c r="X111" s="14">
        <f t="shared" si="20"/>
        <v>2.8175333774113388E-3</v>
      </c>
      <c r="Y111" s="12">
        <f t="shared" si="21"/>
        <v>1</v>
      </c>
    </row>
    <row r="112" spans="1:25" x14ac:dyDescent="0.3">
      <c r="A112" s="23"/>
      <c r="B112" s="12">
        <v>28</v>
      </c>
      <c r="C112" s="12">
        <v>5.2</v>
      </c>
      <c r="D112" s="12">
        <v>3.5</v>
      </c>
      <c r="E112" s="12">
        <v>1.5</v>
      </c>
      <c r="F112" s="12">
        <v>0.2</v>
      </c>
      <c r="G112" s="12">
        <v>0</v>
      </c>
      <c r="I112" s="13">
        <f>I111-('Konfigurasi Model'!$B$11*T111)</f>
        <v>0.26883666146771107</v>
      </c>
      <c r="J112" s="13">
        <f>J111-('Konfigurasi Model'!$B$11*U111)</f>
        <v>-0.56523946917678958</v>
      </c>
      <c r="K112" s="13">
        <f>K111-('Konfigurasi Model'!$B$11*V111)</f>
        <v>-0.29311955700564007</v>
      </c>
      <c r="L112" s="13">
        <f>L111-('Konfigurasi Model'!$B$11*W111)</f>
        <v>0.36574527418405128</v>
      </c>
      <c r="M112" s="13">
        <f>M111-('Konfigurasi Model'!$B$11*X111)</f>
        <v>0.52709577249357398</v>
      </c>
      <c r="N112" s="13">
        <f t="shared" si="11"/>
        <v>-3.0422899619965431</v>
      </c>
      <c r="O112" s="13">
        <f t="shared" si="12"/>
        <v>4.555150742381546E-2</v>
      </c>
      <c r="P112" s="12">
        <f t="shared" si="13"/>
        <v>0</v>
      </c>
      <c r="Q112" s="13">
        <f t="shared" si="14"/>
        <v>4.555150742381546E-2</v>
      </c>
      <c r="R112" s="13">
        <f t="shared" si="15"/>
        <v>2.0749398285819149E-3</v>
      </c>
      <c r="T112" s="14">
        <f t="shared" si="16"/>
        <v>3.9608463831525909E-3</v>
      </c>
      <c r="U112" s="14">
        <f t="shared" si="17"/>
        <v>2.0596401192393473E-2</v>
      </c>
      <c r="V112" s="14">
        <f t="shared" si="18"/>
        <v>1.3862962341034069E-2</v>
      </c>
      <c r="W112" s="14">
        <f t="shared" si="19"/>
        <v>5.9412695747288868E-3</v>
      </c>
      <c r="X112" s="14">
        <f t="shared" si="20"/>
        <v>7.921692766305182E-4</v>
      </c>
      <c r="Y112" s="12">
        <f t="shared" si="21"/>
        <v>1</v>
      </c>
    </row>
    <row r="113" spans="1:25" x14ac:dyDescent="0.3">
      <c r="A113" s="23"/>
      <c r="B113" s="12">
        <v>29</v>
      </c>
      <c r="C113" s="12">
        <v>5.2</v>
      </c>
      <c r="D113" s="12">
        <v>3.4</v>
      </c>
      <c r="E113" s="12">
        <v>1.4</v>
      </c>
      <c r="F113" s="12">
        <v>0.2</v>
      </c>
      <c r="G113" s="12">
        <v>0</v>
      </c>
      <c r="I113" s="13">
        <f>I112-('Konfigurasi Model'!$B$11*T112)</f>
        <v>0.26844057682939582</v>
      </c>
      <c r="J113" s="13">
        <f>J112-('Konfigurasi Model'!$B$11*U112)</f>
        <v>-0.56729910929602889</v>
      </c>
      <c r="K113" s="13">
        <f>K112-('Konfigurasi Model'!$B$11*V112)</f>
        <v>-0.29450585323974349</v>
      </c>
      <c r="L113" s="13">
        <f>L112-('Konfigurasi Model'!$B$11*W112)</f>
        <v>0.36515114722657838</v>
      </c>
      <c r="M113" s="13">
        <f>M112-('Konfigurasi Model'!$B$11*X112)</f>
        <v>0.52701655556591087</v>
      </c>
      <c r="N113" s="13">
        <f t="shared" si="11"/>
        <v>-3.0662197752946905</v>
      </c>
      <c r="O113" s="13">
        <f t="shared" si="12"/>
        <v>4.4522362206373484E-2</v>
      </c>
      <c r="P113" s="12">
        <f t="shared" si="13"/>
        <v>0</v>
      </c>
      <c r="Q113" s="13">
        <f t="shared" si="14"/>
        <v>4.4522362206373484E-2</v>
      </c>
      <c r="R113" s="13">
        <f t="shared" si="15"/>
        <v>1.9822407364355138E-3</v>
      </c>
      <c r="T113" s="14">
        <f t="shared" si="16"/>
        <v>3.7879733927754069E-3</v>
      </c>
      <c r="U113" s="14">
        <f t="shared" si="17"/>
        <v>1.9697461642432117E-2</v>
      </c>
      <c r="V113" s="14">
        <f t="shared" si="18"/>
        <v>1.2879109535436382E-2</v>
      </c>
      <c r="W113" s="14">
        <f t="shared" si="19"/>
        <v>5.3031627498855696E-3</v>
      </c>
      <c r="X113" s="14">
        <f t="shared" si="20"/>
        <v>7.5759467855508137E-4</v>
      </c>
      <c r="Y113" s="12">
        <f t="shared" si="21"/>
        <v>1</v>
      </c>
    </row>
    <row r="114" spans="1:25" x14ac:dyDescent="0.3">
      <c r="A114" s="23"/>
      <c r="B114" s="12">
        <v>30</v>
      </c>
      <c r="C114" s="12">
        <v>4.7</v>
      </c>
      <c r="D114" s="12">
        <v>3.2</v>
      </c>
      <c r="E114" s="12">
        <v>1.6</v>
      </c>
      <c r="F114" s="12">
        <v>0.2</v>
      </c>
      <c r="G114" s="12">
        <v>0</v>
      </c>
      <c r="I114" s="13">
        <f>I113-('Konfigurasi Model'!$B$11*T113)</f>
        <v>0.26806177949011828</v>
      </c>
      <c r="J114" s="13">
        <f>J113-('Konfigurasi Model'!$B$11*U113)</f>
        <v>-0.56926885546027206</v>
      </c>
      <c r="K114" s="13">
        <f>K113-('Konfigurasi Model'!$B$11*V113)</f>
        <v>-0.29579376419328712</v>
      </c>
      <c r="L114" s="13">
        <f>L113-('Konfigurasi Model'!$B$11*W113)</f>
        <v>0.36462083095158981</v>
      </c>
      <c r="M114" s="13">
        <f>M113-('Konfigurasi Model'!$B$11*X113)</f>
        <v>0.52694079609805533</v>
      </c>
      <c r="N114" s="13">
        <f t="shared" si="11"/>
        <v>-2.6652603978495253</v>
      </c>
      <c r="O114" s="13">
        <f t="shared" si="12"/>
        <v>6.5054649674911827E-2</v>
      </c>
      <c r="P114" s="12">
        <f t="shared" si="13"/>
        <v>0</v>
      </c>
      <c r="Q114" s="13">
        <f t="shared" si="14"/>
        <v>6.5054649674911827E-2</v>
      </c>
      <c r="R114" s="13">
        <f t="shared" si="15"/>
        <v>4.2321074443255058E-3</v>
      </c>
      <c r="T114" s="14">
        <f t="shared" si="16"/>
        <v>7.9135783542966468E-3</v>
      </c>
      <c r="U114" s="14">
        <f t="shared" si="17"/>
        <v>3.7193818265194238E-2</v>
      </c>
      <c r="V114" s="14">
        <f t="shared" si="18"/>
        <v>2.532345073374927E-2</v>
      </c>
      <c r="W114" s="14">
        <f t="shared" si="19"/>
        <v>1.2661725366874635E-2</v>
      </c>
      <c r="X114" s="14">
        <f t="shared" si="20"/>
        <v>1.5827156708593294E-3</v>
      </c>
      <c r="Y114" s="12">
        <f t="shared" si="21"/>
        <v>1</v>
      </c>
    </row>
    <row r="115" spans="1:25" x14ac:dyDescent="0.3">
      <c r="A115" s="23"/>
      <c r="B115" s="12">
        <v>31</v>
      </c>
      <c r="C115" s="12">
        <v>4.8</v>
      </c>
      <c r="D115" s="12">
        <v>3.1</v>
      </c>
      <c r="E115" s="12">
        <v>1.6</v>
      </c>
      <c r="F115" s="12">
        <v>0.2</v>
      </c>
      <c r="G115" s="12">
        <v>0</v>
      </c>
      <c r="I115" s="13">
        <f>I114-('Konfigurasi Model'!$B$11*T114)</f>
        <v>0.26727042165468862</v>
      </c>
      <c r="J115" s="13">
        <f>J114-('Konfigurasi Model'!$B$11*U114)</f>
        <v>-0.57298823728679149</v>
      </c>
      <c r="K115" s="13">
        <f>K114-('Konfigurasi Model'!$B$11*V114)</f>
        <v>-0.29832610926666203</v>
      </c>
      <c r="L115" s="13">
        <f>L114-('Konfigurasi Model'!$B$11*W114)</f>
        <v>0.36335465841490233</v>
      </c>
      <c r="M115" s="13">
        <f>M114-('Konfigurasi Model'!$B$11*X114)</f>
        <v>0.52678252453096941</v>
      </c>
      <c r="N115" s="13">
        <f t="shared" si="11"/>
        <v>-2.7211600976785251</v>
      </c>
      <c r="O115" s="13">
        <f t="shared" si="12"/>
        <v>6.1736233579671625E-2</v>
      </c>
      <c r="P115" s="12">
        <f t="shared" si="13"/>
        <v>0</v>
      </c>
      <c r="Q115" s="13">
        <f t="shared" si="14"/>
        <v>6.1736233579671625E-2</v>
      </c>
      <c r="R115" s="13">
        <f t="shared" si="15"/>
        <v>3.8113625366037744E-3</v>
      </c>
      <c r="T115" s="14">
        <f t="shared" si="16"/>
        <v>7.1521267375743878E-3</v>
      </c>
      <c r="U115" s="14">
        <f t="shared" si="17"/>
        <v>3.4330208340357063E-2</v>
      </c>
      <c r="V115" s="14">
        <f t="shared" si="18"/>
        <v>2.2171592886480605E-2</v>
      </c>
      <c r="W115" s="14">
        <f t="shared" si="19"/>
        <v>1.1443402780119022E-2</v>
      </c>
      <c r="X115" s="14">
        <f t="shared" si="20"/>
        <v>1.4304253475148777E-3</v>
      </c>
      <c r="Y115" s="12">
        <f t="shared" si="21"/>
        <v>1</v>
      </c>
    </row>
    <row r="116" spans="1:25" x14ac:dyDescent="0.3">
      <c r="A116" s="23"/>
      <c r="B116" s="12">
        <v>32</v>
      </c>
      <c r="C116" s="12">
        <v>5.4</v>
      </c>
      <c r="D116" s="12">
        <v>3.4</v>
      </c>
      <c r="E116" s="12">
        <v>1.5</v>
      </c>
      <c r="F116" s="12">
        <v>0.4</v>
      </c>
      <c r="G116" s="12">
        <v>0</v>
      </c>
      <c r="I116" s="13">
        <f>I115-('Konfigurasi Model'!$B$11*T115)</f>
        <v>0.26655520898093116</v>
      </c>
      <c r="J116" s="13">
        <f>J115-('Konfigurasi Model'!$B$11*U115)</f>
        <v>-0.57642125812082723</v>
      </c>
      <c r="K116" s="13">
        <f>K115-('Konfigurasi Model'!$B$11*V115)</f>
        <v>-0.30054326855531011</v>
      </c>
      <c r="L116" s="13">
        <f>L115-('Konfigurasi Model'!$B$11*W115)</f>
        <v>0.36221031813689042</v>
      </c>
      <c r="M116" s="13">
        <f>M115-('Konfigurasi Model'!$B$11*X115)</f>
        <v>0.52663948199621791</v>
      </c>
      <c r="N116" s="13">
        <f t="shared" si="11"/>
        <v>-3.1139954279557678</v>
      </c>
      <c r="O116" s="13">
        <f t="shared" si="12"/>
        <v>4.2533634586677783E-2</v>
      </c>
      <c r="P116" s="12">
        <f t="shared" si="13"/>
        <v>0</v>
      </c>
      <c r="Q116" s="13">
        <f t="shared" si="14"/>
        <v>4.2533634586677783E-2</v>
      </c>
      <c r="R116" s="13">
        <f t="shared" si="15"/>
        <v>1.8091100711530325E-3</v>
      </c>
      <c r="T116" s="14">
        <f t="shared" si="16"/>
        <v>3.4643240889190617E-3</v>
      </c>
      <c r="U116" s="14">
        <f t="shared" si="17"/>
        <v>1.8707350080162936E-2</v>
      </c>
      <c r="V116" s="14">
        <f t="shared" si="18"/>
        <v>1.1778701902324809E-2</v>
      </c>
      <c r="W116" s="14">
        <f t="shared" si="19"/>
        <v>5.1964861333785931E-3</v>
      </c>
      <c r="X116" s="14">
        <f t="shared" si="20"/>
        <v>1.3857296355676248E-3</v>
      </c>
      <c r="Y116" s="12">
        <f t="shared" si="21"/>
        <v>1</v>
      </c>
    </row>
    <row r="117" spans="1:25" x14ac:dyDescent="0.3">
      <c r="A117" s="23"/>
      <c r="B117" s="12">
        <v>33</v>
      </c>
      <c r="C117" s="12">
        <v>5.2</v>
      </c>
      <c r="D117" s="12">
        <v>4.0999999999999996</v>
      </c>
      <c r="E117" s="12">
        <v>1.5</v>
      </c>
      <c r="F117" s="12">
        <v>0.1</v>
      </c>
      <c r="G117" s="12">
        <v>0</v>
      </c>
      <c r="I117" s="13">
        <f>I116-('Konfigurasi Model'!$B$11*T116)</f>
        <v>0.26620877657203923</v>
      </c>
      <c r="J117" s="13">
        <f>J116-('Konfigurasi Model'!$B$11*U116)</f>
        <v>-0.5782919931288435</v>
      </c>
      <c r="K117" s="13">
        <f>K116-('Konfigurasi Model'!$B$11*V116)</f>
        <v>-0.30172113874554257</v>
      </c>
      <c r="L117" s="13">
        <f>L116-('Konfigurasi Model'!$B$11*W116)</f>
        <v>0.36169066952355255</v>
      </c>
      <c r="M117" s="13">
        <f>M116-('Konfigurasi Model'!$B$11*X116)</f>
        <v>0.52650090903266111</v>
      </c>
      <c r="N117" s="13">
        <f t="shared" si="11"/>
        <v>-3.3827801613660764</v>
      </c>
      <c r="O117" s="13">
        <f t="shared" si="12"/>
        <v>3.283798307542219E-2</v>
      </c>
      <c r="P117" s="12">
        <f t="shared" si="13"/>
        <v>0</v>
      </c>
      <c r="Q117" s="13">
        <f t="shared" si="14"/>
        <v>3.283798307542219E-2</v>
      </c>
      <c r="R117" s="13">
        <f t="shared" si="15"/>
        <v>1.0783331324617142E-3</v>
      </c>
      <c r="T117" s="14">
        <f t="shared" si="16"/>
        <v>2.085845694616539E-3</v>
      </c>
      <c r="U117" s="14">
        <f t="shared" si="17"/>
        <v>1.0846397612006004E-2</v>
      </c>
      <c r="V117" s="14">
        <f t="shared" si="18"/>
        <v>8.5519673479278087E-3</v>
      </c>
      <c r="W117" s="14">
        <f t="shared" si="19"/>
        <v>3.1287685419248085E-3</v>
      </c>
      <c r="X117" s="14">
        <f t="shared" si="20"/>
        <v>2.0858456946165391E-4</v>
      </c>
      <c r="Y117" s="12">
        <f t="shared" si="21"/>
        <v>1</v>
      </c>
    </row>
    <row r="118" spans="1:25" x14ac:dyDescent="0.3">
      <c r="A118" s="23"/>
      <c r="B118" s="12">
        <v>34</v>
      </c>
      <c r="C118" s="12">
        <v>5.5</v>
      </c>
      <c r="D118" s="12">
        <v>4.2</v>
      </c>
      <c r="E118" s="12">
        <v>1.4</v>
      </c>
      <c r="F118" s="12">
        <v>0.2</v>
      </c>
      <c r="G118" s="12">
        <v>0</v>
      </c>
      <c r="I118" s="13">
        <f>I117-('Konfigurasi Model'!$B$11*T117)</f>
        <v>0.26600019200257757</v>
      </c>
      <c r="J118" s="13">
        <f>J117-('Konfigurasi Model'!$B$11*U117)</f>
        <v>-0.57937663289004404</v>
      </c>
      <c r="K118" s="13">
        <f>K117-('Konfigurasi Model'!$B$11*V117)</f>
        <v>-0.30257633548033536</v>
      </c>
      <c r="L118" s="13">
        <f>L117-('Konfigurasi Model'!$B$11*W117)</f>
        <v>0.3613777926693601</v>
      </c>
      <c r="M118" s="13">
        <f>M117-('Konfigurasi Model'!$B$11*X117)</f>
        <v>0.5264800505757149</v>
      </c>
      <c r="N118" s="13">
        <f t="shared" si="11"/>
        <v>-3.5801669780578256</v>
      </c>
      <c r="O118" s="13">
        <f t="shared" si="12"/>
        <v>2.7115311960771951E-2</v>
      </c>
      <c r="P118" s="12">
        <f t="shared" si="13"/>
        <v>0</v>
      </c>
      <c r="Q118" s="13">
        <f t="shared" si="14"/>
        <v>2.7115311960771951E-2</v>
      </c>
      <c r="R118" s="13">
        <f t="shared" si="15"/>
        <v>7.3524014272998242E-4</v>
      </c>
      <c r="T118" s="14">
        <f t="shared" si="16"/>
        <v>1.430607753787553E-3</v>
      </c>
      <c r="U118" s="14">
        <f t="shared" si="17"/>
        <v>7.8683426458315414E-3</v>
      </c>
      <c r="V118" s="14">
        <f t="shared" si="18"/>
        <v>6.0085525659077229E-3</v>
      </c>
      <c r="W118" s="14">
        <f t="shared" si="19"/>
        <v>2.002850855302574E-3</v>
      </c>
      <c r="X118" s="14">
        <f t="shared" si="20"/>
        <v>2.8612155075751058E-4</v>
      </c>
      <c r="Y118" s="12">
        <f t="shared" si="21"/>
        <v>1</v>
      </c>
    </row>
    <row r="119" spans="1:25" x14ac:dyDescent="0.3">
      <c r="A119" s="23"/>
      <c r="B119" s="12">
        <v>35</v>
      </c>
      <c r="C119" s="12">
        <v>4.9000000000000004</v>
      </c>
      <c r="D119" s="12">
        <v>3.1</v>
      </c>
      <c r="E119" s="12">
        <v>1.5</v>
      </c>
      <c r="F119" s="12">
        <v>0.1</v>
      </c>
      <c r="G119" s="12">
        <v>0</v>
      </c>
      <c r="I119" s="13">
        <f>I118-('Konfigurasi Model'!$B$11*T118)</f>
        <v>0.26585713122719884</v>
      </c>
      <c r="J119" s="13">
        <f>J118-('Konfigurasi Model'!$B$11*U118)</f>
        <v>-0.58016346715462719</v>
      </c>
      <c r="K119" s="13">
        <f>K118-('Konfigurasi Model'!$B$11*V118)</f>
        <v>-0.30317719073692612</v>
      </c>
      <c r="L119" s="13">
        <f>L118-('Konfigurasi Model'!$B$11*W118)</f>
        <v>0.36117750758382983</v>
      </c>
      <c r="M119" s="13">
        <f>M118-('Konfigurasi Model'!$B$11*X118)</f>
        <v>0.52645143842063913</v>
      </c>
      <c r="N119" s="13">
        <f t="shared" si="11"/>
        <v>-2.9223817438971369</v>
      </c>
      <c r="O119" s="13">
        <f t="shared" si="12"/>
        <v>5.1058178999812499E-2</v>
      </c>
      <c r="P119" s="12">
        <f t="shared" si="13"/>
        <v>0</v>
      </c>
      <c r="Q119" s="13">
        <f t="shared" si="14"/>
        <v>5.1058178999812499E-2</v>
      </c>
      <c r="R119" s="13">
        <f t="shared" si="15"/>
        <v>2.6069376427768939E-3</v>
      </c>
      <c r="T119" s="14">
        <f t="shared" si="16"/>
        <v>4.9476643079412845E-3</v>
      </c>
      <c r="U119" s="14">
        <f t="shared" si="17"/>
        <v>2.4243555108912296E-2</v>
      </c>
      <c r="V119" s="14">
        <f t="shared" si="18"/>
        <v>1.5337759354617982E-2</v>
      </c>
      <c r="W119" s="14">
        <f t="shared" si="19"/>
        <v>7.4214964619119268E-3</v>
      </c>
      <c r="X119" s="14">
        <f t="shared" si="20"/>
        <v>4.9476643079412845E-4</v>
      </c>
      <c r="Y119" s="12">
        <f t="shared" si="21"/>
        <v>1</v>
      </c>
    </row>
    <row r="120" spans="1:25" x14ac:dyDescent="0.3">
      <c r="A120" s="23"/>
      <c r="B120" s="12">
        <v>36</v>
      </c>
      <c r="C120" s="12">
        <v>5</v>
      </c>
      <c r="D120" s="12">
        <v>3.2</v>
      </c>
      <c r="E120" s="12">
        <v>1.2</v>
      </c>
      <c r="F120" s="12">
        <v>0.2</v>
      </c>
      <c r="G120" s="12">
        <v>0</v>
      </c>
      <c r="I120" s="13">
        <f>I119-('Konfigurasi Model'!$B$11*T119)</f>
        <v>0.26536236479640474</v>
      </c>
      <c r="J120" s="13">
        <f>J119-('Konfigurasi Model'!$B$11*U119)</f>
        <v>-0.58258782266551845</v>
      </c>
      <c r="K120" s="13">
        <f>K119-('Konfigurasi Model'!$B$11*V119)</f>
        <v>-0.3047109666723879</v>
      </c>
      <c r="L120" s="13">
        <f>L119-('Konfigurasi Model'!$B$11*W119)</f>
        <v>0.36043535793763865</v>
      </c>
      <c r="M120" s="13">
        <f>M119-('Konfigurasi Model'!$B$11*X119)</f>
        <v>0.52640196177755971</v>
      </c>
      <c r="N120" s="13">
        <f t="shared" si="11"/>
        <v>-3.0848490200021508</v>
      </c>
      <c r="O120" s="13">
        <f t="shared" si="12"/>
        <v>4.3736562272437017E-2</v>
      </c>
      <c r="P120" s="12">
        <f t="shared" si="13"/>
        <v>0</v>
      </c>
      <c r="Q120" s="13">
        <f t="shared" si="14"/>
        <v>4.3736562272437017E-2</v>
      </c>
      <c r="R120" s="13">
        <f t="shared" si="15"/>
        <v>1.9128868794107612E-3</v>
      </c>
      <c r="T120" s="14">
        <f t="shared" si="16"/>
        <v>3.6584475665785692E-3</v>
      </c>
      <c r="U120" s="14">
        <f t="shared" si="17"/>
        <v>1.8292237832892848E-2</v>
      </c>
      <c r="V120" s="14">
        <f t="shared" si="18"/>
        <v>1.1707032213051423E-2</v>
      </c>
      <c r="W120" s="14">
        <f t="shared" si="19"/>
        <v>4.3901370798942827E-3</v>
      </c>
      <c r="X120" s="14">
        <f t="shared" si="20"/>
        <v>7.3168951331571393E-4</v>
      </c>
      <c r="Y120" s="12">
        <f t="shared" si="21"/>
        <v>1</v>
      </c>
    </row>
    <row r="121" spans="1:25" x14ac:dyDescent="0.3">
      <c r="A121" s="23"/>
      <c r="B121" s="12">
        <v>37</v>
      </c>
      <c r="C121" s="12">
        <v>5.5</v>
      </c>
      <c r="D121" s="12">
        <v>3.5</v>
      </c>
      <c r="E121" s="12">
        <v>1.3</v>
      </c>
      <c r="F121" s="12">
        <v>0.2</v>
      </c>
      <c r="G121" s="12">
        <v>0</v>
      </c>
      <c r="I121" s="13">
        <f>I120-('Konfigurasi Model'!$B$11*T120)</f>
        <v>0.26499652003974689</v>
      </c>
      <c r="J121" s="13">
        <f>J120-('Konfigurasi Model'!$B$11*U120)</f>
        <v>-0.58441704644880776</v>
      </c>
      <c r="K121" s="13">
        <f>K120-('Konfigurasi Model'!$B$11*V120)</f>
        <v>-0.30588166989369303</v>
      </c>
      <c r="L121" s="13">
        <f>L120-('Konfigurasi Model'!$B$11*W120)</f>
        <v>0.35999634422964921</v>
      </c>
      <c r="M121" s="13">
        <f>M120-('Konfigurasi Model'!$B$11*X120)</f>
        <v>0.52632879282622813</v>
      </c>
      <c r="N121" s="13">
        <f t="shared" si="11"/>
        <v>-3.4466220739928315</v>
      </c>
      <c r="O121" s="13">
        <f t="shared" si="12"/>
        <v>3.0869756156450941E-2</v>
      </c>
      <c r="P121" s="12">
        <f t="shared" si="13"/>
        <v>0</v>
      </c>
      <c r="Q121" s="13">
        <f t="shared" si="14"/>
        <v>3.0869756156450941E-2</v>
      </c>
      <c r="R121" s="13">
        <f t="shared" si="15"/>
        <v>9.5294184515874074E-4</v>
      </c>
      <c r="T121" s="14">
        <f t="shared" si="16"/>
        <v>1.8470495255348241E-3</v>
      </c>
      <c r="U121" s="14">
        <f t="shared" si="17"/>
        <v>1.0158772390441533E-2</v>
      </c>
      <c r="V121" s="14">
        <f t="shared" si="18"/>
        <v>6.4646733393718845E-3</v>
      </c>
      <c r="W121" s="14">
        <f t="shared" si="19"/>
        <v>2.4011643831952714E-3</v>
      </c>
      <c r="X121" s="14">
        <f t="shared" si="20"/>
        <v>3.6940990510696487E-4</v>
      </c>
      <c r="Y121" s="12">
        <f t="shared" si="21"/>
        <v>1</v>
      </c>
    </row>
    <row r="122" spans="1:25" x14ac:dyDescent="0.3">
      <c r="A122" s="23"/>
      <c r="B122" s="12">
        <v>38</v>
      </c>
      <c r="C122" s="12">
        <v>4.9000000000000004</v>
      </c>
      <c r="D122" s="12">
        <v>3.1</v>
      </c>
      <c r="E122" s="12">
        <v>1.5</v>
      </c>
      <c r="F122" s="12">
        <v>0.1</v>
      </c>
      <c r="G122" s="12">
        <v>0</v>
      </c>
      <c r="I122" s="13">
        <f>I121-('Konfigurasi Model'!$B$11*T121)</f>
        <v>0.26481181508719343</v>
      </c>
      <c r="J122" s="13">
        <f>J121-('Konfigurasi Model'!$B$11*U121)</f>
        <v>-0.58543292368785194</v>
      </c>
      <c r="K122" s="13">
        <f>K121-('Konfigurasi Model'!$B$11*V121)</f>
        <v>-0.30652813722763023</v>
      </c>
      <c r="L122" s="13">
        <f>L121-('Konfigurasi Model'!$B$11*W121)</f>
        <v>0.35975622779132971</v>
      </c>
      <c r="M122" s="13">
        <f>M121-('Konfigurasi Model'!$B$11*X121)</f>
        <v>0.52629185183571747</v>
      </c>
      <c r="N122" s="13">
        <f t="shared" si="11"/>
        <v>-2.9617832095183689</v>
      </c>
      <c r="O122" s="13">
        <f t="shared" si="12"/>
        <v>4.9182549671515779E-2</v>
      </c>
      <c r="P122" s="12">
        <f t="shared" si="13"/>
        <v>0</v>
      </c>
      <c r="Q122" s="13">
        <f t="shared" si="14"/>
        <v>4.9182549671515779E-2</v>
      </c>
      <c r="R122" s="13">
        <f t="shared" si="15"/>
        <v>2.4189231921911171E-3</v>
      </c>
      <c r="T122" s="14">
        <f t="shared" si="16"/>
        <v>4.5999087642791909E-3</v>
      </c>
      <c r="U122" s="14">
        <f t="shared" si="17"/>
        <v>2.2539552944968039E-2</v>
      </c>
      <c r="V122" s="14">
        <f t="shared" si="18"/>
        <v>1.4259717169265492E-2</v>
      </c>
      <c r="W122" s="14">
        <f t="shared" si="19"/>
        <v>6.899863146418786E-3</v>
      </c>
      <c r="X122" s="14">
        <f t="shared" si="20"/>
        <v>4.5999087642791914E-4</v>
      </c>
      <c r="Y122" s="12">
        <f t="shared" si="21"/>
        <v>1</v>
      </c>
    </row>
    <row r="123" spans="1:25" x14ac:dyDescent="0.3">
      <c r="A123" s="23"/>
      <c r="B123" s="12">
        <v>39</v>
      </c>
      <c r="C123" s="12">
        <v>4.4000000000000004</v>
      </c>
      <c r="D123" s="12">
        <v>3</v>
      </c>
      <c r="E123" s="12">
        <v>1.3</v>
      </c>
      <c r="F123" s="12">
        <v>0.2</v>
      </c>
      <c r="G123" s="12">
        <v>0</v>
      </c>
      <c r="I123" s="13">
        <f>I122-('Konfigurasi Model'!$B$11*T122)</f>
        <v>0.26435182421076553</v>
      </c>
      <c r="J123" s="13">
        <f>J122-('Konfigurasi Model'!$B$11*U122)</f>
        <v>-0.58768687898234873</v>
      </c>
      <c r="K123" s="13">
        <f>K122-('Konfigurasi Model'!$B$11*V122)</f>
        <v>-0.30795410894455677</v>
      </c>
      <c r="L123" s="13">
        <f>L122-('Konfigurasi Model'!$B$11*W122)</f>
        <v>0.35906624147668781</v>
      </c>
      <c r="M123" s="13">
        <f>M122-('Konfigurasi Model'!$B$11*X122)</f>
        <v>0.52624585274807467</v>
      </c>
      <c r="N123" s="13">
        <f t="shared" si="11"/>
        <v>-2.6732974856759304</v>
      </c>
      <c r="O123" s="13">
        <f t="shared" si="12"/>
        <v>6.4567519042968924E-2</v>
      </c>
      <c r="P123" s="12">
        <f t="shared" si="13"/>
        <v>0</v>
      </c>
      <c r="Q123" s="13">
        <f t="shared" si="14"/>
        <v>6.4567519042968924E-2</v>
      </c>
      <c r="R123" s="13">
        <f t="shared" si="15"/>
        <v>4.1689645153641548E-3</v>
      </c>
      <c r="T123" s="14">
        <f t="shared" si="16"/>
        <v>7.799569639257836E-3</v>
      </c>
      <c r="U123" s="14">
        <f t="shared" si="17"/>
        <v>3.431810641273448E-2</v>
      </c>
      <c r="V123" s="14">
        <f t="shared" si="18"/>
        <v>2.3398708917773507E-2</v>
      </c>
      <c r="W123" s="14">
        <f t="shared" si="19"/>
        <v>1.0139440531035188E-2</v>
      </c>
      <c r="X123" s="14">
        <f t="shared" si="20"/>
        <v>1.5599139278515673E-3</v>
      </c>
      <c r="Y123" s="12">
        <f t="shared" si="21"/>
        <v>1</v>
      </c>
    </row>
    <row r="124" spans="1:25" x14ac:dyDescent="0.3">
      <c r="A124" s="23"/>
      <c r="B124" s="12">
        <v>40</v>
      </c>
      <c r="C124" s="12">
        <v>5.0999999999999996</v>
      </c>
      <c r="D124" s="12">
        <v>3.4</v>
      </c>
      <c r="E124" s="12">
        <v>1.5</v>
      </c>
      <c r="F124" s="12">
        <v>0.2</v>
      </c>
      <c r="G124" s="12">
        <v>0</v>
      </c>
      <c r="I124" s="13">
        <f>I123-('Konfigurasi Model'!$B$11*T123)</f>
        <v>0.26357186724683973</v>
      </c>
      <c r="J124" s="13">
        <f>J123-('Konfigurasi Model'!$B$11*U123)</f>
        <v>-0.59111868962362213</v>
      </c>
      <c r="K124" s="13">
        <f>K123-('Konfigurasi Model'!$B$11*V123)</f>
        <v>-0.31029397983633411</v>
      </c>
      <c r="L124" s="13">
        <f>L123-('Konfigurasi Model'!$B$11*W123)</f>
        <v>0.3580522974235843</v>
      </c>
      <c r="M124" s="13">
        <f>M123-('Konfigurasi Model'!$B$11*X123)</f>
        <v>0.52608986135528957</v>
      </c>
      <c r="N124" s="13">
        <f t="shared" si="11"/>
        <v>-3.1638365628707343</v>
      </c>
      <c r="O124" s="13">
        <f t="shared" si="12"/>
        <v>4.0549527694609601E-2</v>
      </c>
      <c r="P124" s="12">
        <f t="shared" si="13"/>
        <v>0</v>
      </c>
      <c r="Q124" s="13">
        <f t="shared" si="14"/>
        <v>4.0549527694609601E-2</v>
      </c>
      <c r="R124" s="13">
        <f t="shared" si="15"/>
        <v>1.6442641962559109E-3</v>
      </c>
      <c r="T124" s="14">
        <f t="shared" si="16"/>
        <v>3.1551801193851537E-3</v>
      </c>
      <c r="U124" s="14">
        <f t="shared" si="17"/>
        <v>1.6091418608864282E-2</v>
      </c>
      <c r="V124" s="14">
        <f t="shared" si="18"/>
        <v>1.0727612405909522E-2</v>
      </c>
      <c r="W124" s="14">
        <f t="shared" si="19"/>
        <v>4.7327701790777308E-3</v>
      </c>
      <c r="X124" s="14">
        <f t="shared" si="20"/>
        <v>6.3103602387703074E-4</v>
      </c>
      <c r="Y124" s="12">
        <f t="shared" si="21"/>
        <v>1</v>
      </c>
    </row>
    <row r="125" spans="1:25" x14ac:dyDescent="0.3">
      <c r="A125" s="23"/>
      <c r="B125" s="12">
        <v>41</v>
      </c>
      <c r="C125" s="12">
        <v>7</v>
      </c>
      <c r="D125" s="12">
        <v>3.2</v>
      </c>
      <c r="E125" s="12">
        <v>4.7</v>
      </c>
      <c r="F125" s="12">
        <v>1.4</v>
      </c>
      <c r="G125" s="12">
        <v>1</v>
      </c>
      <c r="I125" s="13">
        <f>I124-('Konfigurasi Model'!$B$11*T124)</f>
        <v>0.26325634923490121</v>
      </c>
      <c r="J125" s="13">
        <f>J124-('Konfigurasi Model'!$B$11*U124)</f>
        <v>-0.59272783148450858</v>
      </c>
      <c r="K125" s="13">
        <f>K124-('Konfigurasi Model'!$B$11*V124)</f>
        <v>-0.31136674107692508</v>
      </c>
      <c r="L125" s="13">
        <f>L124-('Konfigurasi Model'!$B$11*W124)</f>
        <v>0.35757902040567652</v>
      </c>
      <c r="M125" s="13">
        <f>M124-('Konfigurasi Model'!$B$11*X124)</f>
        <v>0.52602675775290186</v>
      </c>
      <c r="N125" s="13">
        <f t="shared" si="11"/>
        <v>-2.4651531858420768</v>
      </c>
      <c r="O125" s="13">
        <f t="shared" si="12"/>
        <v>7.833746412270913E-2</v>
      </c>
      <c r="P125" s="12">
        <f t="shared" si="13"/>
        <v>0</v>
      </c>
      <c r="Q125" s="13">
        <f t="shared" si="14"/>
        <v>-0.92166253587729086</v>
      </c>
      <c r="R125" s="13">
        <f t="shared" si="15"/>
        <v>0.8494618300397585</v>
      </c>
      <c r="T125" s="14">
        <f t="shared" si="16"/>
        <v>-0.13308937126870085</v>
      </c>
      <c r="U125" s="14">
        <f t="shared" si="17"/>
        <v>-0.9316255988809059</v>
      </c>
      <c r="V125" s="14">
        <f t="shared" si="18"/>
        <v>-0.42588598805984273</v>
      </c>
      <c r="W125" s="14">
        <f t="shared" si="19"/>
        <v>-0.62552004496289404</v>
      </c>
      <c r="X125" s="14">
        <f t="shared" si="20"/>
        <v>-0.18632511977618119</v>
      </c>
      <c r="Y125" s="12">
        <f t="shared" si="21"/>
        <v>0</v>
      </c>
    </row>
    <row r="126" spans="1:25" x14ac:dyDescent="0.3">
      <c r="A126" s="23"/>
      <c r="B126" s="12">
        <v>42</v>
      </c>
      <c r="C126" s="12">
        <v>6.4</v>
      </c>
      <c r="D126" s="12">
        <v>3.2</v>
      </c>
      <c r="E126" s="12">
        <v>4.5</v>
      </c>
      <c r="F126" s="12">
        <v>1.5</v>
      </c>
      <c r="G126" s="12">
        <v>1</v>
      </c>
      <c r="I126" s="13">
        <f>I125-('Konfigurasi Model'!$B$11*T125)</f>
        <v>0.2765652863617713</v>
      </c>
      <c r="J126" s="13">
        <f>J125-('Konfigurasi Model'!$B$11*U125)</f>
        <v>-0.499565271596418</v>
      </c>
      <c r="K126" s="13">
        <f>K125-('Konfigurasi Model'!$B$11*V125)</f>
        <v>-0.26877814227094082</v>
      </c>
      <c r="L126" s="13">
        <f>L125-('Konfigurasi Model'!$B$11*W125)</f>
        <v>0.42013102490196591</v>
      </c>
      <c r="M126" s="13">
        <f>M125-('Konfigurasi Model'!$B$11*X125)</f>
        <v>0.54465926973052003</v>
      </c>
      <c r="N126" s="13">
        <f t="shared" si="11"/>
        <v>-1.0731639904676877</v>
      </c>
      <c r="O126" s="13">
        <f t="shared" si="12"/>
        <v>0.25480184647462284</v>
      </c>
      <c r="P126" s="12">
        <f t="shared" si="13"/>
        <v>0</v>
      </c>
      <c r="Q126" s="13">
        <f t="shared" si="14"/>
        <v>-0.7451981535253771</v>
      </c>
      <c r="R126" s="13">
        <f t="shared" si="15"/>
        <v>0.55532028801763156</v>
      </c>
      <c r="T126" s="14">
        <f t="shared" si="16"/>
        <v>-0.2829932695434238</v>
      </c>
      <c r="U126" s="14">
        <f t="shared" si="17"/>
        <v>-1.8111569250779125</v>
      </c>
      <c r="V126" s="14">
        <f t="shared" si="18"/>
        <v>-0.90557846253895624</v>
      </c>
      <c r="W126" s="14">
        <f t="shared" si="19"/>
        <v>-1.2734697129454071</v>
      </c>
      <c r="X126" s="14">
        <f t="shared" si="20"/>
        <v>-0.42448990431513567</v>
      </c>
      <c r="Y126" s="12">
        <f t="shared" si="21"/>
        <v>0</v>
      </c>
    </row>
    <row r="127" spans="1:25" x14ac:dyDescent="0.3">
      <c r="A127" s="23"/>
      <c r="B127" s="12">
        <v>43</v>
      </c>
      <c r="C127" s="12">
        <v>6.9</v>
      </c>
      <c r="D127" s="12">
        <v>3.1</v>
      </c>
      <c r="E127" s="12">
        <v>4.9000000000000004</v>
      </c>
      <c r="F127" s="12">
        <v>1.5</v>
      </c>
      <c r="G127" s="12">
        <v>1</v>
      </c>
      <c r="I127" s="13">
        <f>I126-('Konfigurasi Model'!$B$11*T126)</f>
        <v>0.3048646133161137</v>
      </c>
      <c r="J127" s="13">
        <f>J126-('Konfigurasi Model'!$B$11*U126)</f>
        <v>-0.31844957908862676</v>
      </c>
      <c r="K127" s="13">
        <f>K126-('Konfigurasi Model'!$B$11*V126)</f>
        <v>-0.1782202960170452</v>
      </c>
      <c r="L127" s="13">
        <f>L126-('Konfigurasi Model'!$B$11*W126)</f>
        <v>0.54747799619650661</v>
      </c>
      <c r="M127" s="13">
        <f>M126-('Konfigurasi Model'!$B$11*X126)</f>
        <v>0.58710826016203366</v>
      </c>
      <c r="N127" s="13">
        <f t="shared" si="11"/>
        <v>1.1183841715576817</v>
      </c>
      <c r="O127" s="13">
        <f t="shared" si="12"/>
        <v>0.75368887387354722</v>
      </c>
      <c r="P127" s="12">
        <f t="shared" si="13"/>
        <v>1</v>
      </c>
      <c r="Q127" s="13">
        <f t="shared" si="14"/>
        <v>-0.24631112612645278</v>
      </c>
      <c r="R127" s="13">
        <f t="shared" si="15"/>
        <v>6.0669170853681328E-2</v>
      </c>
      <c r="T127" s="14">
        <f t="shared" si="16"/>
        <v>-9.1451358119105833E-2</v>
      </c>
      <c r="U127" s="14">
        <f t="shared" si="17"/>
        <v>-0.63101437102183033</v>
      </c>
      <c r="V127" s="14">
        <f t="shared" si="18"/>
        <v>-0.28349921016922808</v>
      </c>
      <c r="W127" s="14">
        <f t="shared" si="19"/>
        <v>-0.44811165478361864</v>
      </c>
      <c r="X127" s="14">
        <f t="shared" si="20"/>
        <v>-0.13717703717865876</v>
      </c>
      <c r="Y127" s="12">
        <f t="shared" si="21"/>
        <v>1</v>
      </c>
    </row>
    <row r="128" spans="1:25" x14ac:dyDescent="0.3">
      <c r="A128" s="23"/>
      <c r="B128" s="12">
        <v>44</v>
      </c>
      <c r="C128" s="12">
        <v>5.5</v>
      </c>
      <c r="D128" s="12">
        <v>2.2999999999999998</v>
      </c>
      <c r="E128" s="12">
        <v>4</v>
      </c>
      <c r="F128" s="12">
        <v>1.3</v>
      </c>
      <c r="G128" s="12">
        <v>1</v>
      </c>
      <c r="I128" s="13">
        <f>I127-('Konfigurasi Model'!$B$11*T127)</f>
        <v>0.31400974912802426</v>
      </c>
      <c r="J128" s="13">
        <f>J127-('Konfigurasi Model'!$B$11*U127)</f>
        <v>-0.25534814198644373</v>
      </c>
      <c r="K128" s="13">
        <f>K127-('Konfigurasi Model'!$B$11*V127)</f>
        <v>-0.1498703750001224</v>
      </c>
      <c r="L128" s="13">
        <f>L127-('Konfigurasi Model'!$B$11*W127)</f>
        <v>0.59228916167486845</v>
      </c>
      <c r="M128" s="13">
        <f>M127-('Konfigurasi Model'!$B$11*X127)</f>
        <v>0.60082596387989951</v>
      </c>
      <c r="N128" s="13">
        <f t="shared" si="11"/>
        <v>1.7151235054456453</v>
      </c>
      <c r="O128" s="13">
        <f t="shared" si="12"/>
        <v>0.84749964616110129</v>
      </c>
      <c r="P128" s="12">
        <f t="shared" si="13"/>
        <v>1</v>
      </c>
      <c r="Q128" s="13">
        <f t="shared" si="14"/>
        <v>-0.15250035383889871</v>
      </c>
      <c r="R128" s="13">
        <f t="shared" si="15"/>
        <v>2.3256357920989307E-2</v>
      </c>
      <c r="T128" s="14">
        <f t="shared" si="16"/>
        <v>-3.9419510218068728E-2</v>
      </c>
      <c r="U128" s="14">
        <f t="shared" si="17"/>
        <v>-0.21680730619937799</v>
      </c>
      <c r="V128" s="14">
        <f t="shared" si="18"/>
        <v>-9.0664873501558066E-2</v>
      </c>
      <c r="W128" s="14">
        <f t="shared" si="19"/>
        <v>-0.15767804087227491</v>
      </c>
      <c r="X128" s="14">
        <f t="shared" si="20"/>
        <v>-5.1245363283489345E-2</v>
      </c>
      <c r="Y128" s="12">
        <f t="shared" si="21"/>
        <v>1</v>
      </c>
    </row>
    <row r="129" spans="1:25" x14ac:dyDescent="0.3">
      <c r="A129" s="23"/>
      <c r="B129" s="12">
        <v>45</v>
      </c>
      <c r="C129" s="12">
        <v>6.5</v>
      </c>
      <c r="D129" s="12">
        <v>2.8</v>
      </c>
      <c r="E129" s="12">
        <v>4.5999999999999996</v>
      </c>
      <c r="F129" s="12">
        <v>1.5</v>
      </c>
      <c r="G129" s="12">
        <v>1</v>
      </c>
      <c r="I129" s="13">
        <f>I128-('Konfigurasi Model'!$B$11*T128)</f>
        <v>0.31795170014983115</v>
      </c>
      <c r="J129" s="13">
        <f>J128-('Konfigurasi Model'!$B$11*U128)</f>
        <v>-0.23366741136650593</v>
      </c>
      <c r="K129" s="13">
        <f>K128-('Konfigurasi Model'!$B$11*V128)</f>
        <v>-0.1408038876499666</v>
      </c>
      <c r="L129" s="13">
        <f>L128-('Konfigurasi Model'!$B$11*W128)</f>
        <v>0.60805696576209589</v>
      </c>
      <c r="M129" s="13">
        <f>M128-('Konfigurasi Model'!$B$11*X128)</f>
        <v>0.60595050020824848</v>
      </c>
      <c r="N129" s="13">
        <f t="shared" si="11"/>
        <v>2.1108504336656493</v>
      </c>
      <c r="O129" s="13">
        <f t="shared" si="12"/>
        <v>0.89195331906122366</v>
      </c>
      <c r="P129" s="12">
        <f t="shared" si="13"/>
        <v>1</v>
      </c>
      <c r="Q129" s="13">
        <f t="shared" si="14"/>
        <v>-0.10804668093877634</v>
      </c>
      <c r="R129" s="13">
        <f t="shared" si="15"/>
        <v>1.1674085261885734E-2</v>
      </c>
      <c r="T129" s="14">
        <f t="shared" si="16"/>
        <v>-2.082547819268539E-2</v>
      </c>
      <c r="U129" s="14">
        <f t="shared" si="17"/>
        <v>-0.13536560825245503</v>
      </c>
      <c r="V129" s="14">
        <f t="shared" si="18"/>
        <v>-5.8311338939519085E-2</v>
      </c>
      <c r="W129" s="14">
        <f t="shared" si="19"/>
        <v>-9.579719968635278E-2</v>
      </c>
      <c r="X129" s="14">
        <f t="shared" si="20"/>
        <v>-3.1238217289028085E-2</v>
      </c>
      <c r="Y129" s="12">
        <f t="shared" si="21"/>
        <v>1</v>
      </c>
    </row>
    <row r="130" spans="1:25" x14ac:dyDescent="0.3">
      <c r="A130" s="23"/>
      <c r="B130" s="12">
        <v>46</v>
      </c>
      <c r="C130" s="12">
        <v>5.7</v>
      </c>
      <c r="D130" s="12">
        <v>2.8</v>
      </c>
      <c r="E130" s="12">
        <v>4.5</v>
      </c>
      <c r="F130" s="12">
        <v>1.3</v>
      </c>
      <c r="G130" s="12">
        <v>1</v>
      </c>
      <c r="I130" s="13">
        <f>I129-('Konfigurasi Model'!$B$11*T129)</f>
        <v>0.32003424796909968</v>
      </c>
      <c r="J130" s="13">
        <f>J129-('Konfigurasi Model'!$B$11*U129)</f>
        <v>-0.22013085054126041</v>
      </c>
      <c r="K130" s="13">
        <f>K129-('Konfigurasi Model'!$B$11*V129)</f>
        <v>-0.1349727537560147</v>
      </c>
      <c r="L130" s="13">
        <f>L129-('Konfigurasi Model'!$B$11*W129)</f>
        <v>0.61763668573073116</v>
      </c>
      <c r="M130" s="13">
        <f>M129-('Konfigurasi Model'!$B$11*X129)</f>
        <v>0.60907432193715128</v>
      </c>
      <c r="N130" s="13">
        <f t="shared" si="11"/>
        <v>2.258526393673661</v>
      </c>
      <c r="O130" s="13">
        <f t="shared" si="12"/>
        <v>0.90538347106952655</v>
      </c>
      <c r="P130" s="12">
        <f t="shared" si="13"/>
        <v>1</v>
      </c>
      <c r="Q130" s="13">
        <f t="shared" si="14"/>
        <v>-9.4616528930473454E-2</v>
      </c>
      <c r="R130" s="13">
        <f t="shared" si="15"/>
        <v>8.9522875468511197E-3</v>
      </c>
      <c r="T130" s="14">
        <f t="shared" si="16"/>
        <v>-1.6210506346361127E-2</v>
      </c>
      <c r="U130" s="14">
        <f t="shared" si="17"/>
        <v>-9.2399886174258428E-2</v>
      </c>
      <c r="V130" s="14">
        <f t="shared" si="18"/>
        <v>-4.5389417769811154E-2</v>
      </c>
      <c r="W130" s="14">
        <f t="shared" si="19"/>
        <v>-7.2947278558625067E-2</v>
      </c>
      <c r="X130" s="14">
        <f t="shared" si="20"/>
        <v>-2.1073658250269467E-2</v>
      </c>
      <c r="Y130" s="12">
        <f t="shared" si="21"/>
        <v>1</v>
      </c>
    </row>
    <row r="131" spans="1:25" x14ac:dyDescent="0.3">
      <c r="A131" s="23"/>
      <c r="B131" s="12">
        <v>47</v>
      </c>
      <c r="C131" s="12">
        <v>6.3</v>
      </c>
      <c r="D131" s="12">
        <v>3.3</v>
      </c>
      <c r="E131" s="12">
        <v>4.7</v>
      </c>
      <c r="F131" s="12">
        <v>1.6</v>
      </c>
      <c r="G131" s="12">
        <v>1</v>
      </c>
      <c r="I131" s="13">
        <f>I130-('Konfigurasi Model'!$B$11*T130)</f>
        <v>0.32165529860373582</v>
      </c>
      <c r="J131" s="13">
        <f>J130-('Konfigurasi Model'!$B$11*U130)</f>
        <v>-0.21089086192383458</v>
      </c>
      <c r="K131" s="13">
        <f>K130-('Konfigurasi Model'!$B$11*V130)</f>
        <v>-0.13043381197903359</v>
      </c>
      <c r="L131" s="13">
        <f>L130-('Konfigurasi Model'!$B$11*W130)</f>
        <v>0.62493141358659365</v>
      </c>
      <c r="M131" s="13">
        <f>M130-('Konfigurasi Model'!$B$11*X130)</f>
        <v>0.61118168776217818</v>
      </c>
      <c r="N131" s="13">
        <f t="shared" si="11"/>
        <v>2.4776796332292421</v>
      </c>
      <c r="O131" s="13">
        <f t="shared" si="12"/>
        <v>0.92256219054026944</v>
      </c>
      <c r="P131" s="12">
        <f t="shared" si="13"/>
        <v>1</v>
      </c>
      <c r="Q131" s="13">
        <f t="shared" si="14"/>
        <v>-7.7437809459730556E-2</v>
      </c>
      <c r="R131" s="13">
        <f t="shared" si="15"/>
        <v>5.9966143339215353E-3</v>
      </c>
      <c r="T131" s="14">
        <f t="shared" si="16"/>
        <v>-1.106449931145566E-2</v>
      </c>
      <c r="U131" s="14">
        <f t="shared" si="17"/>
        <v>-6.9706345662170655E-2</v>
      </c>
      <c r="V131" s="14">
        <f t="shared" si="18"/>
        <v>-3.6512847727803679E-2</v>
      </c>
      <c r="W131" s="14">
        <f t="shared" si="19"/>
        <v>-5.2003146763841601E-2</v>
      </c>
      <c r="X131" s="14">
        <f t="shared" si="20"/>
        <v>-1.7703198898329057E-2</v>
      </c>
      <c r="Y131" s="12">
        <f t="shared" si="21"/>
        <v>1</v>
      </c>
    </row>
    <row r="132" spans="1:25" x14ac:dyDescent="0.3">
      <c r="A132" s="23"/>
      <c r="B132" s="12">
        <v>48</v>
      </c>
      <c r="C132" s="12">
        <v>4.9000000000000004</v>
      </c>
      <c r="D132" s="12">
        <v>2.4</v>
      </c>
      <c r="E132" s="12">
        <v>3.3</v>
      </c>
      <c r="F132" s="12">
        <v>1</v>
      </c>
      <c r="G132" s="12">
        <v>1</v>
      </c>
      <c r="I132" s="13">
        <f>I131-('Konfigurasi Model'!$B$11*T131)</f>
        <v>0.32276174853488138</v>
      </c>
      <c r="J132" s="13">
        <f>J131-('Konfigurasi Model'!$B$11*U131)</f>
        <v>-0.2039202273576175</v>
      </c>
      <c r="K132" s="13">
        <f>K131-('Konfigurasi Model'!$B$11*V131)</f>
        <v>-0.12678252720625321</v>
      </c>
      <c r="L132" s="13">
        <f>L131-('Konfigurasi Model'!$B$11*W131)</f>
        <v>0.63013172826297781</v>
      </c>
      <c r="M132" s="13">
        <f>M131-('Konfigurasi Model'!$B$11*X131)</f>
        <v>0.61295200765201108</v>
      </c>
      <c r="N132" s="13">
        <f t="shared" si="11"/>
        <v>1.7116612801073856</v>
      </c>
      <c r="O132" s="13">
        <f t="shared" si="12"/>
        <v>0.84705163575993581</v>
      </c>
      <c r="P132" s="12">
        <f t="shared" si="13"/>
        <v>1</v>
      </c>
      <c r="Q132" s="13">
        <f t="shared" si="14"/>
        <v>-0.15294836424006419</v>
      </c>
      <c r="R132" s="13">
        <f t="shared" si="15"/>
        <v>2.3393202123711349E-2</v>
      </c>
      <c r="T132" s="14">
        <f t="shared" si="16"/>
        <v>-3.9630500249105007E-2</v>
      </c>
      <c r="U132" s="14">
        <f t="shared" si="17"/>
        <v>-0.19418945122061454</v>
      </c>
      <c r="V132" s="14">
        <f t="shared" si="18"/>
        <v>-9.5113200597852013E-2</v>
      </c>
      <c r="W132" s="14">
        <f t="shared" si="19"/>
        <v>-0.13078065082204651</v>
      </c>
      <c r="X132" s="14">
        <f t="shared" si="20"/>
        <v>-3.9630500249105007E-2</v>
      </c>
      <c r="Y132" s="12">
        <f t="shared" si="21"/>
        <v>1</v>
      </c>
    </row>
    <row r="133" spans="1:25" x14ac:dyDescent="0.3">
      <c r="A133" s="23"/>
      <c r="B133" s="12">
        <v>49</v>
      </c>
      <c r="C133" s="12">
        <v>6.6</v>
      </c>
      <c r="D133" s="12">
        <v>2.9</v>
      </c>
      <c r="E133" s="12">
        <v>4.5999999999999996</v>
      </c>
      <c r="F133" s="12">
        <v>1.3</v>
      </c>
      <c r="G133" s="12">
        <v>1</v>
      </c>
      <c r="I133" s="13">
        <f>I132-('Konfigurasi Model'!$B$11*T132)</f>
        <v>0.32672479855979186</v>
      </c>
      <c r="J133" s="13">
        <f>J132-('Konfigurasi Model'!$B$11*U132)</f>
        <v>-0.18450128223555604</v>
      </c>
      <c r="K133" s="13">
        <f>K132-('Konfigurasi Model'!$B$11*V132)</f>
        <v>-0.11727120714646802</v>
      </c>
      <c r="L133" s="13">
        <f>L132-('Konfigurasi Model'!$B$11*W132)</f>
        <v>0.64320979334518247</v>
      </c>
      <c r="M133" s="13">
        <f>M132-('Konfigurasi Model'!$B$11*X132)</f>
        <v>0.61691505767692156</v>
      </c>
      <c r="N133" s="13">
        <f t="shared" ref="N133:N196" si="22">I133+J133*C133+K133*D133+L133*E133+M133*F133</f>
        <v>2.5296844594482022</v>
      </c>
      <c r="O133" s="13">
        <f t="shared" ref="O133:O196" si="23">1/(1+EXP(-N133))</f>
        <v>0.92619678711380238</v>
      </c>
      <c r="P133" s="12">
        <f t="shared" ref="P133:P196" si="24">IF(O133&gt;0.5,1,0)</f>
        <v>1</v>
      </c>
      <c r="Q133" s="13">
        <f t="shared" ref="Q133:Q196" si="25">O133-G133</f>
        <v>-7.3803212886197622E-2</v>
      </c>
      <c r="R133" s="13">
        <f t="shared" ref="R133:R196" si="26">Q133^2</f>
        <v>5.4469142323254069E-3</v>
      </c>
      <c r="T133" s="14">
        <f t="shared" ref="T133:T196" si="27">2*(O133-G133)*(1-O133)*O133</f>
        <v>-1.0089828923328471E-2</v>
      </c>
      <c r="U133" s="14">
        <f t="shared" ref="U133:U196" si="28">2*(O133-G133)*(1-O133)*O133*C133</f>
        <v>-6.6592870893967912E-2</v>
      </c>
      <c r="V133" s="14">
        <f t="shared" ref="V133:V196" si="29">2*(O133-G133)*(1-O133)*O133*D133</f>
        <v>-2.9260503877652565E-2</v>
      </c>
      <c r="W133" s="14">
        <f t="shared" ref="W133:W196" si="30">2*(O133-G133)*(1-O133)*O133*E133</f>
        <v>-4.6413213047310962E-2</v>
      </c>
      <c r="X133" s="14">
        <f t="shared" ref="X133:X196" si="31">2*(O133-G133)*(1-O133)*O133*F133</f>
        <v>-1.3116777600327013E-2</v>
      </c>
      <c r="Y133" s="12">
        <f t="shared" ref="Y133:Y196" si="32">IF(P133=G133,1,0)</f>
        <v>1</v>
      </c>
    </row>
    <row r="134" spans="1:25" x14ac:dyDescent="0.3">
      <c r="A134" s="23"/>
      <c r="B134" s="12">
        <v>50</v>
      </c>
      <c r="C134" s="12">
        <v>5.2</v>
      </c>
      <c r="D134" s="12">
        <v>2.7</v>
      </c>
      <c r="E134" s="12">
        <v>3.9</v>
      </c>
      <c r="F134" s="12">
        <v>1.4</v>
      </c>
      <c r="G134" s="12">
        <v>1</v>
      </c>
      <c r="I134" s="13">
        <f>I133-('Konfigurasi Model'!$B$11*T133)</f>
        <v>0.32773378145212473</v>
      </c>
      <c r="J134" s="13">
        <f>J133-('Konfigurasi Model'!$B$11*U133)</f>
        <v>-0.17784199514615925</v>
      </c>
      <c r="K134" s="13">
        <f>K133-('Konfigurasi Model'!$B$11*V133)</f>
        <v>-0.11434515675870277</v>
      </c>
      <c r="L134" s="13">
        <f>L133-('Konfigurasi Model'!$B$11*W133)</f>
        <v>0.64785111464991352</v>
      </c>
      <c r="M134" s="13">
        <f>M133-('Konfigurasi Model'!$B$11*X133)</f>
        <v>0.61822673543695428</v>
      </c>
      <c r="N134" s="13">
        <f t="shared" si="22"/>
        <v>2.4863602601899975</v>
      </c>
      <c r="O134" s="13">
        <f t="shared" si="23"/>
        <v>0.92318007456151674</v>
      </c>
      <c r="P134" s="12">
        <f t="shared" si="24"/>
        <v>1</v>
      </c>
      <c r="Q134" s="13">
        <f t="shared" si="25"/>
        <v>-7.6819925438483261E-2</v>
      </c>
      <c r="R134" s="13">
        <f t="shared" si="26"/>
        <v>5.9013009443741275E-3</v>
      </c>
      <c r="T134" s="14">
        <f t="shared" si="27"/>
        <v>-1.0895926891674512E-2</v>
      </c>
      <c r="U134" s="14">
        <f t="shared" si="28"/>
        <v>-5.6658819836707466E-2</v>
      </c>
      <c r="V134" s="14">
        <f t="shared" si="29"/>
        <v>-2.9419002607521186E-2</v>
      </c>
      <c r="W134" s="14">
        <f t="shared" si="30"/>
        <v>-4.2494114877530596E-2</v>
      </c>
      <c r="X134" s="14">
        <f t="shared" si="31"/>
        <v>-1.5254297648344316E-2</v>
      </c>
      <c r="Y134" s="12">
        <f t="shared" si="32"/>
        <v>1</v>
      </c>
    </row>
    <row r="135" spans="1:25" x14ac:dyDescent="0.3">
      <c r="A135" s="23"/>
      <c r="B135" s="12">
        <v>51</v>
      </c>
      <c r="C135" s="12">
        <v>5</v>
      </c>
      <c r="D135" s="12">
        <v>2</v>
      </c>
      <c r="E135" s="12">
        <v>3.5</v>
      </c>
      <c r="F135" s="12">
        <v>1</v>
      </c>
      <c r="G135" s="12">
        <v>1</v>
      </c>
      <c r="I135" s="13">
        <f>I134-('Konfigurasi Model'!$B$11*T134)</f>
        <v>0.3288233741412922</v>
      </c>
      <c r="J135" s="13">
        <f>J134-('Konfigurasi Model'!$B$11*U134)</f>
        <v>-0.17217611316248851</v>
      </c>
      <c r="K135" s="13">
        <f>K134-('Konfigurasi Model'!$B$11*V134)</f>
        <v>-0.11140325649795066</v>
      </c>
      <c r="L135" s="13">
        <f>L134-('Konfigurasi Model'!$B$11*W134)</f>
        <v>0.65210052613766656</v>
      </c>
      <c r="M135" s="13">
        <f>M134-('Konfigurasi Model'!$B$11*X134)</f>
        <v>0.61975216520178866</v>
      </c>
      <c r="N135" s="13">
        <f t="shared" si="22"/>
        <v>2.14724030201657</v>
      </c>
      <c r="O135" s="13">
        <f t="shared" si="23"/>
        <v>0.89541061180546599</v>
      </c>
      <c r="P135" s="12">
        <f t="shared" si="24"/>
        <v>1</v>
      </c>
      <c r="Q135" s="13">
        <f t="shared" si="25"/>
        <v>-0.10458938819453401</v>
      </c>
      <c r="R135" s="13">
        <f t="shared" si="26"/>
        <v>1.0938940122906929E-2</v>
      </c>
      <c r="T135" s="14">
        <f t="shared" si="27"/>
        <v>-1.9589686135910906E-2</v>
      </c>
      <c r="U135" s="14">
        <f t="shared" si="28"/>
        <v>-9.7948430679554527E-2</v>
      </c>
      <c r="V135" s="14">
        <f t="shared" si="29"/>
        <v>-3.9179372271821812E-2</v>
      </c>
      <c r="W135" s="14">
        <f t="shared" si="30"/>
        <v>-6.8563901475688166E-2</v>
      </c>
      <c r="X135" s="14">
        <f t="shared" si="31"/>
        <v>-1.9589686135910906E-2</v>
      </c>
      <c r="Y135" s="12">
        <f t="shared" si="32"/>
        <v>1</v>
      </c>
    </row>
    <row r="136" spans="1:25" x14ac:dyDescent="0.3">
      <c r="A136" s="23"/>
      <c r="B136" s="12">
        <v>52</v>
      </c>
      <c r="C136" s="12">
        <v>5.9</v>
      </c>
      <c r="D136" s="12">
        <v>3</v>
      </c>
      <c r="E136" s="12">
        <v>4.2</v>
      </c>
      <c r="F136" s="12">
        <v>1.5</v>
      </c>
      <c r="G136" s="12">
        <v>1</v>
      </c>
      <c r="I136" s="13">
        <f>I135-('Konfigurasi Model'!$B$11*T135)</f>
        <v>0.33078234275488327</v>
      </c>
      <c r="J136" s="13">
        <f>J135-('Konfigurasi Model'!$B$11*U135)</f>
        <v>-0.16238127009453307</v>
      </c>
      <c r="K136" s="13">
        <f>K135-('Konfigurasi Model'!$B$11*V135)</f>
        <v>-0.10748531927076847</v>
      </c>
      <c r="L136" s="13">
        <f>L135-('Konfigurasi Model'!$B$11*W135)</f>
        <v>0.65895691628523534</v>
      </c>
      <c r="M136" s="13">
        <f>M135-('Konfigurasi Model'!$B$11*X135)</f>
        <v>0.62171113381537979</v>
      </c>
      <c r="N136" s="13">
        <f t="shared" si="22"/>
        <v>2.7504626405058912</v>
      </c>
      <c r="O136" s="13">
        <f t="shared" si="23"/>
        <v>0.93993947270734557</v>
      </c>
      <c r="P136" s="12">
        <f t="shared" si="24"/>
        <v>1</v>
      </c>
      <c r="Q136" s="13">
        <f t="shared" si="25"/>
        <v>-6.0060527292654431E-2</v>
      </c>
      <c r="R136" s="13">
        <f t="shared" si="26"/>
        <v>3.6072669386716877E-3</v>
      </c>
      <c r="T136" s="14">
        <f t="shared" si="27"/>
        <v>-6.7812251684994133E-3</v>
      </c>
      <c r="U136" s="14">
        <f t="shared" si="28"/>
        <v>-4.0009228494146544E-2</v>
      </c>
      <c r="V136" s="14">
        <f t="shared" si="29"/>
        <v>-2.0343675505498239E-2</v>
      </c>
      <c r="W136" s="14">
        <f t="shared" si="30"/>
        <v>-2.8481145707697535E-2</v>
      </c>
      <c r="X136" s="14">
        <f t="shared" si="31"/>
        <v>-1.017183775274912E-2</v>
      </c>
      <c r="Y136" s="12">
        <f t="shared" si="32"/>
        <v>1</v>
      </c>
    </row>
    <row r="137" spans="1:25" x14ac:dyDescent="0.3">
      <c r="A137" s="23"/>
      <c r="B137" s="12">
        <v>53</v>
      </c>
      <c r="C137" s="12">
        <v>6</v>
      </c>
      <c r="D137" s="12">
        <v>2.2000000000000002</v>
      </c>
      <c r="E137" s="12">
        <v>4</v>
      </c>
      <c r="F137" s="12">
        <v>1</v>
      </c>
      <c r="G137" s="12">
        <v>1</v>
      </c>
      <c r="I137" s="13">
        <f>I136-('Konfigurasi Model'!$B$11*T136)</f>
        <v>0.33146046527173323</v>
      </c>
      <c r="J137" s="13">
        <f>J136-('Konfigurasi Model'!$B$11*U136)</f>
        <v>-0.1583803472451184</v>
      </c>
      <c r="K137" s="13">
        <f>K136-('Konfigurasi Model'!$B$11*V136)</f>
        <v>-0.10545095172021865</v>
      </c>
      <c r="L137" s="13">
        <f>L136-('Konfigurasi Model'!$B$11*W136)</f>
        <v>0.66180503085600506</v>
      </c>
      <c r="M137" s="13">
        <f>M136-('Konfigurasi Model'!$B$11*X136)</f>
        <v>0.62272831759065472</v>
      </c>
      <c r="N137" s="13">
        <f t="shared" si="22"/>
        <v>2.4191347290312168</v>
      </c>
      <c r="O137" s="13">
        <f t="shared" si="23"/>
        <v>0.91827483276812882</v>
      </c>
      <c r="P137" s="12">
        <f t="shared" si="24"/>
        <v>1</v>
      </c>
      <c r="Q137" s="13">
        <f t="shared" si="25"/>
        <v>-8.1725167231871176E-2</v>
      </c>
      <c r="R137" s="13">
        <f t="shared" si="26"/>
        <v>6.6790029590773105E-3</v>
      </c>
      <c r="T137" s="14">
        <f t="shared" si="27"/>
        <v>-1.2266320650609109E-2</v>
      </c>
      <c r="U137" s="14">
        <f t="shared" si="28"/>
        <v>-7.3597923903654661E-2</v>
      </c>
      <c r="V137" s="14">
        <f t="shared" si="29"/>
        <v>-2.6985905431340041E-2</v>
      </c>
      <c r="W137" s="14">
        <f t="shared" si="30"/>
        <v>-4.9065282602436436E-2</v>
      </c>
      <c r="X137" s="14">
        <f t="shared" si="31"/>
        <v>-1.2266320650609109E-2</v>
      </c>
      <c r="Y137" s="12">
        <f t="shared" si="32"/>
        <v>1</v>
      </c>
    </row>
    <row r="138" spans="1:25" x14ac:dyDescent="0.3">
      <c r="A138" s="23"/>
      <c r="B138" s="12">
        <v>54</v>
      </c>
      <c r="C138" s="12">
        <v>6.1</v>
      </c>
      <c r="D138" s="12">
        <v>2.9</v>
      </c>
      <c r="E138" s="12">
        <v>4.7</v>
      </c>
      <c r="F138" s="12">
        <v>1.4</v>
      </c>
      <c r="G138" s="12">
        <v>1</v>
      </c>
      <c r="I138" s="13">
        <f>I137-('Konfigurasi Model'!$B$11*T137)</f>
        <v>0.33268709733679414</v>
      </c>
      <c r="J138" s="13">
        <f>J137-('Konfigurasi Model'!$B$11*U137)</f>
        <v>-0.15102055485475294</v>
      </c>
      <c r="K138" s="13">
        <f>K137-('Konfigurasi Model'!$B$11*V137)</f>
        <v>-0.10275236117708464</v>
      </c>
      <c r="L138" s="13">
        <f>L137-('Konfigurasi Model'!$B$11*W137)</f>
        <v>0.66671155911624869</v>
      </c>
      <c r="M138" s="13">
        <f>M137-('Konfigurasi Model'!$B$11*X137)</f>
        <v>0.62395494965571563</v>
      </c>
      <c r="N138" s="13">
        <f t="shared" si="22"/>
        <v>3.1205611226736263</v>
      </c>
      <c r="O138" s="13">
        <f t="shared" si="23"/>
        <v>0.95773294854619295</v>
      </c>
      <c r="P138" s="12">
        <f t="shared" si="24"/>
        <v>1</v>
      </c>
      <c r="Q138" s="13">
        <f t="shared" si="25"/>
        <v>-4.2267051453807047E-2</v>
      </c>
      <c r="R138" s="13">
        <f t="shared" si="26"/>
        <v>1.7865036385987724E-3</v>
      </c>
      <c r="T138" s="14">
        <f t="shared" si="27"/>
        <v>-3.4219867947674091E-3</v>
      </c>
      <c r="U138" s="14">
        <f t="shared" si="28"/>
        <v>-2.0874119448081194E-2</v>
      </c>
      <c r="V138" s="14">
        <f t="shared" si="29"/>
        <v>-9.9237617048254859E-3</v>
      </c>
      <c r="W138" s="14">
        <f t="shared" si="30"/>
        <v>-1.6083337935406825E-2</v>
      </c>
      <c r="X138" s="14">
        <f t="shared" si="31"/>
        <v>-4.7907815126743726E-3</v>
      </c>
      <c r="Y138" s="12">
        <f t="shared" si="32"/>
        <v>1</v>
      </c>
    </row>
    <row r="139" spans="1:25" x14ac:dyDescent="0.3">
      <c r="A139" s="23"/>
      <c r="B139" s="12">
        <v>55</v>
      </c>
      <c r="C139" s="12">
        <v>5.6</v>
      </c>
      <c r="D139" s="12">
        <v>2.9</v>
      </c>
      <c r="E139" s="12">
        <v>3.6</v>
      </c>
      <c r="F139" s="12">
        <v>1.3</v>
      </c>
      <c r="G139" s="12">
        <v>1</v>
      </c>
      <c r="I139" s="13">
        <f>I138-('Konfigurasi Model'!$B$11*T138)</f>
        <v>0.3330292960162709</v>
      </c>
      <c r="J139" s="13">
        <f>J138-('Konfigurasi Model'!$B$11*U138)</f>
        <v>-0.1489331429099448</v>
      </c>
      <c r="K139" s="13">
        <f>K138-('Konfigurasi Model'!$B$11*V138)</f>
        <v>-0.10175998500660209</v>
      </c>
      <c r="L139" s="13">
        <f>L138-('Konfigurasi Model'!$B$11*W138)</f>
        <v>0.66831989290978933</v>
      </c>
      <c r="M139" s="13">
        <f>M138-('Konfigurasi Model'!$B$11*X138)</f>
        <v>0.62443402780698309</v>
      </c>
      <c r="N139" s="13">
        <f t="shared" si="22"/>
        <v>2.4216155898257536</v>
      </c>
      <c r="O139" s="13">
        <f t="shared" si="23"/>
        <v>0.91846081876520991</v>
      </c>
      <c r="P139" s="12">
        <f t="shared" si="24"/>
        <v>1</v>
      </c>
      <c r="Q139" s="13">
        <f t="shared" si="25"/>
        <v>-8.1539181234790092E-2</v>
      </c>
      <c r="R139" s="13">
        <f t="shared" si="26"/>
        <v>6.6486380764399448E-3</v>
      </c>
      <c r="T139" s="14">
        <f t="shared" si="27"/>
        <v>-1.2213027142721164E-2</v>
      </c>
      <c r="U139" s="14">
        <f t="shared" si="28"/>
        <v>-6.8392951999238519E-2</v>
      </c>
      <c r="V139" s="14">
        <f t="shared" si="29"/>
        <v>-3.5417778713891374E-2</v>
      </c>
      <c r="W139" s="14">
        <f t="shared" si="30"/>
        <v>-4.3966897713796194E-2</v>
      </c>
      <c r="X139" s="14">
        <f t="shared" si="31"/>
        <v>-1.5876935285537516E-2</v>
      </c>
      <c r="Y139" s="12">
        <f t="shared" si="32"/>
        <v>1</v>
      </c>
    </row>
    <row r="140" spans="1:25" x14ac:dyDescent="0.3">
      <c r="A140" s="23"/>
      <c r="B140" s="12">
        <v>56</v>
      </c>
      <c r="C140" s="12">
        <v>6.7</v>
      </c>
      <c r="D140" s="12">
        <v>3.1</v>
      </c>
      <c r="E140" s="12">
        <v>4.4000000000000004</v>
      </c>
      <c r="F140" s="12">
        <v>1.4</v>
      </c>
      <c r="G140" s="12">
        <v>1</v>
      </c>
      <c r="I140" s="13">
        <f>I139-('Konfigurasi Model'!$B$11*T139)</f>
        <v>0.33425059873054302</v>
      </c>
      <c r="J140" s="13">
        <f>J139-('Konfigurasi Model'!$B$11*U139)</f>
        <v>-0.14209384771002095</v>
      </c>
      <c r="K140" s="13">
        <f>K139-('Konfigurasi Model'!$B$11*V139)</f>
        <v>-9.8218207135212954E-2</v>
      </c>
      <c r="L140" s="13">
        <f>L139-('Konfigurasi Model'!$B$11*W139)</f>
        <v>0.67271658268116896</v>
      </c>
      <c r="M140" s="13">
        <f>M139-('Konfigurasi Model'!$B$11*X139)</f>
        <v>0.6260217213355368</v>
      </c>
      <c r="N140" s="13">
        <f t="shared" si="22"/>
        <v>2.9141287506211375</v>
      </c>
      <c r="O140" s="13">
        <f t="shared" si="23"/>
        <v>0.94854046845224915</v>
      </c>
      <c r="P140" s="12">
        <f t="shared" si="24"/>
        <v>1</v>
      </c>
      <c r="Q140" s="13">
        <f t="shared" si="25"/>
        <v>-5.1459531547750847E-2</v>
      </c>
      <c r="R140" s="13">
        <f t="shared" si="26"/>
        <v>2.6480833871139649E-3</v>
      </c>
      <c r="T140" s="14">
        <f t="shared" si="27"/>
        <v>-5.0236285130273979E-3</v>
      </c>
      <c r="U140" s="14">
        <f t="shared" si="28"/>
        <v>-3.3658311037283568E-2</v>
      </c>
      <c r="V140" s="14">
        <f t="shared" si="29"/>
        <v>-1.5573248390384934E-2</v>
      </c>
      <c r="W140" s="14">
        <f t="shared" si="30"/>
        <v>-2.2103965457320553E-2</v>
      </c>
      <c r="X140" s="14">
        <f t="shared" si="31"/>
        <v>-7.0330799182383563E-3</v>
      </c>
      <c r="Y140" s="12">
        <f t="shared" si="32"/>
        <v>1</v>
      </c>
    </row>
    <row r="141" spans="1:25" x14ac:dyDescent="0.3">
      <c r="A141" s="23"/>
      <c r="B141" s="12">
        <v>57</v>
      </c>
      <c r="C141" s="12">
        <v>5.6</v>
      </c>
      <c r="D141" s="12">
        <v>3</v>
      </c>
      <c r="E141" s="12">
        <v>4.5</v>
      </c>
      <c r="F141" s="12">
        <v>1.5</v>
      </c>
      <c r="G141" s="12">
        <v>1</v>
      </c>
      <c r="I141" s="13">
        <f>I140-('Konfigurasi Model'!$B$11*T140)</f>
        <v>0.33475296158184575</v>
      </c>
      <c r="J141" s="13">
        <f>J140-('Konfigurasi Model'!$B$11*U140)</f>
        <v>-0.13872801660629261</v>
      </c>
      <c r="K141" s="13">
        <f>K140-('Konfigurasi Model'!$B$11*V140)</f>
        <v>-9.6660882296174463E-2</v>
      </c>
      <c r="L141" s="13">
        <f>L140-('Konfigurasi Model'!$B$11*W140)</f>
        <v>0.67492697922690104</v>
      </c>
      <c r="M141" s="13">
        <f>M140-('Konfigurasi Model'!$B$11*X140)</f>
        <v>0.62672502932736063</v>
      </c>
      <c r="N141" s="13">
        <f t="shared" si="22"/>
        <v>3.24515237221018</v>
      </c>
      <c r="O141" s="13">
        <f t="shared" si="23"/>
        <v>0.96249852875580877</v>
      </c>
      <c r="P141" s="12">
        <f t="shared" si="24"/>
        <v>1</v>
      </c>
      <c r="Q141" s="13">
        <f t="shared" si="25"/>
        <v>-3.7501471244191231E-2</v>
      </c>
      <c r="R141" s="13">
        <f t="shared" si="26"/>
        <v>1.4063603454789017E-3</v>
      </c>
      <c r="T141" s="14">
        <f t="shared" si="27"/>
        <v>-2.7072395268479075E-3</v>
      </c>
      <c r="U141" s="14">
        <f t="shared" si="28"/>
        <v>-1.5160541350348281E-2</v>
      </c>
      <c r="V141" s="14">
        <f t="shared" si="29"/>
        <v>-8.1217185805437225E-3</v>
      </c>
      <c r="W141" s="14">
        <f t="shared" si="30"/>
        <v>-1.2182577870815583E-2</v>
      </c>
      <c r="X141" s="14">
        <f t="shared" si="31"/>
        <v>-4.0608592902718612E-3</v>
      </c>
      <c r="Y141" s="12">
        <f t="shared" si="32"/>
        <v>1</v>
      </c>
    </row>
    <row r="142" spans="1:25" x14ac:dyDescent="0.3">
      <c r="A142" s="23"/>
      <c r="B142" s="12">
        <v>58</v>
      </c>
      <c r="C142" s="12">
        <v>5.8</v>
      </c>
      <c r="D142" s="12">
        <v>2.7</v>
      </c>
      <c r="E142" s="12">
        <v>4.0999999999999996</v>
      </c>
      <c r="F142" s="12">
        <v>1</v>
      </c>
      <c r="G142" s="12">
        <v>1</v>
      </c>
      <c r="I142" s="13">
        <f>I141-('Konfigurasi Model'!$B$11*T141)</f>
        <v>0.33502368553453055</v>
      </c>
      <c r="J142" s="13">
        <f>J141-('Konfigurasi Model'!$B$11*U141)</f>
        <v>-0.13721196247125778</v>
      </c>
      <c r="K142" s="13">
        <f>K141-('Konfigurasi Model'!$B$11*V141)</f>
        <v>-9.5848710438120086E-2</v>
      </c>
      <c r="L142" s="13">
        <f>L141-('Konfigurasi Model'!$B$11*W141)</f>
        <v>0.67614523701398255</v>
      </c>
      <c r="M142" s="13">
        <f>M141-('Konfigurasi Model'!$B$11*X141)</f>
        <v>0.62713111525638776</v>
      </c>
      <c r="N142" s="13">
        <f t="shared" si="22"/>
        <v>2.6797293720320274</v>
      </c>
      <c r="O142" s="13">
        <f t="shared" si="23"/>
        <v>0.93581987131465472</v>
      </c>
      <c r="P142" s="12">
        <f t="shared" si="24"/>
        <v>1</v>
      </c>
      <c r="Q142" s="13">
        <f t="shared" si="25"/>
        <v>-6.4180128685345283E-2</v>
      </c>
      <c r="R142" s="13">
        <f t="shared" si="26"/>
        <v>4.1190889180674805E-3</v>
      </c>
      <c r="T142" s="14">
        <f t="shared" si="27"/>
        <v>-7.7094505224790597E-3</v>
      </c>
      <c r="U142" s="14">
        <f t="shared" si="28"/>
        <v>-4.4714813030378546E-2</v>
      </c>
      <c r="V142" s="14">
        <f t="shared" si="29"/>
        <v>-2.0815516410693461E-2</v>
      </c>
      <c r="W142" s="14">
        <f t="shared" si="30"/>
        <v>-3.1608747142164141E-2</v>
      </c>
      <c r="X142" s="14">
        <f t="shared" si="31"/>
        <v>-7.7094505224790597E-3</v>
      </c>
      <c r="Y142" s="12">
        <f t="shared" si="32"/>
        <v>1</v>
      </c>
    </row>
    <row r="143" spans="1:25" x14ac:dyDescent="0.3">
      <c r="A143" s="23"/>
      <c r="B143" s="12">
        <v>59</v>
      </c>
      <c r="C143" s="12">
        <v>6.2</v>
      </c>
      <c r="D143" s="12">
        <v>2.2000000000000002</v>
      </c>
      <c r="E143" s="12">
        <v>4.5</v>
      </c>
      <c r="F143" s="12">
        <v>1.5</v>
      </c>
      <c r="G143" s="12">
        <v>1</v>
      </c>
      <c r="I143" s="13">
        <f>I142-('Konfigurasi Model'!$B$11*T142)</f>
        <v>0.33579463058677844</v>
      </c>
      <c r="J143" s="13">
        <f>J142-('Konfigurasi Model'!$B$11*U142)</f>
        <v>-0.13274048116821993</v>
      </c>
      <c r="K143" s="13">
        <f>K142-('Konfigurasi Model'!$B$11*V142)</f>
        <v>-9.3767158797050734E-2</v>
      </c>
      <c r="L143" s="13">
        <f>L142-('Konfigurasi Model'!$B$11*W142)</f>
        <v>0.67930611172819899</v>
      </c>
      <c r="M143" s="13">
        <f>M142-('Konfigurasi Model'!$B$11*X142)</f>
        <v>0.62790206030863571</v>
      </c>
      <c r="N143" s="13">
        <f t="shared" si="22"/>
        <v>3.305246491230152</v>
      </c>
      <c r="O143" s="13">
        <f t="shared" si="23"/>
        <v>0.96460835832328828</v>
      </c>
      <c r="P143" s="12">
        <f t="shared" si="24"/>
        <v>1</v>
      </c>
      <c r="Q143" s="13">
        <f t="shared" si="25"/>
        <v>-3.5391641676711716E-2</v>
      </c>
      <c r="R143" s="13">
        <f t="shared" si="26"/>
        <v>1.2525683005727578E-3</v>
      </c>
      <c r="T143" s="14">
        <f t="shared" si="27"/>
        <v>-2.416475704206558E-3</v>
      </c>
      <c r="U143" s="14">
        <f t="shared" si="28"/>
        <v>-1.4982149366080661E-2</v>
      </c>
      <c r="V143" s="14">
        <f t="shared" si="29"/>
        <v>-5.3162465492544277E-3</v>
      </c>
      <c r="W143" s="14">
        <f t="shared" si="30"/>
        <v>-1.0874140668929512E-2</v>
      </c>
      <c r="X143" s="14">
        <f t="shared" si="31"/>
        <v>-3.6247135563098371E-3</v>
      </c>
      <c r="Y143" s="12">
        <f t="shared" si="32"/>
        <v>1</v>
      </c>
    </row>
    <row r="144" spans="1:25" x14ac:dyDescent="0.3">
      <c r="A144" s="23"/>
      <c r="B144" s="12">
        <v>60</v>
      </c>
      <c r="C144" s="12">
        <v>5.6</v>
      </c>
      <c r="D144" s="12">
        <v>2.5</v>
      </c>
      <c r="E144" s="12">
        <v>3.9</v>
      </c>
      <c r="F144" s="12">
        <v>1.1000000000000001</v>
      </c>
      <c r="G144" s="12">
        <v>1</v>
      </c>
      <c r="I144" s="13">
        <f>I143-('Konfigurasi Model'!$B$11*T143)</f>
        <v>0.33603627815719911</v>
      </c>
      <c r="J144" s="13">
        <f>J143-('Konfigurasi Model'!$B$11*U143)</f>
        <v>-0.13124226623161186</v>
      </c>
      <c r="K144" s="13">
        <f>K143-('Konfigurasi Model'!$B$11*V143)</f>
        <v>-9.3235534142125293E-2</v>
      </c>
      <c r="L144" s="13">
        <f>L143-('Konfigurasi Model'!$B$11*W143)</f>
        <v>0.68039352579509194</v>
      </c>
      <c r="M144" s="13">
        <f>M143-('Konfigurasi Model'!$B$11*X143)</f>
        <v>0.62826453166426666</v>
      </c>
      <c r="N144" s="13">
        <f t="shared" si="22"/>
        <v>2.7126164873364114</v>
      </c>
      <c r="O144" s="13">
        <f t="shared" si="23"/>
        <v>0.93776702192694794</v>
      </c>
      <c r="P144" s="12">
        <f t="shared" si="24"/>
        <v>1</v>
      </c>
      <c r="Q144" s="13">
        <f t="shared" si="25"/>
        <v>-6.2232978073052059E-2</v>
      </c>
      <c r="R144" s="13">
        <f t="shared" si="26"/>
        <v>3.8729435598409785E-3</v>
      </c>
      <c r="T144" s="14">
        <f t="shared" si="27"/>
        <v>-7.2638374964064537E-3</v>
      </c>
      <c r="U144" s="14">
        <f t="shared" si="28"/>
        <v>-4.0677489979876136E-2</v>
      </c>
      <c r="V144" s="14">
        <f t="shared" si="29"/>
        <v>-1.8159593741016136E-2</v>
      </c>
      <c r="W144" s="14">
        <f t="shared" si="30"/>
        <v>-2.8328966235985169E-2</v>
      </c>
      <c r="X144" s="14">
        <f t="shared" si="31"/>
        <v>-7.9902212460470998E-3</v>
      </c>
      <c r="Y144" s="12">
        <f t="shared" si="32"/>
        <v>1</v>
      </c>
    </row>
    <row r="145" spans="1:25" x14ac:dyDescent="0.3">
      <c r="A145" s="23"/>
      <c r="B145" s="12">
        <v>61</v>
      </c>
      <c r="C145" s="12">
        <v>5.9</v>
      </c>
      <c r="D145" s="12">
        <v>3.2</v>
      </c>
      <c r="E145" s="12">
        <v>4.8</v>
      </c>
      <c r="F145" s="12">
        <v>1.8</v>
      </c>
      <c r="G145" s="12">
        <v>1</v>
      </c>
      <c r="I145" s="13">
        <f>I144-('Konfigurasi Model'!$B$11*T144)</f>
        <v>0.33676266190683973</v>
      </c>
      <c r="J145" s="13">
        <f>J144-('Konfigurasi Model'!$B$11*U144)</f>
        <v>-0.12717451723362425</v>
      </c>
      <c r="K145" s="13">
        <f>K144-('Konfigurasi Model'!$B$11*V144)</f>
        <v>-9.1419574768023676E-2</v>
      </c>
      <c r="L145" s="13">
        <f>L144-('Konfigurasi Model'!$B$11*W144)</f>
        <v>0.68322642241869047</v>
      </c>
      <c r="M145" s="13">
        <f>M144-('Konfigurasi Model'!$B$11*X144)</f>
        <v>0.62906355378887135</v>
      </c>
      <c r="N145" s="13">
        <f t="shared" si="22"/>
        <v>3.7056915954004634</v>
      </c>
      <c r="O145" s="13">
        <f t="shared" si="23"/>
        <v>0.97600662433670182</v>
      </c>
      <c r="P145" s="12">
        <f t="shared" si="24"/>
        <v>1</v>
      </c>
      <c r="Q145" s="13">
        <f t="shared" si="25"/>
        <v>-2.3993375663298178E-2</v>
      </c>
      <c r="R145" s="13">
        <f t="shared" si="26"/>
        <v>5.7568207572014922E-4</v>
      </c>
      <c r="T145" s="14">
        <f t="shared" si="27"/>
        <v>-1.1237390388295369E-3</v>
      </c>
      <c r="U145" s="14">
        <f t="shared" si="28"/>
        <v>-6.6300603290942684E-3</v>
      </c>
      <c r="V145" s="14">
        <f t="shared" si="29"/>
        <v>-3.5959649242545185E-3</v>
      </c>
      <c r="W145" s="14">
        <f t="shared" si="30"/>
        <v>-5.3939473863817769E-3</v>
      </c>
      <c r="X145" s="14">
        <f t="shared" si="31"/>
        <v>-2.0227302698931663E-3</v>
      </c>
      <c r="Y145" s="12">
        <f t="shared" si="32"/>
        <v>1</v>
      </c>
    </row>
    <row r="146" spans="1:25" x14ac:dyDescent="0.3">
      <c r="A146" s="23"/>
      <c r="B146" s="12">
        <v>62</v>
      </c>
      <c r="C146" s="12">
        <v>6.1</v>
      </c>
      <c r="D146" s="12">
        <v>2.8</v>
      </c>
      <c r="E146" s="12">
        <v>4</v>
      </c>
      <c r="F146" s="12">
        <v>1.3</v>
      </c>
      <c r="G146" s="12">
        <v>1</v>
      </c>
      <c r="I146" s="13">
        <f>I145-('Konfigurasi Model'!$B$11*T145)</f>
        <v>0.3368750358107227</v>
      </c>
      <c r="J146" s="13">
        <f>J145-('Konfigurasi Model'!$B$11*U145)</f>
        <v>-0.12651151120071483</v>
      </c>
      <c r="K146" s="13">
        <f>K145-('Konfigurasi Model'!$B$11*V145)</f>
        <v>-9.1059978275598225E-2</v>
      </c>
      <c r="L146" s="13">
        <f>L145-('Konfigurasi Model'!$B$11*W145)</f>
        <v>0.68376581715732865</v>
      </c>
      <c r="M146" s="13">
        <f>M145-('Konfigurasi Model'!$B$11*X145)</f>
        <v>0.62926582681586063</v>
      </c>
      <c r="N146" s="13">
        <f t="shared" si="22"/>
        <v>2.8632957218046209</v>
      </c>
      <c r="O146" s="13">
        <f t="shared" si="23"/>
        <v>0.94600190025838327</v>
      </c>
      <c r="P146" s="12">
        <f t="shared" si="24"/>
        <v>1</v>
      </c>
      <c r="Q146" s="13">
        <f t="shared" si="25"/>
        <v>-5.3998099741616734E-2</v>
      </c>
      <c r="R146" s="13">
        <f t="shared" si="26"/>
        <v>2.9157947757055894E-3</v>
      </c>
      <c r="T146" s="14">
        <f t="shared" si="27"/>
        <v>-5.5166947971619076E-3</v>
      </c>
      <c r="U146" s="14">
        <f t="shared" si="28"/>
        <v>-3.3651838262687632E-2</v>
      </c>
      <c r="V146" s="14">
        <f t="shared" si="29"/>
        <v>-1.5446745432053341E-2</v>
      </c>
      <c r="W146" s="14">
        <f t="shared" si="30"/>
        <v>-2.206677918864763E-2</v>
      </c>
      <c r="X146" s="14">
        <f t="shared" si="31"/>
        <v>-7.1717032363104805E-3</v>
      </c>
      <c r="Y146" s="12">
        <f t="shared" si="32"/>
        <v>1</v>
      </c>
    </row>
    <row r="147" spans="1:25" x14ac:dyDescent="0.3">
      <c r="A147" s="23"/>
      <c r="B147" s="12">
        <v>63</v>
      </c>
      <c r="C147" s="12">
        <v>6.3</v>
      </c>
      <c r="D147" s="12">
        <v>2.5</v>
      </c>
      <c r="E147" s="12">
        <v>4.9000000000000004</v>
      </c>
      <c r="F147" s="12">
        <v>1.5</v>
      </c>
      <c r="G147" s="12">
        <v>1</v>
      </c>
      <c r="I147" s="13">
        <f>I146-('Konfigurasi Model'!$B$11*T146)</f>
        <v>0.33742670529043889</v>
      </c>
      <c r="J147" s="13">
        <f>J146-('Konfigurasi Model'!$B$11*U146)</f>
        <v>-0.12314632737444606</v>
      </c>
      <c r="K147" s="13">
        <f>K146-('Konfigurasi Model'!$B$11*V146)</f>
        <v>-8.9515303732392887E-2</v>
      </c>
      <c r="L147" s="13">
        <f>L146-('Konfigurasi Model'!$B$11*W146)</f>
        <v>0.6859724950761934</v>
      </c>
      <c r="M147" s="13">
        <f>M146-('Konfigurasi Model'!$B$11*X146)</f>
        <v>0.62998299713949168</v>
      </c>
      <c r="N147" s="13">
        <f t="shared" si="22"/>
        <v>3.6440563050830317</v>
      </c>
      <c r="O147" s="13">
        <f t="shared" si="23"/>
        <v>0.97452012648030151</v>
      </c>
      <c r="P147" s="12">
        <f t="shared" si="24"/>
        <v>1</v>
      </c>
      <c r="Q147" s="13">
        <f t="shared" si="25"/>
        <v>-2.5479873519698493E-2</v>
      </c>
      <c r="R147" s="13">
        <f t="shared" si="26"/>
        <v>6.4922395457983248E-4</v>
      </c>
      <c r="T147" s="14">
        <f t="shared" si="27"/>
        <v>-1.2653636206623596E-3</v>
      </c>
      <c r="U147" s="14">
        <f t="shared" si="28"/>
        <v>-7.9717908101728657E-3</v>
      </c>
      <c r="V147" s="14">
        <f t="shared" si="29"/>
        <v>-3.163409051655899E-3</v>
      </c>
      <c r="W147" s="14">
        <f t="shared" si="30"/>
        <v>-6.2002817412455625E-3</v>
      </c>
      <c r="X147" s="14">
        <f t="shared" si="31"/>
        <v>-1.8980454309935396E-3</v>
      </c>
      <c r="Y147" s="12">
        <f t="shared" si="32"/>
        <v>1</v>
      </c>
    </row>
    <row r="148" spans="1:25" x14ac:dyDescent="0.3">
      <c r="A148" s="23"/>
      <c r="B148" s="12">
        <v>64</v>
      </c>
      <c r="C148" s="12">
        <v>6.1</v>
      </c>
      <c r="D148" s="12">
        <v>2.8</v>
      </c>
      <c r="E148" s="12">
        <v>4.7</v>
      </c>
      <c r="F148" s="12">
        <v>1.2</v>
      </c>
      <c r="G148" s="12">
        <v>1</v>
      </c>
      <c r="I148" s="13">
        <f>I147-('Konfigurasi Model'!$B$11*T147)</f>
        <v>0.33755324165250511</v>
      </c>
      <c r="J148" s="13">
        <f>J147-('Konfigurasi Model'!$B$11*U147)</f>
        <v>-0.12234914829342877</v>
      </c>
      <c r="K148" s="13">
        <f>K147-('Konfigurasi Model'!$B$11*V147)</f>
        <v>-8.9198962827227293E-2</v>
      </c>
      <c r="L148" s="13">
        <f>L147-('Konfigurasi Model'!$B$11*W147)</f>
        <v>0.68659252325031794</v>
      </c>
      <c r="M148" s="13">
        <f>M147-('Konfigurasi Model'!$B$11*X147)</f>
        <v>0.63017280168259104</v>
      </c>
      <c r="N148" s="13">
        <f t="shared" si="22"/>
        <v>3.3246585624419569</v>
      </c>
      <c r="O148" s="13">
        <f t="shared" si="23"/>
        <v>0.96526512444233581</v>
      </c>
      <c r="P148" s="12">
        <f t="shared" si="24"/>
        <v>1</v>
      </c>
      <c r="Q148" s="13">
        <f t="shared" si="25"/>
        <v>-3.4734875557664191E-2</v>
      </c>
      <c r="R148" s="13">
        <f t="shared" si="26"/>
        <v>1.2065115800064172E-3</v>
      </c>
      <c r="T148" s="14">
        <f t="shared" si="27"/>
        <v>-2.329207100832027E-3</v>
      </c>
      <c r="U148" s="14">
        <f t="shared" si="28"/>
        <v>-1.4208163315075364E-2</v>
      </c>
      <c r="V148" s="14">
        <f t="shared" si="29"/>
        <v>-6.5217798823296756E-3</v>
      </c>
      <c r="W148" s="14">
        <f t="shared" si="30"/>
        <v>-1.0947273373910528E-2</v>
      </c>
      <c r="X148" s="14">
        <f t="shared" si="31"/>
        <v>-2.7950485209984324E-3</v>
      </c>
      <c r="Y148" s="12">
        <f t="shared" si="32"/>
        <v>1</v>
      </c>
    </row>
    <row r="149" spans="1:25" x14ac:dyDescent="0.3">
      <c r="A149" s="23"/>
      <c r="B149" s="12">
        <v>65</v>
      </c>
      <c r="C149" s="12">
        <v>6.4</v>
      </c>
      <c r="D149" s="12">
        <v>2.9</v>
      </c>
      <c r="E149" s="12">
        <v>4.3</v>
      </c>
      <c r="F149" s="12">
        <v>1.3</v>
      </c>
      <c r="G149" s="12">
        <v>1</v>
      </c>
      <c r="I149" s="13">
        <f>I148-('Konfigurasi Model'!$B$11*T148)</f>
        <v>0.33778616236258829</v>
      </c>
      <c r="J149" s="13">
        <f>J148-('Konfigurasi Model'!$B$11*U148)</f>
        <v>-0.12092833196192124</v>
      </c>
      <c r="K149" s="13">
        <f>K148-('Konfigurasi Model'!$B$11*V148)</f>
        <v>-8.8546784838994322E-2</v>
      </c>
      <c r="L149" s="13">
        <f>L148-('Konfigurasi Model'!$B$11*W148)</f>
        <v>0.68768725058770896</v>
      </c>
      <c r="M149" s="13">
        <f>M148-('Konfigurasi Model'!$B$11*X148)</f>
        <v>0.63045230653469087</v>
      </c>
      <c r="N149" s="13">
        <f t="shared" si="22"/>
        <v>3.0837023377954553</v>
      </c>
      <c r="O149" s="13">
        <f t="shared" si="23"/>
        <v>0.95621545416394838</v>
      </c>
      <c r="P149" s="12">
        <f t="shared" si="24"/>
        <v>1</v>
      </c>
      <c r="Q149" s="13">
        <f t="shared" si="25"/>
        <v>-4.3784545836051625E-2</v>
      </c>
      <c r="R149" s="13">
        <f t="shared" si="26"/>
        <v>1.9170864540693057E-3</v>
      </c>
      <c r="T149" s="14">
        <f t="shared" si="27"/>
        <v>-3.6662953886988691E-3</v>
      </c>
      <c r="U149" s="14">
        <f t="shared" si="28"/>
        <v>-2.3464290487672762E-2</v>
      </c>
      <c r="V149" s="14">
        <f t="shared" si="29"/>
        <v>-1.063225662722672E-2</v>
      </c>
      <c r="W149" s="14">
        <f t="shared" si="30"/>
        <v>-1.5765070171405136E-2</v>
      </c>
      <c r="X149" s="14">
        <f t="shared" si="31"/>
        <v>-4.7661840053085302E-3</v>
      </c>
      <c r="Y149" s="12">
        <f t="shared" si="32"/>
        <v>1</v>
      </c>
    </row>
    <row r="150" spans="1:25" x14ac:dyDescent="0.3">
      <c r="A150" s="23"/>
      <c r="B150" s="12">
        <v>66</v>
      </c>
      <c r="C150" s="12">
        <v>6.6</v>
      </c>
      <c r="D150" s="12">
        <v>3</v>
      </c>
      <c r="E150" s="12">
        <v>4.4000000000000004</v>
      </c>
      <c r="F150" s="12">
        <v>1.4</v>
      </c>
      <c r="G150" s="12">
        <v>1</v>
      </c>
      <c r="I150" s="13">
        <f>I149-('Konfigurasi Model'!$B$11*T149)</f>
        <v>0.33815279190145819</v>
      </c>
      <c r="J150" s="13">
        <f>J149-('Konfigurasi Model'!$B$11*U149)</f>
        <v>-0.11858190291315396</v>
      </c>
      <c r="K150" s="13">
        <f>K149-('Konfigurasi Model'!$B$11*V149)</f>
        <v>-8.7483559176271652E-2</v>
      </c>
      <c r="L150" s="13">
        <f>L149-('Konfigurasi Model'!$B$11*W149)</f>
        <v>0.68926375760484948</v>
      </c>
      <c r="M150" s="13">
        <f>M149-('Konfigurasi Model'!$B$11*X149)</f>
        <v>0.63092892493522168</v>
      </c>
      <c r="N150" s="13">
        <f t="shared" si="22"/>
        <v>3.2091225835164749</v>
      </c>
      <c r="O150" s="13">
        <f t="shared" si="23"/>
        <v>0.96117613661089141</v>
      </c>
      <c r="P150" s="12">
        <f t="shared" si="24"/>
        <v>1</v>
      </c>
      <c r="Q150" s="13">
        <f t="shared" si="25"/>
        <v>-3.8823863389108593E-2</v>
      </c>
      <c r="R150" s="13">
        <f t="shared" si="26"/>
        <v>1.5072923684561665E-3</v>
      </c>
      <c r="T150" s="14">
        <f t="shared" si="27"/>
        <v>-2.8975469109115567E-3</v>
      </c>
      <c r="U150" s="14">
        <f t="shared" si="28"/>
        <v>-1.9123809612016273E-2</v>
      </c>
      <c r="V150" s="14">
        <f t="shared" si="29"/>
        <v>-8.6926407327346696E-3</v>
      </c>
      <c r="W150" s="14">
        <f t="shared" si="30"/>
        <v>-1.274920640801085E-2</v>
      </c>
      <c r="X150" s="14">
        <f t="shared" si="31"/>
        <v>-4.0565656752761794E-3</v>
      </c>
      <c r="Y150" s="12">
        <f t="shared" si="32"/>
        <v>1</v>
      </c>
    </row>
    <row r="151" spans="1:25" x14ac:dyDescent="0.3">
      <c r="A151" s="23"/>
      <c r="B151" s="12">
        <v>67</v>
      </c>
      <c r="C151" s="12">
        <v>6.8</v>
      </c>
      <c r="D151" s="12">
        <v>2.8</v>
      </c>
      <c r="E151" s="12">
        <v>4.8</v>
      </c>
      <c r="F151" s="12">
        <v>1.4</v>
      </c>
      <c r="G151" s="12">
        <v>1</v>
      </c>
      <c r="I151" s="13">
        <f>I150-('Konfigurasi Model'!$B$11*T150)</f>
        <v>0.33844254659254935</v>
      </c>
      <c r="J151" s="13">
        <f>J150-('Konfigurasi Model'!$B$11*U150)</f>
        <v>-0.11666952195195233</v>
      </c>
      <c r="K151" s="13">
        <f>K150-('Konfigurasi Model'!$B$11*V150)</f>
        <v>-8.6614295102998187E-2</v>
      </c>
      <c r="L151" s="13">
        <f>L150-('Konfigurasi Model'!$B$11*W150)</f>
        <v>0.69053867824565052</v>
      </c>
      <c r="M151" s="13">
        <f>M150-('Konfigurasi Model'!$B$11*X150)</f>
        <v>0.63133458150274935</v>
      </c>
      <c r="N151" s="13">
        <f t="shared" si="22"/>
        <v>3.5010238407138501</v>
      </c>
      <c r="O151" s="13">
        <f t="shared" si="23"/>
        <v>0.97071688657846833</v>
      </c>
      <c r="P151" s="12">
        <f t="shared" si="24"/>
        <v>1</v>
      </c>
      <c r="Q151" s="13">
        <f t="shared" si="25"/>
        <v>-2.928311342153167E-2</v>
      </c>
      <c r="R151" s="13">
        <f t="shared" si="26"/>
        <v>8.5750073165828829E-4</v>
      </c>
      <c r="T151" s="14">
        <f t="shared" si="27"/>
        <v>-1.6647808809481844E-3</v>
      </c>
      <c r="U151" s="14">
        <f t="shared" si="28"/>
        <v>-1.1320509990447654E-2</v>
      </c>
      <c r="V151" s="14">
        <f t="shared" si="29"/>
        <v>-4.6613864666549161E-3</v>
      </c>
      <c r="W151" s="14">
        <f t="shared" si="30"/>
        <v>-7.990948228551285E-3</v>
      </c>
      <c r="X151" s="14">
        <f t="shared" si="31"/>
        <v>-2.330693233327458E-3</v>
      </c>
      <c r="Y151" s="12">
        <f t="shared" si="32"/>
        <v>1</v>
      </c>
    </row>
    <row r="152" spans="1:25" x14ac:dyDescent="0.3">
      <c r="A152" s="23"/>
      <c r="B152" s="12">
        <v>68</v>
      </c>
      <c r="C152" s="12">
        <v>6.7</v>
      </c>
      <c r="D152" s="12">
        <v>3</v>
      </c>
      <c r="E152" s="12">
        <v>5</v>
      </c>
      <c r="F152" s="12">
        <v>1.7</v>
      </c>
      <c r="G152" s="12">
        <v>1</v>
      </c>
      <c r="I152" s="13">
        <f>I151-('Konfigurasi Model'!$B$11*T151)</f>
        <v>0.33860902468064419</v>
      </c>
      <c r="J152" s="13">
        <f>J151-('Konfigurasi Model'!$B$11*U151)</f>
        <v>-0.11553747095290758</v>
      </c>
      <c r="K152" s="13">
        <f>K151-('Konfigurasi Model'!$B$11*V151)</f>
        <v>-8.6148156456332697E-2</v>
      </c>
      <c r="L152" s="13">
        <f>L151-('Konfigurasi Model'!$B$11*W151)</f>
        <v>0.69133777306850563</v>
      </c>
      <c r="M152" s="13">
        <f>M151-('Konfigurasi Model'!$B$11*X151)</f>
        <v>0.63156765082608213</v>
      </c>
      <c r="N152" s="13">
        <f t="shared" si="22"/>
        <v>3.8364173716740329</v>
      </c>
      <c r="O152" s="13">
        <f t="shared" si="23"/>
        <v>0.97888472905111923</v>
      </c>
      <c r="P152" s="12">
        <f t="shared" si="24"/>
        <v>1</v>
      </c>
      <c r="Q152" s="13">
        <f t="shared" si="25"/>
        <v>-2.1115270948880771E-2</v>
      </c>
      <c r="R152" s="13">
        <f t="shared" si="26"/>
        <v>4.4585466724464824E-4</v>
      </c>
      <c r="T152" s="14">
        <f t="shared" si="27"/>
        <v>-8.7288065028390878E-4</v>
      </c>
      <c r="U152" s="14">
        <f t="shared" si="28"/>
        <v>-5.8483003569021891E-3</v>
      </c>
      <c r="V152" s="14">
        <f t="shared" si="29"/>
        <v>-2.6186419508517265E-3</v>
      </c>
      <c r="W152" s="14">
        <f t="shared" si="30"/>
        <v>-4.3644032514195442E-3</v>
      </c>
      <c r="X152" s="14">
        <f t="shared" si="31"/>
        <v>-1.4838971054826448E-3</v>
      </c>
      <c r="Y152" s="12">
        <f t="shared" si="32"/>
        <v>1</v>
      </c>
    </row>
    <row r="153" spans="1:25" x14ac:dyDescent="0.3">
      <c r="A153" s="23"/>
      <c r="B153" s="12">
        <v>69</v>
      </c>
      <c r="C153" s="12">
        <v>6</v>
      </c>
      <c r="D153" s="12">
        <v>2.9</v>
      </c>
      <c r="E153" s="12">
        <v>4.5</v>
      </c>
      <c r="F153" s="12">
        <v>1.5</v>
      </c>
      <c r="G153" s="12">
        <v>1</v>
      </c>
      <c r="I153" s="13">
        <f>I152-('Konfigurasi Model'!$B$11*T152)</f>
        <v>0.33869631274567258</v>
      </c>
      <c r="J153" s="13">
        <f>J152-('Konfigurasi Model'!$B$11*U152)</f>
        <v>-0.11495264091721735</v>
      </c>
      <c r="K153" s="13">
        <f>K152-('Konfigurasi Model'!$B$11*V152)</f>
        <v>-8.5886292261247527E-2</v>
      </c>
      <c r="L153" s="13">
        <f>L152-('Konfigurasi Model'!$B$11*W152)</f>
        <v>0.69177421339364764</v>
      </c>
      <c r="M153" s="13">
        <f>M152-('Konfigurasi Model'!$B$11*X152)</f>
        <v>0.63171604053663044</v>
      </c>
      <c r="N153" s="13">
        <f t="shared" si="22"/>
        <v>3.4604682407611103</v>
      </c>
      <c r="O153" s="13">
        <f t="shared" si="23"/>
        <v>0.96954179715997402</v>
      </c>
      <c r="P153" s="12">
        <f t="shared" si="24"/>
        <v>1</v>
      </c>
      <c r="Q153" s="13">
        <f t="shared" si="25"/>
        <v>-3.0458202840025983E-2</v>
      </c>
      <c r="R153" s="13">
        <f t="shared" si="26"/>
        <v>9.2770212024416681E-4</v>
      </c>
      <c r="T153" s="14">
        <f t="shared" si="27"/>
        <v>-1.7988919617812956E-3</v>
      </c>
      <c r="U153" s="14">
        <f t="shared" si="28"/>
        <v>-1.0793351770687774E-2</v>
      </c>
      <c r="V153" s="14">
        <f t="shared" si="29"/>
        <v>-5.2167866891657567E-3</v>
      </c>
      <c r="W153" s="14">
        <f t="shared" si="30"/>
        <v>-8.0950138280158311E-3</v>
      </c>
      <c r="X153" s="14">
        <f t="shared" si="31"/>
        <v>-2.6983379426719434E-3</v>
      </c>
      <c r="Y153" s="12">
        <f t="shared" si="32"/>
        <v>1</v>
      </c>
    </row>
    <row r="154" spans="1:25" x14ac:dyDescent="0.3">
      <c r="A154" s="23"/>
      <c r="B154" s="12">
        <v>70</v>
      </c>
      <c r="C154" s="12">
        <v>5.7</v>
      </c>
      <c r="D154" s="12">
        <v>2.6</v>
      </c>
      <c r="E154" s="12">
        <v>3.5</v>
      </c>
      <c r="F154" s="12">
        <v>1</v>
      </c>
      <c r="G154" s="12">
        <v>1</v>
      </c>
      <c r="I154" s="13">
        <f>I153-('Konfigurasi Model'!$B$11*T153)</f>
        <v>0.3388762019418507</v>
      </c>
      <c r="J154" s="13">
        <f>J153-('Konfigurasi Model'!$B$11*U153)</f>
        <v>-0.11387330574014858</v>
      </c>
      <c r="K154" s="13">
        <f>K153-('Konfigurasi Model'!$B$11*V153)</f>
        <v>-8.5364613592330954E-2</v>
      </c>
      <c r="L154" s="13">
        <f>L153-('Konfigurasi Model'!$B$11*W153)</f>
        <v>0.6925837147764492</v>
      </c>
      <c r="M154" s="13">
        <f>M153-('Konfigurasi Model'!$B$11*X153)</f>
        <v>0.63198587433089759</v>
      </c>
      <c r="N154" s="13">
        <f t="shared" si="22"/>
        <v>2.5238792399314129</v>
      </c>
      <c r="O154" s="13">
        <f t="shared" si="23"/>
        <v>0.92579898067281929</v>
      </c>
      <c r="P154" s="12">
        <f t="shared" si="24"/>
        <v>1</v>
      </c>
      <c r="Q154" s="13">
        <f t="shared" si="25"/>
        <v>-7.4201019327180706E-2</v>
      </c>
      <c r="R154" s="13">
        <f t="shared" si="26"/>
        <v>5.5057912691926451E-3</v>
      </c>
      <c r="T154" s="14">
        <f t="shared" si="27"/>
        <v>-1.0194511889631717E-2</v>
      </c>
      <c r="U154" s="14">
        <f t="shared" si="28"/>
        <v>-5.8108717770900792E-2</v>
      </c>
      <c r="V154" s="14">
        <f t="shared" si="29"/>
        <v>-2.6505730913042466E-2</v>
      </c>
      <c r="W154" s="14">
        <f t="shared" si="30"/>
        <v>-3.5680791613711009E-2</v>
      </c>
      <c r="X154" s="14">
        <f t="shared" si="31"/>
        <v>-1.0194511889631717E-2</v>
      </c>
      <c r="Y154" s="12">
        <f t="shared" si="32"/>
        <v>1</v>
      </c>
    </row>
    <row r="155" spans="1:25" x14ac:dyDescent="0.3">
      <c r="A155" s="23"/>
      <c r="B155" s="12">
        <v>71</v>
      </c>
      <c r="C155" s="12">
        <v>5.5</v>
      </c>
      <c r="D155" s="12">
        <v>2.4</v>
      </c>
      <c r="E155" s="12">
        <v>3.8</v>
      </c>
      <c r="F155" s="12">
        <v>1.1000000000000001</v>
      </c>
      <c r="G155" s="12">
        <v>1</v>
      </c>
      <c r="I155" s="13">
        <f>I154-('Konfigurasi Model'!$B$11*T154)</f>
        <v>0.33989565313081388</v>
      </c>
      <c r="J155" s="13">
        <f>J154-('Konfigurasi Model'!$B$11*U154)</f>
        <v>-0.10806243396305849</v>
      </c>
      <c r="K155" s="13">
        <f>K154-('Konfigurasi Model'!$B$11*V154)</f>
        <v>-8.2714040501026709E-2</v>
      </c>
      <c r="L155" s="13">
        <f>L154-('Konfigurasi Model'!$B$11*W154)</f>
        <v>0.69615179393782034</v>
      </c>
      <c r="M155" s="13">
        <f>M154-('Konfigurasi Model'!$B$11*X154)</f>
        <v>0.63300532551986077</v>
      </c>
      <c r="N155" s="13">
        <f t="shared" si="22"/>
        <v>2.8887212441670922</v>
      </c>
      <c r="O155" s="13">
        <f t="shared" si="23"/>
        <v>0.94728606317583919</v>
      </c>
      <c r="P155" s="12">
        <f t="shared" si="24"/>
        <v>1</v>
      </c>
      <c r="Q155" s="13">
        <f t="shared" si="25"/>
        <v>-5.2713936824160812E-2</v>
      </c>
      <c r="R155" s="13">
        <f t="shared" si="26"/>
        <v>2.7787591355016173E-3</v>
      </c>
      <c r="T155" s="14">
        <f t="shared" si="27"/>
        <v>-5.2645596039664509E-3</v>
      </c>
      <c r="U155" s="14">
        <f t="shared" si="28"/>
        <v>-2.8955077821815479E-2</v>
      </c>
      <c r="V155" s="14">
        <f t="shared" si="29"/>
        <v>-1.2634943049519481E-2</v>
      </c>
      <c r="W155" s="14">
        <f t="shared" si="30"/>
        <v>-2.0005326495072511E-2</v>
      </c>
      <c r="X155" s="14">
        <f t="shared" si="31"/>
        <v>-5.7910155643630962E-3</v>
      </c>
      <c r="Y155" s="12">
        <f t="shared" si="32"/>
        <v>1</v>
      </c>
    </row>
    <row r="156" spans="1:25" x14ac:dyDescent="0.3">
      <c r="A156" s="23"/>
      <c r="B156" s="12">
        <v>72</v>
      </c>
      <c r="C156" s="12">
        <v>5.5</v>
      </c>
      <c r="D156" s="12">
        <v>2.4</v>
      </c>
      <c r="E156" s="12">
        <v>3.7</v>
      </c>
      <c r="F156" s="12">
        <v>1</v>
      </c>
      <c r="G156" s="12">
        <v>1</v>
      </c>
      <c r="I156" s="13">
        <f>I155-('Konfigurasi Model'!$B$11*T155)</f>
        <v>0.34042210909121051</v>
      </c>
      <c r="J156" s="13">
        <f>J155-('Konfigurasi Model'!$B$11*U155)</f>
        <v>-0.10516692618087695</v>
      </c>
      <c r="K156" s="13">
        <f>K155-('Konfigurasi Model'!$B$11*V155)</f>
        <v>-8.1450546196074766E-2</v>
      </c>
      <c r="L156" s="13">
        <f>L155-('Konfigurasi Model'!$B$11*W155)</f>
        <v>0.69815232658732762</v>
      </c>
      <c r="M156" s="13">
        <f>M155-('Konfigurasi Model'!$B$11*X155)</f>
        <v>0.63358442707629703</v>
      </c>
      <c r="N156" s="13">
        <f t="shared" si="22"/>
        <v>2.783270739675217</v>
      </c>
      <c r="O156" s="13">
        <f t="shared" si="23"/>
        <v>0.94176508303276363</v>
      </c>
      <c r="P156" s="12">
        <f t="shared" si="24"/>
        <v>1</v>
      </c>
      <c r="Q156" s="13">
        <f t="shared" si="25"/>
        <v>-5.8234916967236372E-2</v>
      </c>
      <c r="R156" s="13">
        <f t="shared" si="26"/>
        <v>3.3913055541809145E-3</v>
      </c>
      <c r="T156" s="14">
        <f t="shared" si="27"/>
        <v>-6.3876263136453228E-3</v>
      </c>
      <c r="U156" s="14">
        <f t="shared" si="28"/>
        <v>-3.5131944725049276E-2</v>
      </c>
      <c r="V156" s="14">
        <f t="shared" si="29"/>
        <v>-1.5330303152748774E-2</v>
      </c>
      <c r="W156" s="14">
        <f t="shared" si="30"/>
        <v>-2.3634217360487694E-2</v>
      </c>
      <c r="X156" s="14">
        <f t="shared" si="31"/>
        <v>-6.3876263136453228E-3</v>
      </c>
      <c r="Y156" s="12">
        <f t="shared" si="32"/>
        <v>1</v>
      </c>
    </row>
    <row r="157" spans="1:25" x14ac:dyDescent="0.3">
      <c r="A157" s="23"/>
      <c r="B157" s="12">
        <v>73</v>
      </c>
      <c r="C157" s="12">
        <v>5.8</v>
      </c>
      <c r="D157" s="12">
        <v>2.7</v>
      </c>
      <c r="E157" s="12">
        <v>3.9</v>
      </c>
      <c r="F157" s="12">
        <v>1.2</v>
      </c>
      <c r="G157" s="12">
        <v>1</v>
      </c>
      <c r="I157" s="13">
        <f>I156-('Konfigurasi Model'!$B$11*T156)</f>
        <v>0.34106087172257504</v>
      </c>
      <c r="J157" s="13">
        <f>J156-('Konfigurasi Model'!$B$11*U156)</f>
        <v>-0.10165373170837202</v>
      </c>
      <c r="K157" s="13">
        <f>K156-('Konfigurasi Model'!$B$11*V156)</f>
        <v>-7.9917515880799886E-2</v>
      </c>
      <c r="L157" s="13">
        <f>L156-('Konfigurasi Model'!$B$11*W156)</f>
        <v>0.70051574832337637</v>
      </c>
      <c r="M157" s="13">
        <f>M156-('Konfigurasi Model'!$B$11*X156)</f>
        <v>0.63422318970766156</v>
      </c>
      <c r="N157" s="13">
        <f t="shared" si="22"/>
        <v>3.0287711810462192</v>
      </c>
      <c r="O157" s="13">
        <f t="shared" si="23"/>
        <v>0.95385711822755792</v>
      </c>
      <c r="P157" s="12">
        <f t="shared" si="24"/>
        <v>1</v>
      </c>
      <c r="Q157" s="13">
        <f t="shared" si="25"/>
        <v>-4.6142881772442079E-2</v>
      </c>
      <c r="R157" s="13">
        <f t="shared" si="26"/>
        <v>2.1291655382655677E-3</v>
      </c>
      <c r="T157" s="14">
        <f t="shared" si="27"/>
        <v>-4.0618394091188432E-3</v>
      </c>
      <c r="U157" s="14">
        <f t="shared" si="28"/>
        <v>-2.3558668572889289E-2</v>
      </c>
      <c r="V157" s="14">
        <f t="shared" si="29"/>
        <v>-1.0966966404620877E-2</v>
      </c>
      <c r="W157" s="14">
        <f t="shared" si="30"/>
        <v>-1.5841173695563489E-2</v>
      </c>
      <c r="X157" s="14">
        <f t="shared" si="31"/>
        <v>-4.8742072909426113E-3</v>
      </c>
      <c r="Y157" s="12">
        <f t="shared" si="32"/>
        <v>1</v>
      </c>
    </row>
    <row r="158" spans="1:25" x14ac:dyDescent="0.3">
      <c r="A158" s="23"/>
      <c r="B158" s="12">
        <v>74</v>
      </c>
      <c r="C158" s="12">
        <v>6</v>
      </c>
      <c r="D158" s="12">
        <v>2.7</v>
      </c>
      <c r="E158" s="12">
        <v>5.0999999999999996</v>
      </c>
      <c r="F158" s="12">
        <v>1.6</v>
      </c>
      <c r="G158" s="12">
        <v>1</v>
      </c>
      <c r="I158" s="13">
        <f>I157-('Konfigurasi Model'!$B$11*T157)</f>
        <v>0.34146705566348695</v>
      </c>
      <c r="J158" s="13">
        <f>J157-('Konfigurasi Model'!$B$11*U157)</f>
        <v>-9.9297864851083092E-2</v>
      </c>
      <c r="K158" s="13">
        <f>K157-('Konfigurasi Model'!$B$11*V157)</f>
        <v>-7.8820819240337792E-2</v>
      </c>
      <c r="L158" s="13">
        <f>L157-('Konfigurasi Model'!$B$11*W157)</f>
        <v>0.7020998656929327</v>
      </c>
      <c r="M158" s="13">
        <f>M157-('Konfigurasi Model'!$B$11*X157)</f>
        <v>0.63471061043675581</v>
      </c>
      <c r="N158" s="13">
        <f t="shared" si="22"/>
        <v>4.1291099463408418</v>
      </c>
      <c r="O158" s="13">
        <f t="shared" si="23"/>
        <v>0.98415781499755306</v>
      </c>
      <c r="P158" s="12">
        <f t="shared" si="24"/>
        <v>1</v>
      </c>
      <c r="Q158" s="13">
        <f t="shared" si="25"/>
        <v>-1.584218500244694E-2</v>
      </c>
      <c r="R158" s="13">
        <f t="shared" si="26"/>
        <v>2.5097482565175476E-4</v>
      </c>
      <c r="T158" s="14">
        <f t="shared" si="27"/>
        <v>-4.9399767206564557E-4</v>
      </c>
      <c r="U158" s="14">
        <f t="shared" si="28"/>
        <v>-2.9639860323938732E-3</v>
      </c>
      <c r="V158" s="14">
        <f t="shared" si="29"/>
        <v>-1.3337937145772431E-3</v>
      </c>
      <c r="W158" s="14">
        <f t="shared" si="30"/>
        <v>-2.5193881275347922E-3</v>
      </c>
      <c r="X158" s="14">
        <f t="shared" si="31"/>
        <v>-7.9039627530503296E-4</v>
      </c>
      <c r="Y158" s="12">
        <f t="shared" si="32"/>
        <v>1</v>
      </c>
    </row>
    <row r="159" spans="1:25" x14ac:dyDescent="0.3">
      <c r="A159" s="23"/>
      <c r="B159" s="12">
        <v>75</v>
      </c>
      <c r="C159" s="12">
        <v>5.4</v>
      </c>
      <c r="D159" s="12">
        <v>3</v>
      </c>
      <c r="E159" s="12">
        <v>4.5</v>
      </c>
      <c r="F159" s="12">
        <v>1.5</v>
      </c>
      <c r="G159" s="12">
        <v>1</v>
      </c>
      <c r="I159" s="13">
        <f>I158-('Konfigurasi Model'!$B$11*T158)</f>
        <v>0.34151645543069353</v>
      </c>
      <c r="J159" s="13">
        <f>J158-('Konfigurasi Model'!$B$11*U158)</f>
        <v>-9.90014662478437E-2</v>
      </c>
      <c r="K159" s="13">
        <f>K158-('Konfigurasi Model'!$B$11*V158)</f>
        <v>-7.8687439868880063E-2</v>
      </c>
      <c r="L159" s="13">
        <f>L158-('Konfigurasi Model'!$B$11*W158)</f>
        <v>0.70235180450568613</v>
      </c>
      <c r="M159" s="13">
        <f>M158-('Konfigurasi Model'!$B$11*X158)</f>
        <v>0.63478965006428634</v>
      </c>
      <c r="N159" s="13">
        <f t="shared" si="22"/>
        <v>3.6836138134577148</v>
      </c>
      <c r="O159" s="13">
        <f t="shared" si="23"/>
        <v>0.97548414399154271</v>
      </c>
      <c r="P159" s="12">
        <f t="shared" si="24"/>
        <v>1</v>
      </c>
      <c r="Q159" s="13">
        <f t="shared" si="25"/>
        <v>-2.4515856008457293E-2</v>
      </c>
      <c r="R159" s="13">
        <f t="shared" si="26"/>
        <v>6.0102719582741154E-4</v>
      </c>
      <c r="T159" s="14">
        <f t="shared" si="27"/>
        <v>-1.1725849992746797E-3</v>
      </c>
      <c r="U159" s="14">
        <f t="shared" si="28"/>
        <v>-6.3319589960832709E-3</v>
      </c>
      <c r="V159" s="14">
        <f t="shared" si="29"/>
        <v>-3.5177549978240392E-3</v>
      </c>
      <c r="W159" s="14">
        <f t="shared" si="30"/>
        <v>-5.2766324967360584E-3</v>
      </c>
      <c r="X159" s="14">
        <f t="shared" si="31"/>
        <v>-1.7588774989120196E-3</v>
      </c>
      <c r="Y159" s="12">
        <f t="shared" si="32"/>
        <v>1</v>
      </c>
    </row>
    <row r="160" spans="1:25" x14ac:dyDescent="0.3">
      <c r="A160" s="23"/>
      <c r="B160" s="12">
        <v>76</v>
      </c>
      <c r="C160" s="12">
        <v>6</v>
      </c>
      <c r="D160" s="12">
        <v>3.4</v>
      </c>
      <c r="E160" s="12">
        <v>4.5</v>
      </c>
      <c r="F160" s="12">
        <v>1.6</v>
      </c>
      <c r="G160" s="12">
        <v>1</v>
      </c>
      <c r="I160" s="13">
        <f>I159-('Konfigurasi Model'!$B$11*T159)</f>
        <v>0.34163371393062097</v>
      </c>
      <c r="J160" s="13">
        <f>J159-('Konfigurasi Model'!$B$11*U159)</f>
        <v>-9.8368270348235379E-2</v>
      </c>
      <c r="K160" s="13">
        <f>K159-('Konfigurasi Model'!$B$11*V159)</f>
        <v>-7.8335664369097655E-2</v>
      </c>
      <c r="L160" s="13">
        <f>L159-('Konfigurasi Model'!$B$11*W159)</f>
        <v>0.7028794677553597</v>
      </c>
      <c r="M160" s="13">
        <f>M159-('Konfigurasi Model'!$B$11*X159)</f>
        <v>0.63496553781417753</v>
      </c>
      <c r="N160" s="13">
        <f t="shared" si="22"/>
        <v>3.6639852983880798</v>
      </c>
      <c r="O160" s="13">
        <f t="shared" si="23"/>
        <v>0.97501032444600688</v>
      </c>
      <c r="P160" s="12">
        <f t="shared" si="24"/>
        <v>1</v>
      </c>
      <c r="Q160" s="13">
        <f t="shared" si="25"/>
        <v>-2.4989675553993118E-2</v>
      </c>
      <c r="R160" s="13">
        <f t="shared" si="26"/>
        <v>6.2448388429384128E-4</v>
      </c>
      <c r="T160" s="14">
        <f t="shared" si="27"/>
        <v>-1.2177564692732817E-3</v>
      </c>
      <c r="U160" s="14">
        <f t="shared" si="28"/>
        <v>-7.3065388156396899E-3</v>
      </c>
      <c r="V160" s="14">
        <f t="shared" si="29"/>
        <v>-4.1403719955291577E-3</v>
      </c>
      <c r="W160" s="14">
        <f t="shared" si="30"/>
        <v>-5.4799041117297677E-3</v>
      </c>
      <c r="X160" s="14">
        <f t="shared" si="31"/>
        <v>-1.9484103508372508E-3</v>
      </c>
      <c r="Y160" s="12">
        <f t="shared" si="32"/>
        <v>1</v>
      </c>
    </row>
    <row r="161" spans="1:28" x14ac:dyDescent="0.3">
      <c r="A161" s="23"/>
      <c r="B161" s="12">
        <v>77</v>
      </c>
      <c r="C161" s="12">
        <v>6.7</v>
      </c>
      <c r="D161" s="12">
        <v>3.1</v>
      </c>
      <c r="E161" s="12">
        <v>4.7</v>
      </c>
      <c r="F161" s="12">
        <v>1.5</v>
      </c>
      <c r="G161" s="12">
        <v>1</v>
      </c>
      <c r="I161" s="13">
        <f>I160-('Konfigurasi Model'!$B$11*T160)</f>
        <v>0.34175548957754831</v>
      </c>
      <c r="J161" s="13">
        <f>J160-('Konfigurasi Model'!$B$11*U160)</f>
        <v>-9.7637616466671406E-2</v>
      </c>
      <c r="K161" s="13">
        <f>K160-('Konfigurasi Model'!$B$11*V160)</f>
        <v>-7.7921627169544733E-2</v>
      </c>
      <c r="L161" s="13">
        <f>L160-('Konfigurasi Model'!$B$11*W160)</f>
        <v>0.70342745816653263</v>
      </c>
      <c r="M161" s="13">
        <f>M160-('Konfigurasi Model'!$B$11*X160)</f>
        <v>0.63516037884926124</v>
      </c>
      <c r="N161" s="13">
        <f t="shared" si="22"/>
        <v>3.7048760366818563</v>
      </c>
      <c r="O161" s="13">
        <f t="shared" si="23"/>
        <v>0.97598751841645059</v>
      </c>
      <c r="P161" s="12">
        <f t="shared" si="24"/>
        <v>1</v>
      </c>
      <c r="Q161" s="13">
        <f t="shared" si="25"/>
        <v>-2.4012481583549405E-2</v>
      </c>
      <c r="R161" s="13">
        <f t="shared" si="26"/>
        <v>5.765992718002994E-4</v>
      </c>
      <c r="T161" s="14">
        <f t="shared" si="27"/>
        <v>-1.1255073848102134E-3</v>
      </c>
      <c r="U161" s="14">
        <f t="shared" si="28"/>
        <v>-7.5408994782284302E-3</v>
      </c>
      <c r="V161" s="14">
        <f t="shared" si="29"/>
        <v>-3.4890728929116615E-3</v>
      </c>
      <c r="W161" s="14">
        <f t="shared" si="30"/>
        <v>-5.2898847086080029E-3</v>
      </c>
      <c r="X161" s="14">
        <f t="shared" si="31"/>
        <v>-1.68826107721532E-3</v>
      </c>
      <c r="Y161" s="12">
        <f t="shared" si="32"/>
        <v>1</v>
      </c>
    </row>
    <row r="162" spans="1:28" x14ac:dyDescent="0.3">
      <c r="A162" s="23"/>
      <c r="B162" s="12">
        <v>78</v>
      </c>
      <c r="C162" s="12">
        <v>6.3</v>
      </c>
      <c r="D162" s="12">
        <v>2.2999999999999998</v>
      </c>
      <c r="E162" s="12">
        <v>4.4000000000000004</v>
      </c>
      <c r="F162" s="12">
        <v>1.3</v>
      </c>
      <c r="G162" s="12">
        <v>1</v>
      </c>
      <c r="I162" s="13">
        <f>I161-('Konfigurasi Model'!$B$11*T161)</f>
        <v>0.34186804031602935</v>
      </c>
      <c r="J162" s="13">
        <f>J161-('Konfigurasi Model'!$B$11*U161)</f>
        <v>-9.6883526518848559E-2</v>
      </c>
      <c r="K162" s="13">
        <f>K161-('Konfigurasi Model'!$B$11*V161)</f>
        <v>-7.7572719880253563E-2</v>
      </c>
      <c r="L162" s="13">
        <f>L161-('Konfigurasi Model'!$B$11*W161)</f>
        <v>0.70395644663739343</v>
      </c>
      <c r="M162" s="13">
        <f>M161-('Konfigurasi Model'!$B$11*X161)</f>
        <v>0.63532920495698275</v>
      </c>
      <c r="N162" s="13">
        <f t="shared" si="22"/>
        <v>3.476420899171309</v>
      </c>
      <c r="O162" s="13">
        <f t="shared" si="23"/>
        <v>0.9700093748718821</v>
      </c>
      <c r="P162" s="12">
        <f t="shared" si="24"/>
        <v>1</v>
      </c>
      <c r="Q162" s="13">
        <f t="shared" si="25"/>
        <v>-2.9990625128117898E-2</v>
      </c>
      <c r="R162" s="13">
        <f t="shared" si="26"/>
        <v>8.9943759557529666E-4</v>
      </c>
      <c r="T162" s="14">
        <f t="shared" si="27"/>
        <v>-1.7449257996405244E-3</v>
      </c>
      <c r="U162" s="14">
        <f t="shared" si="28"/>
        <v>-1.0993032537735304E-2</v>
      </c>
      <c r="V162" s="14">
        <f t="shared" si="29"/>
        <v>-4.0133293391732055E-3</v>
      </c>
      <c r="W162" s="14">
        <f t="shared" si="30"/>
        <v>-7.6776735184183077E-3</v>
      </c>
      <c r="X162" s="14">
        <f t="shared" si="31"/>
        <v>-2.268403539532682E-3</v>
      </c>
      <c r="Y162" s="12">
        <f t="shared" si="32"/>
        <v>1</v>
      </c>
    </row>
    <row r="163" spans="1:28" x14ac:dyDescent="0.3">
      <c r="A163" s="23"/>
      <c r="B163" s="12">
        <v>79</v>
      </c>
      <c r="C163" s="12">
        <v>5.6</v>
      </c>
      <c r="D163" s="12">
        <v>3</v>
      </c>
      <c r="E163" s="12">
        <v>4.0999999999999996</v>
      </c>
      <c r="F163" s="12">
        <v>1.3</v>
      </c>
      <c r="G163" s="12">
        <v>1</v>
      </c>
      <c r="I163" s="13">
        <f>I162-('Konfigurasi Model'!$B$11*T162)</f>
        <v>0.3420425328959934</v>
      </c>
      <c r="J163" s="13">
        <f>J162-('Konfigurasi Model'!$B$11*U162)</f>
        <v>-9.5784223265075033E-2</v>
      </c>
      <c r="K163" s="13">
        <f>K162-('Konfigurasi Model'!$B$11*V162)</f>
        <v>-7.717138694633624E-2</v>
      </c>
      <c r="L163" s="13">
        <f>L162-('Konfigurasi Model'!$B$11*W162)</f>
        <v>0.70472421398923524</v>
      </c>
      <c r="M163" s="13">
        <f>M162-('Konfigurasi Model'!$B$11*X162)</f>
        <v>0.63555604531093601</v>
      </c>
      <c r="N163" s="13">
        <f t="shared" si="22"/>
        <v>3.289728858032646</v>
      </c>
      <c r="O163" s="13">
        <f t="shared" si="23"/>
        <v>0.96407476440168538</v>
      </c>
      <c r="P163" s="12">
        <f t="shared" si="24"/>
        <v>1</v>
      </c>
      <c r="Q163" s="13">
        <f t="shared" si="25"/>
        <v>-3.592523559831462E-2</v>
      </c>
      <c r="R163" s="13">
        <f t="shared" si="26"/>
        <v>1.290622552794412E-3</v>
      </c>
      <c r="T163" s="14">
        <f t="shared" si="27"/>
        <v>-2.4885132670335488E-3</v>
      </c>
      <c r="U163" s="14">
        <f t="shared" si="28"/>
        <v>-1.3935674295387872E-2</v>
      </c>
      <c r="V163" s="14">
        <f t="shared" si="29"/>
        <v>-7.4655398011006461E-3</v>
      </c>
      <c r="W163" s="14">
        <f t="shared" si="30"/>
        <v>-1.0202904394837549E-2</v>
      </c>
      <c r="X163" s="14">
        <f t="shared" si="31"/>
        <v>-3.2350672471436136E-3</v>
      </c>
      <c r="Y163" s="12">
        <f t="shared" si="32"/>
        <v>1</v>
      </c>
    </row>
    <row r="164" spans="1:28" x14ac:dyDescent="0.3">
      <c r="A164" s="23"/>
      <c r="B164" s="12">
        <v>80</v>
      </c>
      <c r="C164" s="12">
        <v>5.5</v>
      </c>
      <c r="D164" s="12">
        <v>2.5</v>
      </c>
      <c r="E164" s="12">
        <v>4</v>
      </c>
      <c r="F164" s="12">
        <v>1.3</v>
      </c>
      <c r="G164" s="12">
        <v>1</v>
      </c>
      <c r="I164" s="13">
        <f>I163-('Konfigurasi Model'!$B$11*T163)</f>
        <v>0.34229138422269678</v>
      </c>
      <c r="J164" s="13">
        <f>J163-('Konfigurasi Model'!$B$11*U163)</f>
        <v>-9.4390655835536241E-2</v>
      </c>
      <c r="K164" s="13">
        <f>K163-('Konfigurasi Model'!$B$11*V163)</f>
        <v>-7.642483296622618E-2</v>
      </c>
      <c r="L164" s="13">
        <f>L163-('Konfigurasi Model'!$B$11*W163)</f>
        <v>0.70574450442871894</v>
      </c>
      <c r="M164" s="13">
        <f>M163-('Konfigurasi Model'!$B$11*X163)</f>
        <v>0.63587955203565039</v>
      </c>
      <c r="N164" s="13">
        <f t="shared" si="22"/>
        <v>3.2817021300729037</v>
      </c>
      <c r="O164" s="13">
        <f t="shared" si="23"/>
        <v>0.96379572385639589</v>
      </c>
      <c r="P164" s="12">
        <f t="shared" si="24"/>
        <v>1</v>
      </c>
      <c r="Q164" s="13">
        <f t="shared" si="25"/>
        <v>-3.6204276143604108E-2</v>
      </c>
      <c r="R164" s="13">
        <f t="shared" si="26"/>
        <v>1.3107496110823416E-3</v>
      </c>
      <c r="T164" s="14">
        <f t="shared" si="27"/>
        <v>-2.5265897404151898E-3</v>
      </c>
      <c r="U164" s="14">
        <f t="shared" si="28"/>
        <v>-1.3896243572283544E-2</v>
      </c>
      <c r="V164" s="14">
        <f t="shared" si="29"/>
        <v>-6.3164743510379746E-3</v>
      </c>
      <c r="W164" s="14">
        <f t="shared" si="30"/>
        <v>-1.0106358961660759E-2</v>
      </c>
      <c r="X164" s="14">
        <f t="shared" si="31"/>
        <v>-3.2845666625397466E-3</v>
      </c>
      <c r="Y164" s="12">
        <f t="shared" si="32"/>
        <v>1</v>
      </c>
      <c r="AA164" s="17">
        <f>AVERAGE(Y85:Y164)</f>
        <v>0.95</v>
      </c>
      <c r="AB164" s="16">
        <f>AVERAGE(R85:R164)</f>
        <v>3.735536229040335E-2</v>
      </c>
    </row>
    <row r="165" spans="1:28" x14ac:dyDescent="0.3">
      <c r="A165" s="23" t="s">
        <v>93</v>
      </c>
      <c r="B165" s="12">
        <v>1</v>
      </c>
      <c r="C165" s="12">
        <v>5.0999999999999996</v>
      </c>
      <c r="D165" s="12">
        <v>3.5</v>
      </c>
      <c r="E165" s="12">
        <v>1.4</v>
      </c>
      <c r="F165" s="12">
        <v>0.2</v>
      </c>
      <c r="G165" s="12">
        <v>0</v>
      </c>
      <c r="I165" s="13">
        <f>I164</f>
        <v>0.34229138422269678</v>
      </c>
      <c r="J165" s="13">
        <f>J164</f>
        <v>-9.4390655835536241E-2</v>
      </c>
      <c r="K165" s="13">
        <f>K164</f>
        <v>-7.642483296622618E-2</v>
      </c>
      <c r="L165" s="13">
        <f>L164</f>
        <v>0.70574450442871894</v>
      </c>
      <c r="M165" s="13">
        <f>M164</f>
        <v>0.63587955203565039</v>
      </c>
      <c r="N165" s="13">
        <f t="shared" si="22"/>
        <v>0.70863034068700692</v>
      </c>
      <c r="O165" s="13">
        <f t="shared" si="23"/>
        <v>0.67009844456510326</v>
      </c>
      <c r="P165" s="12">
        <f t="shared" si="24"/>
        <v>1</v>
      </c>
      <c r="Q165" s="13">
        <f t="shared" si="25"/>
        <v>0.67009844456510326</v>
      </c>
      <c r="R165" s="13">
        <f t="shared" si="26"/>
        <v>0.44903192540857079</v>
      </c>
      <c r="T165" s="14">
        <f t="shared" si="27"/>
        <v>0.29627266126442808</v>
      </c>
      <c r="U165" s="14">
        <f t="shared" si="28"/>
        <v>1.510990572448583</v>
      </c>
      <c r="V165" s="14">
        <f t="shared" si="29"/>
        <v>1.0369543144254982</v>
      </c>
      <c r="W165" s="14">
        <f t="shared" si="30"/>
        <v>0.41478172577019928</v>
      </c>
      <c r="X165" s="14">
        <f t="shared" si="31"/>
        <v>5.9254532252885621E-2</v>
      </c>
      <c r="Y165" s="12">
        <f t="shared" si="32"/>
        <v>0</v>
      </c>
    </row>
    <row r="166" spans="1:28" x14ac:dyDescent="0.3">
      <c r="A166" s="23"/>
      <c r="B166" s="12">
        <v>2</v>
      </c>
      <c r="C166" s="12">
        <v>4.9000000000000004</v>
      </c>
      <c r="D166" s="12">
        <v>3</v>
      </c>
      <c r="E166" s="12">
        <v>1.4</v>
      </c>
      <c r="F166" s="12">
        <v>0.2</v>
      </c>
      <c r="G166" s="12">
        <v>0</v>
      </c>
      <c r="I166" s="13">
        <f>I165-('Konfigurasi Model'!$B$11*T165)</f>
        <v>0.312664118096254</v>
      </c>
      <c r="J166" s="13">
        <f>J165-('Konfigurasi Model'!$B$11*U165)</f>
        <v>-0.24548971308039455</v>
      </c>
      <c r="K166" s="13">
        <f>K165-('Konfigurasi Model'!$B$11*V165)</f>
        <v>-0.18012026440877602</v>
      </c>
      <c r="L166" s="13">
        <f>L165-('Konfigurasi Model'!$B$11*W165)</f>
        <v>0.66426633185169903</v>
      </c>
      <c r="M166" s="13">
        <f>M165-('Konfigurasi Model'!$B$11*X165)</f>
        <v>0.6299540988103618</v>
      </c>
      <c r="N166" s="13">
        <f t="shared" si="22"/>
        <v>-0.37463258486955653</v>
      </c>
      <c r="O166" s="13">
        <f t="shared" si="23"/>
        <v>0.4074221018175761</v>
      </c>
      <c r="P166" s="12">
        <f t="shared" si="24"/>
        <v>0</v>
      </c>
      <c r="Q166" s="13">
        <f t="shared" si="25"/>
        <v>0.4074221018175761</v>
      </c>
      <c r="R166" s="13">
        <f t="shared" si="26"/>
        <v>0.16599276904945134</v>
      </c>
      <c r="T166" s="14">
        <f t="shared" si="27"/>
        <v>0.19672729239360878</v>
      </c>
      <c r="U166" s="14">
        <f t="shared" si="28"/>
        <v>0.96396373272868308</v>
      </c>
      <c r="V166" s="14">
        <f t="shared" si="29"/>
        <v>0.59018187718082638</v>
      </c>
      <c r="W166" s="14">
        <f t="shared" si="30"/>
        <v>0.27541820935105227</v>
      </c>
      <c r="X166" s="14">
        <f t="shared" si="31"/>
        <v>3.9345458478721757E-2</v>
      </c>
      <c r="Y166" s="12">
        <f t="shared" si="32"/>
        <v>1</v>
      </c>
    </row>
    <row r="167" spans="1:28" x14ac:dyDescent="0.3">
      <c r="A167" s="23"/>
      <c r="B167" s="12">
        <v>3</v>
      </c>
      <c r="C167" s="12">
        <v>4.7</v>
      </c>
      <c r="D167" s="12">
        <v>3.2</v>
      </c>
      <c r="E167" s="12">
        <v>1.3</v>
      </c>
      <c r="F167" s="12">
        <v>0.2</v>
      </c>
      <c r="G167" s="12">
        <v>0</v>
      </c>
      <c r="I167" s="13">
        <f>I166-('Konfigurasi Model'!$B$11*T166)</f>
        <v>0.29299138885689313</v>
      </c>
      <c r="J167" s="13">
        <f>J166-('Konfigurasi Model'!$B$11*U166)</f>
        <v>-0.3418860863532629</v>
      </c>
      <c r="K167" s="13">
        <f>K166-('Konfigurasi Model'!$B$11*V166)</f>
        <v>-0.23913845212685866</v>
      </c>
      <c r="L167" s="13">
        <f>L166-('Konfigurasi Model'!$B$11*W166)</f>
        <v>0.63672451091659377</v>
      </c>
      <c r="M167" s="13">
        <f>M166-('Konfigurasi Model'!$B$11*X166)</f>
        <v>0.62601955296248957</v>
      </c>
      <c r="N167" s="13">
        <f t="shared" si="22"/>
        <v>-1.1261704890253204</v>
      </c>
      <c r="O167" s="13">
        <f t="shared" si="23"/>
        <v>0.24486851580698299</v>
      </c>
      <c r="P167" s="12">
        <f t="shared" si="24"/>
        <v>0</v>
      </c>
      <c r="Q167" s="13">
        <f t="shared" si="25"/>
        <v>0.24486851580698299</v>
      </c>
      <c r="R167" s="13">
        <f t="shared" si="26"/>
        <v>5.9960590033514678E-2</v>
      </c>
      <c r="T167" s="14">
        <f t="shared" si="27"/>
        <v>9.055625869019393E-2</v>
      </c>
      <c r="U167" s="14">
        <f t="shared" si="28"/>
        <v>0.42561441584391146</v>
      </c>
      <c r="V167" s="14">
        <f t="shared" si="29"/>
        <v>0.28978002780862061</v>
      </c>
      <c r="W167" s="14">
        <f t="shared" si="30"/>
        <v>0.11772313629725212</v>
      </c>
      <c r="X167" s="14">
        <f t="shared" si="31"/>
        <v>1.8111251738038788E-2</v>
      </c>
      <c r="Y167" s="12">
        <f t="shared" si="32"/>
        <v>1</v>
      </c>
    </row>
    <row r="168" spans="1:28" x14ac:dyDescent="0.3">
      <c r="A168" s="23"/>
      <c r="B168" s="12">
        <v>4</v>
      </c>
      <c r="C168" s="12">
        <v>4.5999999999999996</v>
      </c>
      <c r="D168" s="12">
        <v>3.1</v>
      </c>
      <c r="E168" s="12">
        <v>1.5</v>
      </c>
      <c r="F168" s="12">
        <v>0.2</v>
      </c>
      <c r="G168" s="12">
        <v>0</v>
      </c>
      <c r="I168" s="13">
        <f>I167-('Konfigurasi Model'!$B$11*T167)</f>
        <v>0.28393576298787376</v>
      </c>
      <c r="J168" s="13">
        <f>J167-('Konfigurasi Model'!$B$11*U167)</f>
        <v>-0.38444752793765402</v>
      </c>
      <c r="K168" s="13">
        <f>K167-('Konfigurasi Model'!$B$11*V167)</f>
        <v>-0.26811645490772074</v>
      </c>
      <c r="L168" s="13">
        <f>L167-('Konfigurasi Model'!$B$11*W167)</f>
        <v>0.62495219728686857</v>
      </c>
      <c r="M168" s="13">
        <f>M167-('Konfigurasi Model'!$B$11*X167)</f>
        <v>0.62420842778868568</v>
      </c>
      <c r="N168" s="13">
        <f t="shared" si="22"/>
        <v>-1.253413894251229</v>
      </c>
      <c r="O168" s="13">
        <f t="shared" si="23"/>
        <v>0.22210973687877555</v>
      </c>
      <c r="P168" s="12">
        <f t="shared" si="24"/>
        <v>0</v>
      </c>
      <c r="Q168" s="13">
        <f t="shared" si="25"/>
        <v>0.22210973687877555</v>
      </c>
      <c r="R168" s="13">
        <f t="shared" si="26"/>
        <v>4.9332735216358913E-2</v>
      </c>
      <c r="T168" s="14">
        <f t="shared" si="27"/>
        <v>7.6750908755886249E-2</v>
      </c>
      <c r="U168" s="14">
        <f t="shared" si="28"/>
        <v>0.35305418027707675</v>
      </c>
      <c r="V168" s="14">
        <f t="shared" si="29"/>
        <v>0.23792781714324737</v>
      </c>
      <c r="W168" s="14">
        <f t="shared" si="30"/>
        <v>0.11512636313382937</v>
      </c>
      <c r="X168" s="14">
        <f t="shared" si="31"/>
        <v>1.535018175117725E-2</v>
      </c>
      <c r="Y168" s="12">
        <f t="shared" si="32"/>
        <v>1</v>
      </c>
    </row>
    <row r="169" spans="1:28" x14ac:dyDescent="0.3">
      <c r="A169" s="23"/>
      <c r="B169" s="12">
        <v>5</v>
      </c>
      <c r="C169" s="12">
        <v>5</v>
      </c>
      <c r="D169" s="12">
        <v>3.6</v>
      </c>
      <c r="E169" s="12">
        <v>1.4</v>
      </c>
      <c r="F169" s="12">
        <v>0.2</v>
      </c>
      <c r="G169" s="12">
        <v>0</v>
      </c>
      <c r="I169" s="13">
        <f>I168-('Konfigurasi Model'!$B$11*T168)</f>
        <v>0.27626067211228511</v>
      </c>
      <c r="J169" s="13">
        <f>J168-('Konfigurasi Model'!$B$11*U168)</f>
        <v>-0.41975294596536172</v>
      </c>
      <c r="K169" s="13">
        <f>K168-('Konfigurasi Model'!$B$11*V168)</f>
        <v>-0.29190923662204549</v>
      </c>
      <c r="L169" s="13">
        <f>L168-('Konfigurasi Model'!$B$11*W168)</f>
        <v>0.61343956097348562</v>
      </c>
      <c r="M169" s="13">
        <f>M168-('Konfigurasi Model'!$B$11*X168)</f>
        <v>0.62267340961356799</v>
      </c>
      <c r="N169" s="13">
        <f t="shared" si="22"/>
        <v>-1.8900272422682942</v>
      </c>
      <c r="O169" s="13">
        <f t="shared" si="23"/>
        <v>0.13124136332376682</v>
      </c>
      <c r="P169" s="12">
        <f t="shared" si="24"/>
        <v>0</v>
      </c>
      <c r="Q169" s="13">
        <f t="shared" si="25"/>
        <v>0.13124136332376682</v>
      </c>
      <c r="R169" s="13">
        <f t="shared" si="26"/>
        <v>1.7224295447080967E-2</v>
      </c>
      <c r="T169" s="14">
        <f t="shared" si="27"/>
        <v>2.9927510860629423E-2</v>
      </c>
      <c r="U169" s="14">
        <f t="shared" si="28"/>
        <v>0.14963755430314712</v>
      </c>
      <c r="V169" s="14">
        <f t="shared" si="29"/>
        <v>0.10773903909826592</v>
      </c>
      <c r="W169" s="14">
        <f t="shared" si="30"/>
        <v>4.1898515204881193E-2</v>
      </c>
      <c r="X169" s="14">
        <f t="shared" si="31"/>
        <v>5.9855021721258849E-3</v>
      </c>
      <c r="Y169" s="12">
        <f t="shared" si="32"/>
        <v>1</v>
      </c>
    </row>
    <row r="170" spans="1:28" x14ac:dyDescent="0.3">
      <c r="A170" s="23"/>
      <c r="B170" s="12">
        <v>6</v>
      </c>
      <c r="C170" s="12">
        <v>5.4</v>
      </c>
      <c r="D170" s="12">
        <v>3.9</v>
      </c>
      <c r="E170" s="12">
        <v>1.7</v>
      </c>
      <c r="F170" s="12">
        <v>0.4</v>
      </c>
      <c r="G170" s="12">
        <v>0</v>
      </c>
      <c r="I170" s="13">
        <f>I169-('Konfigurasi Model'!$B$11*T169)</f>
        <v>0.27326792102622216</v>
      </c>
      <c r="J170" s="13">
        <f>J169-('Konfigurasi Model'!$B$11*U169)</f>
        <v>-0.43471670139567642</v>
      </c>
      <c r="K170" s="13">
        <f>K169-('Konfigurasi Model'!$B$11*V169)</f>
        <v>-0.30268314053187206</v>
      </c>
      <c r="L170" s="13">
        <f>L169-('Konfigurasi Model'!$B$11*W169)</f>
        <v>0.6092497094529975</v>
      </c>
      <c r="M170" s="13">
        <f>M169-('Konfigurasi Model'!$B$11*X169)</f>
        <v>0.62207485939635543</v>
      </c>
      <c r="N170" s="13">
        <f t="shared" si="22"/>
        <v>-1.9701120647560937</v>
      </c>
      <c r="O170" s="13">
        <f t="shared" si="23"/>
        <v>0.1223768504740733</v>
      </c>
      <c r="P170" s="12">
        <f t="shared" si="24"/>
        <v>0</v>
      </c>
      <c r="Q170" s="13">
        <f t="shared" si="25"/>
        <v>0.1223768504740733</v>
      </c>
      <c r="R170" s="13">
        <f t="shared" si="26"/>
        <v>1.4976093531953696E-2</v>
      </c>
      <c r="T170" s="14">
        <f t="shared" si="27"/>
        <v>2.6286732746216124E-2</v>
      </c>
      <c r="U170" s="14">
        <f t="shared" si="28"/>
        <v>0.14194835682956708</v>
      </c>
      <c r="V170" s="14">
        <f t="shared" si="29"/>
        <v>0.10251825771024288</v>
      </c>
      <c r="W170" s="14">
        <f t="shared" si="30"/>
        <v>4.4687445668567409E-2</v>
      </c>
      <c r="X170" s="14">
        <f t="shared" si="31"/>
        <v>1.051469309848645E-2</v>
      </c>
      <c r="Y170" s="12">
        <f t="shared" si="32"/>
        <v>1</v>
      </c>
    </row>
    <row r="171" spans="1:28" x14ac:dyDescent="0.3">
      <c r="A171" s="23"/>
      <c r="B171" s="12">
        <v>7</v>
      </c>
      <c r="C171" s="12">
        <v>4.5999999999999996</v>
      </c>
      <c r="D171" s="12">
        <v>3.4</v>
      </c>
      <c r="E171" s="12">
        <v>1.4</v>
      </c>
      <c r="F171" s="12">
        <v>0.3</v>
      </c>
      <c r="G171" s="12">
        <v>0</v>
      </c>
      <c r="I171" s="13">
        <f>I170-('Konfigurasi Model'!$B$11*T170)</f>
        <v>0.27063924775160053</v>
      </c>
      <c r="J171" s="13">
        <f>J170-('Konfigurasi Model'!$B$11*U170)</f>
        <v>-0.44891153707863313</v>
      </c>
      <c r="K171" s="13">
        <f>K170-('Konfigurasi Model'!$B$11*V170)</f>
        <v>-0.31293496630289636</v>
      </c>
      <c r="L171" s="13">
        <f>L170-('Konfigurasi Model'!$B$11*W170)</f>
        <v>0.60478096488614075</v>
      </c>
      <c r="M171" s="13">
        <f>M170-('Konfigurasi Model'!$B$11*X170)</f>
        <v>0.62102339008650675</v>
      </c>
      <c r="N171" s="13">
        <f t="shared" si="22"/>
        <v>-1.8253323403734099</v>
      </c>
      <c r="O171" s="13">
        <f t="shared" si="23"/>
        <v>0.13879526375518475</v>
      </c>
      <c r="P171" s="12">
        <f t="shared" si="24"/>
        <v>0</v>
      </c>
      <c r="Q171" s="13">
        <f t="shared" si="25"/>
        <v>0.13879526375518475</v>
      </c>
      <c r="R171" s="13">
        <f t="shared" si="26"/>
        <v>1.9264125240871302E-2</v>
      </c>
      <c r="T171" s="14">
        <f t="shared" si="27"/>
        <v>3.3180711794103313E-2</v>
      </c>
      <c r="U171" s="14">
        <f t="shared" si="28"/>
        <v>0.15263127425287523</v>
      </c>
      <c r="V171" s="14">
        <f t="shared" si="29"/>
        <v>0.11281442009995125</v>
      </c>
      <c r="W171" s="14">
        <f t="shared" si="30"/>
        <v>4.6452996511744636E-2</v>
      </c>
      <c r="X171" s="14">
        <f t="shared" si="31"/>
        <v>9.9542135382309927E-3</v>
      </c>
      <c r="Y171" s="12">
        <f t="shared" si="32"/>
        <v>1</v>
      </c>
    </row>
    <row r="172" spans="1:28" x14ac:dyDescent="0.3">
      <c r="A172" s="23"/>
      <c r="B172" s="12">
        <v>8</v>
      </c>
      <c r="C172" s="12">
        <v>5</v>
      </c>
      <c r="D172" s="12">
        <v>3.4</v>
      </c>
      <c r="E172" s="12">
        <v>1.5</v>
      </c>
      <c r="F172" s="12">
        <v>0.2</v>
      </c>
      <c r="G172" s="12">
        <v>0</v>
      </c>
      <c r="I172" s="13">
        <f>I171-('Konfigurasi Model'!$B$11*T171)</f>
        <v>0.26732117657219018</v>
      </c>
      <c r="J172" s="13">
        <f>J171-('Konfigurasi Model'!$B$11*U171)</f>
        <v>-0.46417466450392064</v>
      </c>
      <c r="K172" s="13">
        <f>K171-('Konfigurasi Model'!$B$11*V171)</f>
        <v>-0.3242164083128915</v>
      </c>
      <c r="L172" s="13">
        <f>L171-('Konfigurasi Model'!$B$11*W171)</f>
        <v>0.60013566523496631</v>
      </c>
      <c r="M172" s="13">
        <f>M171-('Konfigurasi Model'!$B$11*X171)</f>
        <v>0.62002796873268362</v>
      </c>
      <c r="N172" s="13">
        <f t="shared" si="22"/>
        <v>-2.1316788426122582</v>
      </c>
      <c r="O172" s="13">
        <f t="shared" si="23"/>
        <v>0.10605571882613977</v>
      </c>
      <c r="P172" s="12">
        <f t="shared" si="24"/>
        <v>0</v>
      </c>
      <c r="Q172" s="13">
        <f t="shared" si="25"/>
        <v>0.10605571882613977</v>
      </c>
      <c r="R172" s="13">
        <f t="shared" si="26"/>
        <v>1.1247815495729219E-2</v>
      </c>
      <c r="T172" s="14">
        <f t="shared" si="27"/>
        <v>2.0109840676211726E-2</v>
      </c>
      <c r="U172" s="14">
        <f t="shared" si="28"/>
        <v>0.10054920338105863</v>
      </c>
      <c r="V172" s="14">
        <f t="shared" si="29"/>
        <v>6.8373458299119866E-2</v>
      </c>
      <c r="W172" s="14">
        <f t="shared" si="30"/>
        <v>3.0164761014317587E-2</v>
      </c>
      <c r="X172" s="14">
        <f t="shared" si="31"/>
        <v>4.021968135242345E-3</v>
      </c>
      <c r="Y172" s="12">
        <f t="shared" si="32"/>
        <v>1</v>
      </c>
    </row>
    <row r="173" spans="1:28" x14ac:dyDescent="0.3">
      <c r="A173" s="23"/>
      <c r="B173" s="12">
        <v>9</v>
      </c>
      <c r="C173" s="12">
        <v>4.4000000000000004</v>
      </c>
      <c r="D173" s="12">
        <v>2.9</v>
      </c>
      <c r="E173" s="12">
        <v>1.4</v>
      </c>
      <c r="F173" s="12">
        <v>0.2</v>
      </c>
      <c r="G173" s="12">
        <v>0</v>
      </c>
      <c r="I173" s="13">
        <f>I172-('Konfigurasi Model'!$B$11*T172)</f>
        <v>0.265310192504569</v>
      </c>
      <c r="J173" s="13">
        <f>J172-('Konfigurasi Model'!$B$11*U172)</f>
        <v>-0.47422958484202649</v>
      </c>
      <c r="K173" s="13">
        <f>K172-('Konfigurasi Model'!$B$11*V172)</f>
        <v>-0.33105375414280347</v>
      </c>
      <c r="L173" s="13">
        <f>L172-('Konfigurasi Model'!$B$11*W172)</f>
        <v>0.59711918913353457</v>
      </c>
      <c r="M173" s="13">
        <f>M172-('Konfigurasi Model'!$B$11*X172)</f>
        <v>0.61962577191915935</v>
      </c>
      <c r="N173" s="13">
        <f t="shared" si="22"/>
        <v>-1.8214638486436976</v>
      </c>
      <c r="O173" s="13">
        <f t="shared" si="23"/>
        <v>0.13925831542872075</v>
      </c>
      <c r="P173" s="12">
        <f t="shared" si="24"/>
        <v>0</v>
      </c>
      <c r="Q173" s="13">
        <f t="shared" si="25"/>
        <v>0.13925831542872075</v>
      </c>
      <c r="R173" s="13">
        <f t="shared" si="26"/>
        <v>1.9392878416045083E-2</v>
      </c>
      <c r="T173" s="14">
        <f t="shared" si="27"/>
        <v>3.3384517673025291E-2</v>
      </c>
      <c r="U173" s="14">
        <f t="shared" si="28"/>
        <v>0.1468918777613113</v>
      </c>
      <c r="V173" s="14">
        <f t="shared" si="29"/>
        <v>9.6815101251773339E-2</v>
      </c>
      <c r="W173" s="14">
        <f t="shared" si="30"/>
        <v>4.6738324742235403E-2</v>
      </c>
      <c r="X173" s="14">
        <f t="shared" si="31"/>
        <v>6.6769035346050587E-3</v>
      </c>
      <c r="Y173" s="12">
        <f t="shared" si="32"/>
        <v>1</v>
      </c>
    </row>
    <row r="174" spans="1:28" x14ac:dyDescent="0.3">
      <c r="A174" s="23"/>
      <c r="B174" s="12">
        <v>10</v>
      </c>
      <c r="C174" s="12">
        <v>4.9000000000000004</v>
      </c>
      <c r="D174" s="12">
        <v>3.1</v>
      </c>
      <c r="E174" s="12">
        <v>1.5</v>
      </c>
      <c r="F174" s="12">
        <v>0.1</v>
      </c>
      <c r="G174" s="12">
        <v>0</v>
      </c>
      <c r="I174" s="13">
        <f>I173-('Konfigurasi Model'!$B$11*T173)</f>
        <v>0.26197174073726648</v>
      </c>
      <c r="J174" s="13">
        <f>J173-('Konfigurasi Model'!$B$11*U173)</f>
        <v>-0.48891877261815764</v>
      </c>
      <c r="K174" s="13">
        <f>K173-('Konfigurasi Model'!$B$11*V173)</f>
        <v>-0.34073526426798079</v>
      </c>
      <c r="L174" s="13">
        <f>L173-('Konfigurasi Model'!$B$11*W173)</f>
        <v>0.59244535665931097</v>
      </c>
      <c r="M174" s="13">
        <f>M173-('Konfigurasi Model'!$B$11*X173)</f>
        <v>0.61895808156569887</v>
      </c>
      <c r="N174" s="13">
        <f t="shared" si="22"/>
        <v>-2.2394457211769101</v>
      </c>
      <c r="O174" s="13">
        <f t="shared" si="23"/>
        <v>9.6263751538818859E-2</v>
      </c>
      <c r="P174" s="12">
        <f t="shared" si="24"/>
        <v>0</v>
      </c>
      <c r="Q174" s="13">
        <f t="shared" si="25"/>
        <v>9.6263751538818859E-2</v>
      </c>
      <c r="R174" s="13">
        <f t="shared" si="26"/>
        <v>9.2667098603274496E-3</v>
      </c>
      <c r="T174" s="14">
        <f t="shared" si="27"/>
        <v>1.6749323209501132E-2</v>
      </c>
      <c r="U174" s="14">
        <f t="shared" si="28"/>
        <v>8.2071683726555558E-2</v>
      </c>
      <c r="V174" s="14">
        <f t="shared" si="29"/>
        <v>5.1922901949453509E-2</v>
      </c>
      <c r="W174" s="14">
        <f t="shared" si="30"/>
        <v>2.5123984814251696E-2</v>
      </c>
      <c r="X174" s="14">
        <f t="shared" si="31"/>
        <v>1.6749323209501133E-3</v>
      </c>
      <c r="Y174" s="12">
        <f t="shared" si="32"/>
        <v>1</v>
      </c>
    </row>
    <row r="175" spans="1:28" x14ac:dyDescent="0.3">
      <c r="A175" s="23"/>
      <c r="B175" s="12">
        <v>11</v>
      </c>
      <c r="C175" s="12">
        <v>5.4</v>
      </c>
      <c r="D175" s="12">
        <v>3.7</v>
      </c>
      <c r="E175" s="12">
        <v>1.5</v>
      </c>
      <c r="F175" s="12">
        <v>0.2</v>
      </c>
      <c r="G175" s="12">
        <v>0</v>
      </c>
      <c r="I175" s="13">
        <f>I174-('Konfigurasi Model'!$B$11*T174)</f>
        <v>0.26029680841631636</v>
      </c>
      <c r="J175" s="13">
        <f>J174-('Konfigurasi Model'!$B$11*U174)</f>
        <v>-0.4971259409908132</v>
      </c>
      <c r="K175" s="13">
        <f>K174-('Konfigurasi Model'!$B$11*V174)</f>
        <v>-0.34592755446292611</v>
      </c>
      <c r="L175" s="13">
        <f>L174-('Konfigurasi Model'!$B$11*W174)</f>
        <v>0.58993295817788582</v>
      </c>
      <c r="M175" s="13">
        <f>M174-('Konfigurasi Model'!$B$11*X174)</f>
        <v>0.6187905883336039</v>
      </c>
      <c r="N175" s="13">
        <f t="shared" si="22"/>
        <v>-2.6954576695133521</v>
      </c>
      <c r="O175" s="13">
        <f t="shared" si="23"/>
        <v>6.324192126059823E-2</v>
      </c>
      <c r="P175" s="12">
        <f t="shared" si="24"/>
        <v>0</v>
      </c>
      <c r="Q175" s="13">
        <f t="shared" si="25"/>
        <v>6.324192126059823E-2</v>
      </c>
      <c r="R175" s="13">
        <f t="shared" si="26"/>
        <v>3.9995406047317068E-3</v>
      </c>
      <c r="T175" s="14">
        <f t="shared" si="27"/>
        <v>7.4932039454573968E-3</v>
      </c>
      <c r="U175" s="14">
        <f t="shared" si="28"/>
        <v>4.0463301305469948E-2</v>
      </c>
      <c r="V175" s="14">
        <f t="shared" si="29"/>
        <v>2.7724854598192371E-2</v>
      </c>
      <c r="W175" s="14">
        <f t="shared" si="30"/>
        <v>1.1239805918186095E-2</v>
      </c>
      <c r="X175" s="14">
        <f t="shared" si="31"/>
        <v>1.4986407890914795E-3</v>
      </c>
      <c r="Y175" s="12">
        <f t="shared" si="32"/>
        <v>1</v>
      </c>
    </row>
    <row r="176" spans="1:28" x14ac:dyDescent="0.3">
      <c r="A176" s="23"/>
      <c r="B176" s="12">
        <v>12</v>
      </c>
      <c r="C176" s="12">
        <v>4.8</v>
      </c>
      <c r="D176" s="12">
        <v>3.4</v>
      </c>
      <c r="E176" s="12">
        <v>1.6</v>
      </c>
      <c r="F176" s="12">
        <v>0.2</v>
      </c>
      <c r="G176" s="12">
        <v>0</v>
      </c>
      <c r="I176" s="13">
        <f>I175-('Konfigurasi Model'!$B$11*T175)</f>
        <v>0.25954748802177063</v>
      </c>
      <c r="J176" s="13">
        <f>J175-('Konfigurasi Model'!$B$11*U175)</f>
        <v>-0.5011722711213602</v>
      </c>
      <c r="K176" s="13">
        <f>K175-('Konfigurasi Model'!$B$11*V175)</f>
        <v>-0.34870003992274534</v>
      </c>
      <c r="L176" s="13">
        <f>L175-('Konfigurasi Model'!$B$11*W175)</f>
        <v>0.58880897758606721</v>
      </c>
      <c r="M176" s="13">
        <f>M175-('Konfigurasi Model'!$B$11*X175)</f>
        <v>0.61864072425469474</v>
      </c>
      <c r="N176" s="13">
        <f t="shared" si="22"/>
        <v>-2.2658370401094459</v>
      </c>
      <c r="O176" s="13">
        <f t="shared" si="23"/>
        <v>9.3992121234665743E-2</v>
      </c>
      <c r="P176" s="12">
        <f t="shared" si="24"/>
        <v>0</v>
      </c>
      <c r="Q176" s="13">
        <f t="shared" si="25"/>
        <v>9.3992121234665743E-2</v>
      </c>
      <c r="R176" s="13">
        <f t="shared" si="26"/>
        <v>8.8345188541921037E-3</v>
      </c>
      <c r="T176" s="14">
        <f t="shared" si="27"/>
        <v>1.6008287373997877E-2</v>
      </c>
      <c r="U176" s="14">
        <f t="shared" si="28"/>
        <v>7.6839779395189808E-2</v>
      </c>
      <c r="V176" s="14">
        <f t="shared" si="29"/>
        <v>5.4428177071592782E-2</v>
      </c>
      <c r="W176" s="14">
        <f t="shared" si="30"/>
        <v>2.5613259798396605E-2</v>
      </c>
      <c r="X176" s="14">
        <f t="shared" si="31"/>
        <v>3.2016574747995756E-3</v>
      </c>
      <c r="Y176" s="12">
        <f t="shared" si="32"/>
        <v>1</v>
      </c>
    </row>
    <row r="177" spans="1:25" x14ac:dyDescent="0.3">
      <c r="A177" s="23"/>
      <c r="B177" s="12">
        <v>13</v>
      </c>
      <c r="C177" s="12">
        <v>4.8</v>
      </c>
      <c r="D177" s="12">
        <v>3</v>
      </c>
      <c r="E177" s="12">
        <v>1.4</v>
      </c>
      <c r="F177" s="12">
        <v>0.1</v>
      </c>
      <c r="G177" s="12">
        <v>0</v>
      </c>
      <c r="I177" s="13">
        <f>I176-('Konfigurasi Model'!$B$11*T176)</f>
        <v>0.25794665928437083</v>
      </c>
      <c r="J177" s="13">
        <f>J176-('Konfigurasi Model'!$B$11*U176)</f>
        <v>-0.50885624906087923</v>
      </c>
      <c r="K177" s="13">
        <f>K176-('Konfigurasi Model'!$B$11*V176)</f>
        <v>-0.35414285762990461</v>
      </c>
      <c r="L177" s="13">
        <f>L176-('Konfigurasi Model'!$B$11*W176)</f>
        <v>0.58624765160622749</v>
      </c>
      <c r="M177" s="13">
        <f>M176-('Konfigurasi Model'!$B$11*X176)</f>
        <v>0.61832055850721479</v>
      </c>
      <c r="N177" s="13">
        <f t="shared" si="22"/>
        <v>-2.3644131409981233</v>
      </c>
      <c r="O177" s="13">
        <f t="shared" si="23"/>
        <v>8.5926936960791289E-2</v>
      </c>
      <c r="P177" s="12">
        <f t="shared" si="24"/>
        <v>0</v>
      </c>
      <c r="Q177" s="13">
        <f t="shared" si="25"/>
        <v>8.5926936960791289E-2</v>
      </c>
      <c r="R177" s="13">
        <f t="shared" si="26"/>
        <v>7.3834384954638002E-3</v>
      </c>
      <c r="T177" s="14">
        <f t="shared" si="27"/>
        <v>1.3498004482620405E-2</v>
      </c>
      <c r="U177" s="14">
        <f t="shared" si="28"/>
        <v>6.4790421516577934E-2</v>
      </c>
      <c r="V177" s="14">
        <f t="shared" si="29"/>
        <v>4.0494013447861216E-2</v>
      </c>
      <c r="W177" s="14">
        <f t="shared" si="30"/>
        <v>1.8897206275668564E-2</v>
      </c>
      <c r="X177" s="14">
        <f t="shared" si="31"/>
        <v>1.3498004482620405E-3</v>
      </c>
      <c r="Y177" s="12">
        <f t="shared" si="32"/>
        <v>1</v>
      </c>
    </row>
    <row r="178" spans="1:25" x14ac:dyDescent="0.3">
      <c r="A178" s="23"/>
      <c r="B178" s="12">
        <v>14</v>
      </c>
      <c r="C178" s="12">
        <v>4.3</v>
      </c>
      <c r="D178" s="12">
        <v>3</v>
      </c>
      <c r="E178" s="12">
        <v>1.1000000000000001</v>
      </c>
      <c r="F178" s="12">
        <v>0.1</v>
      </c>
      <c r="G178" s="12">
        <v>0</v>
      </c>
      <c r="I178" s="13">
        <f>I177-('Konfigurasi Model'!$B$11*T177)</f>
        <v>0.25659685883610878</v>
      </c>
      <c r="J178" s="13">
        <f>J177-('Konfigurasi Model'!$B$11*U177)</f>
        <v>-0.51533529121253707</v>
      </c>
      <c r="K178" s="13">
        <f>K177-('Konfigurasi Model'!$B$11*V177)</f>
        <v>-0.3581922589746907</v>
      </c>
      <c r="L178" s="13">
        <f>L177-('Konfigurasi Model'!$B$11*W177)</f>
        <v>0.58435793097866062</v>
      </c>
      <c r="M178" s="13">
        <f>M177-('Konfigurasi Model'!$B$11*X177)</f>
        <v>0.61818557846238864</v>
      </c>
      <c r="N178" s="13">
        <f t="shared" si="22"/>
        <v>-2.3293093883791074</v>
      </c>
      <c r="O178" s="13">
        <f t="shared" si="23"/>
        <v>8.8724485039456957E-2</v>
      </c>
      <c r="P178" s="12">
        <f t="shared" si="24"/>
        <v>0</v>
      </c>
      <c r="Q178" s="13">
        <f t="shared" si="25"/>
        <v>8.8724485039456957E-2</v>
      </c>
      <c r="R178" s="13">
        <f t="shared" si="26"/>
        <v>7.8720342455168221E-3</v>
      </c>
      <c r="T178" s="14">
        <f t="shared" si="27"/>
        <v>1.4347184121740743E-2</v>
      </c>
      <c r="U178" s="14">
        <f t="shared" si="28"/>
        <v>6.1692891723485195E-2</v>
      </c>
      <c r="V178" s="14">
        <f t="shared" si="29"/>
        <v>4.3041552365222231E-2</v>
      </c>
      <c r="W178" s="14">
        <f t="shared" si="30"/>
        <v>1.5781902533914819E-2</v>
      </c>
      <c r="X178" s="14">
        <f t="shared" si="31"/>
        <v>1.4347184121740744E-3</v>
      </c>
      <c r="Y178" s="12">
        <f t="shared" si="32"/>
        <v>1</v>
      </c>
    </row>
    <row r="179" spans="1:25" x14ac:dyDescent="0.3">
      <c r="A179" s="23"/>
      <c r="B179" s="12">
        <v>15</v>
      </c>
      <c r="C179" s="12">
        <v>5.8</v>
      </c>
      <c r="D179" s="12">
        <v>4</v>
      </c>
      <c r="E179" s="12">
        <v>1.2</v>
      </c>
      <c r="F179" s="12">
        <v>0.2</v>
      </c>
      <c r="G179" s="12">
        <v>0</v>
      </c>
      <c r="I179" s="13">
        <f>I178-('Konfigurasi Model'!$B$11*T178)</f>
        <v>0.2551621404239347</v>
      </c>
      <c r="J179" s="13">
        <f>J178-('Konfigurasi Model'!$B$11*U178)</f>
        <v>-0.52150458038488556</v>
      </c>
      <c r="K179" s="13">
        <f>K178-('Konfigurasi Model'!$B$11*V178)</f>
        <v>-0.36249641421121293</v>
      </c>
      <c r="L179" s="13">
        <f>L178-('Konfigurasi Model'!$B$11*W178)</f>
        <v>0.58277974072526917</v>
      </c>
      <c r="M179" s="13">
        <f>M178-('Konfigurasi Model'!$B$11*X178)</f>
        <v>0.61804210662117121</v>
      </c>
      <c r="N179" s="13">
        <f t="shared" si="22"/>
        <v>-3.3966059724586959</v>
      </c>
      <c r="O179" s="13">
        <f t="shared" si="23"/>
        <v>3.2401704978472015E-2</v>
      </c>
      <c r="P179" s="12">
        <f t="shared" si="24"/>
        <v>0</v>
      </c>
      <c r="Q179" s="13">
        <f t="shared" si="25"/>
        <v>3.2401704978472015E-2</v>
      </c>
      <c r="R179" s="13">
        <f t="shared" si="26"/>
        <v>1.0498704855119382E-3</v>
      </c>
      <c r="T179" s="14">
        <f t="shared" si="27"/>
        <v>2.0317057835495503E-3</v>
      </c>
      <c r="U179" s="14">
        <f t="shared" si="28"/>
        <v>1.1783893544587391E-2</v>
      </c>
      <c r="V179" s="14">
        <f t="shared" si="29"/>
        <v>8.1268231341982012E-3</v>
      </c>
      <c r="W179" s="14">
        <f t="shared" si="30"/>
        <v>2.4380469402594603E-3</v>
      </c>
      <c r="X179" s="14">
        <f t="shared" si="31"/>
        <v>4.0634115670991008E-4</v>
      </c>
      <c r="Y179" s="12">
        <f t="shared" si="32"/>
        <v>1</v>
      </c>
    </row>
    <row r="180" spans="1:25" x14ac:dyDescent="0.3">
      <c r="A180" s="23"/>
      <c r="B180" s="12">
        <v>16</v>
      </c>
      <c r="C180" s="12">
        <v>5.7</v>
      </c>
      <c r="D180" s="12">
        <v>4.4000000000000004</v>
      </c>
      <c r="E180" s="12">
        <v>1.5</v>
      </c>
      <c r="F180" s="12">
        <v>0.4</v>
      </c>
      <c r="G180" s="12">
        <v>0</v>
      </c>
      <c r="I180" s="13">
        <f>I179-('Konfigurasi Model'!$B$11*T179)</f>
        <v>0.25495896984557975</v>
      </c>
      <c r="J180" s="13">
        <f>J179-('Konfigurasi Model'!$B$11*U179)</f>
        <v>-0.52268296973934425</v>
      </c>
      <c r="K180" s="13">
        <f>K179-('Konfigurasi Model'!$B$11*V179)</f>
        <v>-0.36330909652463272</v>
      </c>
      <c r="L180" s="13">
        <f>L179-('Konfigurasi Model'!$B$11*W179)</f>
        <v>0.58253593603124321</v>
      </c>
      <c r="M180" s="13">
        <f>M179-('Konfigurasi Model'!$B$11*X179)</f>
        <v>0.61800147250550019</v>
      </c>
      <c r="N180" s="13">
        <f t="shared" si="22"/>
        <v>-3.2018894893280025</v>
      </c>
      <c r="O180" s="13">
        <f t="shared" si="23"/>
        <v>3.9094679852103673E-2</v>
      </c>
      <c r="P180" s="12">
        <f t="shared" si="24"/>
        <v>0</v>
      </c>
      <c r="Q180" s="13">
        <f t="shared" si="25"/>
        <v>3.9094679852103673E-2</v>
      </c>
      <c r="R180" s="13">
        <f t="shared" si="26"/>
        <v>1.5283939927384809E-3</v>
      </c>
      <c r="T180" s="14">
        <f t="shared" si="27"/>
        <v>2.9372838378089825E-3</v>
      </c>
      <c r="U180" s="14">
        <f t="shared" si="28"/>
        <v>1.67425178755112E-2</v>
      </c>
      <c r="V180" s="14">
        <f t="shared" si="29"/>
        <v>1.2924048886359524E-2</v>
      </c>
      <c r="W180" s="14">
        <f t="shared" si="30"/>
        <v>4.4059257567134738E-3</v>
      </c>
      <c r="X180" s="14">
        <f t="shared" si="31"/>
        <v>1.1749135351235931E-3</v>
      </c>
      <c r="Y180" s="12">
        <f t="shared" si="32"/>
        <v>1</v>
      </c>
    </row>
    <row r="181" spans="1:25" x14ac:dyDescent="0.3">
      <c r="A181" s="23"/>
      <c r="B181" s="12">
        <v>17</v>
      </c>
      <c r="C181" s="12">
        <v>5.4</v>
      </c>
      <c r="D181" s="12">
        <v>3.9</v>
      </c>
      <c r="E181" s="12">
        <v>1.3</v>
      </c>
      <c r="F181" s="12">
        <v>0.4</v>
      </c>
      <c r="G181" s="12">
        <v>0</v>
      </c>
      <c r="I181" s="13">
        <f>I180-('Konfigurasi Model'!$B$11*T180)</f>
        <v>0.25466524146179886</v>
      </c>
      <c r="J181" s="13">
        <f>J180-('Konfigurasi Model'!$B$11*U180)</f>
        <v>-0.52435722152689535</v>
      </c>
      <c r="K181" s="13">
        <f>K180-('Konfigurasi Model'!$B$11*V180)</f>
        <v>-0.36460150141326869</v>
      </c>
      <c r="L181" s="13">
        <f>L180-('Konfigurasi Model'!$B$11*W180)</f>
        <v>0.5820953434555719</v>
      </c>
      <c r="M181" s="13">
        <f>M180-('Konfigurasi Model'!$B$11*X180)</f>
        <v>0.61788398115198784</v>
      </c>
      <c r="N181" s="13">
        <f t="shared" si="22"/>
        <v>-2.9949320713421459</v>
      </c>
      <c r="O181" s="13">
        <f t="shared" si="23"/>
        <v>4.7655351108580657E-2</v>
      </c>
      <c r="P181" s="12">
        <f t="shared" si="24"/>
        <v>0</v>
      </c>
      <c r="Q181" s="13">
        <f t="shared" si="25"/>
        <v>4.7655351108580657E-2</v>
      </c>
      <c r="R181" s="13">
        <f t="shared" si="26"/>
        <v>2.2710324892820997E-3</v>
      </c>
      <c r="T181" s="14">
        <f t="shared" si="27"/>
        <v>4.3256112772527347E-3</v>
      </c>
      <c r="U181" s="14">
        <f t="shared" si="28"/>
        <v>2.3358300897164768E-2</v>
      </c>
      <c r="V181" s="14">
        <f t="shared" si="29"/>
        <v>1.6869883981285666E-2</v>
      </c>
      <c r="W181" s="14">
        <f t="shared" si="30"/>
        <v>5.6232946604285556E-3</v>
      </c>
      <c r="X181" s="14">
        <f t="shared" si="31"/>
        <v>1.7302445109010939E-3</v>
      </c>
      <c r="Y181" s="12">
        <f t="shared" si="32"/>
        <v>1</v>
      </c>
    </row>
    <row r="182" spans="1:25" x14ac:dyDescent="0.3">
      <c r="A182" s="23"/>
      <c r="B182" s="12">
        <v>18</v>
      </c>
      <c r="C182" s="12">
        <v>5.0999999999999996</v>
      </c>
      <c r="D182" s="12">
        <v>3.5</v>
      </c>
      <c r="E182" s="12">
        <v>1.4</v>
      </c>
      <c r="F182" s="12">
        <v>0.3</v>
      </c>
      <c r="G182" s="12">
        <v>0</v>
      </c>
      <c r="I182" s="13">
        <f>I181-('Konfigurasi Model'!$B$11*T181)</f>
        <v>0.25423268033407359</v>
      </c>
      <c r="J182" s="13">
        <f>J181-('Konfigurasi Model'!$B$11*U181)</f>
        <v>-0.52669305161661184</v>
      </c>
      <c r="K182" s="13">
        <f>K181-('Konfigurasi Model'!$B$11*V181)</f>
        <v>-0.36628848981139728</v>
      </c>
      <c r="L182" s="13">
        <f>L181-('Konfigurasi Model'!$B$11*W181)</f>
        <v>0.58153301398952906</v>
      </c>
      <c r="M182" s="13">
        <f>M181-('Konfigurasi Model'!$B$11*X181)</f>
        <v>0.61771095670089771</v>
      </c>
      <c r="N182" s="13">
        <f t="shared" si="22"/>
        <v>-2.7144520906549277</v>
      </c>
      <c r="O182" s="13">
        <f t="shared" si="23"/>
        <v>6.2125938243717781E-2</v>
      </c>
      <c r="P182" s="12">
        <f t="shared" si="24"/>
        <v>0</v>
      </c>
      <c r="Q182" s="13">
        <f t="shared" si="25"/>
        <v>6.2125938243717781E-2</v>
      </c>
      <c r="R182" s="13">
        <f t="shared" si="26"/>
        <v>3.8596322026622355E-3</v>
      </c>
      <c r="T182" s="14">
        <f t="shared" si="27"/>
        <v>7.2396978615923537E-3</v>
      </c>
      <c r="U182" s="14">
        <f t="shared" si="28"/>
        <v>3.6922459094121E-2</v>
      </c>
      <c r="V182" s="14">
        <f t="shared" si="29"/>
        <v>2.5338942515573237E-2</v>
      </c>
      <c r="W182" s="14">
        <f t="shared" si="30"/>
        <v>1.0135577006229295E-2</v>
      </c>
      <c r="X182" s="14">
        <f t="shared" si="31"/>
        <v>2.1719093584777059E-3</v>
      </c>
      <c r="Y182" s="12">
        <f t="shared" si="32"/>
        <v>1</v>
      </c>
    </row>
    <row r="183" spans="1:25" x14ac:dyDescent="0.3">
      <c r="A183" s="23"/>
      <c r="B183" s="12">
        <v>19</v>
      </c>
      <c r="C183" s="12">
        <v>5.7</v>
      </c>
      <c r="D183" s="12">
        <v>3.8</v>
      </c>
      <c r="E183" s="12">
        <v>1.7</v>
      </c>
      <c r="F183" s="12">
        <v>0.3</v>
      </c>
      <c r="G183" s="12">
        <v>0</v>
      </c>
      <c r="I183" s="13">
        <f>I182-('Konfigurasi Model'!$B$11*T182)</f>
        <v>0.25350871054791435</v>
      </c>
      <c r="J183" s="13">
        <f>J182-('Konfigurasi Model'!$B$11*U182)</f>
        <v>-0.53038529752602392</v>
      </c>
      <c r="K183" s="13">
        <f>K182-('Konfigurasi Model'!$B$11*V182)</f>
        <v>-0.36882238406295459</v>
      </c>
      <c r="L183" s="13">
        <f>L182-('Konfigurasi Model'!$B$11*W182)</f>
        <v>0.58051945628890611</v>
      </c>
      <c r="M183" s="13">
        <f>M182-('Konfigurasi Model'!$B$11*X182)</f>
        <v>0.61749376576504988</v>
      </c>
      <c r="N183" s="13">
        <f t="shared" si="22"/>
        <v>-2.9990813393689946</v>
      </c>
      <c r="O183" s="13">
        <f t="shared" si="23"/>
        <v>4.7467392455521333E-2</v>
      </c>
      <c r="P183" s="12">
        <f t="shared" si="24"/>
        <v>0</v>
      </c>
      <c r="Q183" s="13">
        <f t="shared" si="25"/>
        <v>4.7467392455521333E-2</v>
      </c>
      <c r="R183" s="13">
        <f t="shared" si="26"/>
        <v>2.2531533465264836E-3</v>
      </c>
      <c r="T183" s="14">
        <f t="shared" si="27"/>
        <v>4.2924040647288799E-3</v>
      </c>
      <c r="U183" s="14">
        <f t="shared" si="28"/>
        <v>2.4466703168954617E-2</v>
      </c>
      <c r="V183" s="14">
        <f t="shared" si="29"/>
        <v>1.6311135445969741E-2</v>
      </c>
      <c r="W183" s="14">
        <f t="shared" si="30"/>
        <v>7.2970869100390957E-3</v>
      </c>
      <c r="X183" s="14">
        <f t="shared" si="31"/>
        <v>1.2877212194186639E-3</v>
      </c>
      <c r="Y183" s="12">
        <f t="shared" si="32"/>
        <v>1</v>
      </c>
    </row>
    <row r="184" spans="1:25" x14ac:dyDescent="0.3">
      <c r="A184" s="23"/>
      <c r="B184" s="12">
        <v>20</v>
      </c>
      <c r="C184" s="12">
        <v>5.0999999999999996</v>
      </c>
      <c r="D184" s="12">
        <v>3.8</v>
      </c>
      <c r="E184" s="12">
        <v>1.5</v>
      </c>
      <c r="F184" s="12">
        <v>0.3</v>
      </c>
      <c r="G184" s="12">
        <v>0</v>
      </c>
      <c r="I184" s="13">
        <f>I183-('Konfigurasi Model'!$B$11*T183)</f>
        <v>0.25307947014144144</v>
      </c>
      <c r="J184" s="13">
        <f>J183-('Konfigurasi Model'!$B$11*U183)</f>
        <v>-0.53283196784291942</v>
      </c>
      <c r="K184" s="13">
        <f>K183-('Konfigurasi Model'!$B$11*V183)</f>
        <v>-0.37045349760755159</v>
      </c>
      <c r="L184" s="13">
        <f>L183-('Konfigurasi Model'!$B$11*W183)</f>
        <v>0.57978974759790225</v>
      </c>
      <c r="M184" s="13">
        <f>M183-('Konfigurasi Model'!$B$11*X183)</f>
        <v>0.61736499364310804</v>
      </c>
      <c r="N184" s="13">
        <f t="shared" si="22"/>
        <v>-2.8171927372763577</v>
      </c>
      <c r="O184" s="13">
        <f t="shared" si="23"/>
        <v>5.6402152842100074E-2</v>
      </c>
      <c r="P184" s="12">
        <f t="shared" si="24"/>
        <v>0</v>
      </c>
      <c r="Q184" s="13">
        <f t="shared" si="25"/>
        <v>5.6402152842100074E-2</v>
      </c>
      <c r="R184" s="13">
        <f t="shared" si="26"/>
        <v>3.1812028452236174E-3</v>
      </c>
      <c r="T184" s="14">
        <f t="shared" si="27"/>
        <v>6.0035523122511829E-3</v>
      </c>
      <c r="U184" s="14">
        <f t="shared" si="28"/>
        <v>3.0618116792481029E-2</v>
      </c>
      <c r="V184" s="14">
        <f t="shared" si="29"/>
        <v>2.2813498786554493E-2</v>
      </c>
      <c r="W184" s="14">
        <f t="shared" si="30"/>
        <v>9.0053284683767748E-3</v>
      </c>
      <c r="X184" s="14">
        <f t="shared" si="31"/>
        <v>1.8010656936753547E-3</v>
      </c>
      <c r="Y184" s="12">
        <f t="shared" si="32"/>
        <v>1</v>
      </c>
    </row>
    <row r="185" spans="1:25" x14ac:dyDescent="0.3">
      <c r="A185" s="23"/>
      <c r="B185" s="12">
        <v>21</v>
      </c>
      <c r="C185" s="12">
        <v>5.4</v>
      </c>
      <c r="D185" s="12">
        <v>3.4</v>
      </c>
      <c r="E185" s="12">
        <v>1.7</v>
      </c>
      <c r="F185" s="12">
        <v>0.2</v>
      </c>
      <c r="G185" s="12">
        <v>0</v>
      </c>
      <c r="I185" s="13">
        <f>I184-('Konfigurasi Model'!$B$11*T184)</f>
        <v>0.25247911491021635</v>
      </c>
      <c r="J185" s="13">
        <f>J184-('Konfigurasi Model'!$B$11*U184)</f>
        <v>-0.53589377952216755</v>
      </c>
      <c r="K185" s="13">
        <f>K184-('Konfigurasi Model'!$B$11*V184)</f>
        <v>-0.37273484748620705</v>
      </c>
      <c r="L185" s="13">
        <f>L184-('Konfigurasi Model'!$B$11*W184)</f>
        <v>0.57888921475106458</v>
      </c>
      <c r="M185" s="13">
        <f>M184-('Konfigurasi Model'!$B$11*X184)</f>
        <v>0.61718488707374053</v>
      </c>
      <c r="N185" s="13">
        <f t="shared" si="22"/>
        <v>-2.8010971334710346</v>
      </c>
      <c r="O185" s="13">
        <f t="shared" si="23"/>
        <v>5.7264917660615075E-2</v>
      </c>
      <c r="P185" s="12">
        <f t="shared" si="24"/>
        <v>0</v>
      </c>
      <c r="Q185" s="13">
        <f t="shared" si="25"/>
        <v>5.7264917660615075E-2</v>
      </c>
      <c r="R185" s="13">
        <f t="shared" si="26"/>
        <v>3.2792707946770242E-3</v>
      </c>
      <c r="T185" s="14">
        <f t="shared" si="27"/>
        <v>6.18296724526597E-3</v>
      </c>
      <c r="U185" s="14">
        <f t="shared" si="28"/>
        <v>3.3388023124436242E-2</v>
      </c>
      <c r="V185" s="14">
        <f t="shared" si="29"/>
        <v>2.1022088633904298E-2</v>
      </c>
      <c r="W185" s="14">
        <f t="shared" si="30"/>
        <v>1.0511044316952149E-2</v>
      </c>
      <c r="X185" s="14">
        <f t="shared" si="31"/>
        <v>1.2365934490531942E-3</v>
      </c>
      <c r="Y185" s="12">
        <f t="shared" si="32"/>
        <v>1</v>
      </c>
    </row>
    <row r="186" spans="1:25" x14ac:dyDescent="0.3">
      <c r="A186" s="23"/>
      <c r="B186" s="12">
        <v>22</v>
      </c>
      <c r="C186" s="12">
        <v>5.0999999999999996</v>
      </c>
      <c r="D186" s="12">
        <v>3.7</v>
      </c>
      <c r="E186" s="12">
        <v>1.5</v>
      </c>
      <c r="F186" s="12">
        <v>0.4</v>
      </c>
      <c r="G186" s="12">
        <v>0</v>
      </c>
      <c r="I186" s="13">
        <f>I185-('Konfigurasi Model'!$B$11*T185)</f>
        <v>0.25186081818568973</v>
      </c>
      <c r="J186" s="13">
        <f>J185-('Konfigurasi Model'!$B$11*U185)</f>
        <v>-0.5392325818346112</v>
      </c>
      <c r="K186" s="13">
        <f>K185-('Konfigurasi Model'!$B$11*V185)</f>
        <v>-0.37483705634959746</v>
      </c>
      <c r="L186" s="13">
        <f>L185-('Konfigurasi Model'!$B$11*W185)</f>
        <v>0.57783811031936938</v>
      </c>
      <c r="M186" s="13">
        <f>M185-('Konfigurasi Model'!$B$11*X185)</f>
        <v>0.6170612277288352</v>
      </c>
      <c r="N186" s="13">
        <f t="shared" si="22"/>
        <v>-2.7715408010937499</v>
      </c>
      <c r="O186" s="13">
        <f t="shared" si="23"/>
        <v>5.8881572636517554E-2</v>
      </c>
      <c r="P186" s="12">
        <f t="shared" si="24"/>
        <v>0</v>
      </c>
      <c r="Q186" s="13">
        <f t="shared" si="25"/>
        <v>5.8881572636517554E-2</v>
      </c>
      <c r="R186" s="13">
        <f t="shared" si="26"/>
        <v>3.4670395961494929E-3</v>
      </c>
      <c r="T186" s="14">
        <f t="shared" si="27"/>
        <v>6.525789704670268E-3</v>
      </c>
      <c r="U186" s="14">
        <f t="shared" si="28"/>
        <v>3.3281527493818366E-2</v>
      </c>
      <c r="V186" s="14">
        <f t="shared" si="29"/>
        <v>2.4145421907279994E-2</v>
      </c>
      <c r="W186" s="14">
        <f t="shared" si="30"/>
        <v>9.7886845570054025E-3</v>
      </c>
      <c r="X186" s="14">
        <f t="shared" si="31"/>
        <v>2.6103158818681074E-3</v>
      </c>
      <c r="Y186" s="12">
        <f t="shared" si="32"/>
        <v>1</v>
      </c>
    </row>
    <row r="187" spans="1:25" x14ac:dyDescent="0.3">
      <c r="A187" s="23"/>
      <c r="B187" s="12">
        <v>23</v>
      </c>
      <c r="C187" s="12">
        <v>4.5999999999999996</v>
      </c>
      <c r="D187" s="12">
        <v>3.6</v>
      </c>
      <c r="E187" s="12">
        <v>1</v>
      </c>
      <c r="F187" s="12">
        <v>0.2</v>
      </c>
      <c r="G187" s="12">
        <v>0</v>
      </c>
      <c r="I187" s="13">
        <f>I186-('Konfigurasi Model'!$B$11*T186)</f>
        <v>0.25120823921522273</v>
      </c>
      <c r="J187" s="13">
        <f>J186-('Konfigurasi Model'!$B$11*U186)</f>
        <v>-0.54256073458399301</v>
      </c>
      <c r="K187" s="13">
        <f>K186-('Konfigurasi Model'!$B$11*V186)</f>
        <v>-0.37725159854032547</v>
      </c>
      <c r="L187" s="13">
        <f>L186-('Konfigurasi Model'!$B$11*W186)</f>
        <v>0.57685924186366888</v>
      </c>
      <c r="M187" s="13">
        <f>M186-('Konfigurasi Model'!$B$11*X186)</f>
        <v>0.6168001961406484</v>
      </c>
      <c r="N187" s="13">
        <f t="shared" si="22"/>
        <v>-2.9024576135245184</v>
      </c>
      <c r="O187" s="13">
        <f t="shared" si="23"/>
        <v>5.2032208099265086E-2</v>
      </c>
      <c r="P187" s="12">
        <f t="shared" si="24"/>
        <v>0</v>
      </c>
      <c r="Q187" s="13">
        <f t="shared" si="25"/>
        <v>5.2032208099265086E-2</v>
      </c>
      <c r="R187" s="13">
        <f t="shared" si="26"/>
        <v>2.7073506796852272E-3</v>
      </c>
      <c r="T187" s="14">
        <f t="shared" si="27"/>
        <v>5.1329624914443171E-3</v>
      </c>
      <c r="U187" s="14">
        <f t="shared" si="28"/>
        <v>2.3611627460643856E-2</v>
      </c>
      <c r="V187" s="14">
        <f t="shared" si="29"/>
        <v>1.8478664969199542E-2</v>
      </c>
      <c r="W187" s="14">
        <f t="shared" si="30"/>
        <v>5.1329624914443171E-3</v>
      </c>
      <c r="X187" s="14">
        <f t="shared" si="31"/>
        <v>1.0265924982888635E-3</v>
      </c>
      <c r="Y187" s="12">
        <f t="shared" si="32"/>
        <v>1</v>
      </c>
    </row>
    <row r="188" spans="1:25" x14ac:dyDescent="0.3">
      <c r="A188" s="23"/>
      <c r="B188" s="12">
        <v>24</v>
      </c>
      <c r="C188" s="12">
        <v>5.0999999999999996</v>
      </c>
      <c r="D188" s="12">
        <v>3.3</v>
      </c>
      <c r="E188" s="12">
        <v>1.7</v>
      </c>
      <c r="F188" s="12">
        <v>0.5</v>
      </c>
      <c r="G188" s="12">
        <v>0</v>
      </c>
      <c r="I188" s="13">
        <f>I187-('Konfigurasi Model'!$B$11*T187)</f>
        <v>0.2506949429660783</v>
      </c>
      <c r="J188" s="13">
        <f>J187-('Konfigurasi Model'!$B$11*U187)</f>
        <v>-0.54492189733005736</v>
      </c>
      <c r="K188" s="13">
        <f>K187-('Konfigurasi Model'!$B$11*V187)</f>
        <v>-0.37909946503724545</v>
      </c>
      <c r="L188" s="13">
        <f>L187-('Konfigurasi Model'!$B$11*W187)</f>
        <v>0.57634594561452446</v>
      </c>
      <c r="M188" s="13">
        <f>M187-('Konfigurasi Model'!$B$11*X187)</f>
        <v>0.61669753689081952</v>
      </c>
      <c r="N188" s="13">
        <f t="shared" si="22"/>
        <v>-2.4912980920500227</v>
      </c>
      <c r="O188" s="13">
        <f t="shared" si="23"/>
        <v>7.6470472119901059E-2</v>
      </c>
      <c r="P188" s="12">
        <f t="shared" si="24"/>
        <v>0</v>
      </c>
      <c r="Q188" s="13">
        <f t="shared" si="25"/>
        <v>7.6470472119901059E-2</v>
      </c>
      <c r="R188" s="13">
        <f t="shared" si="26"/>
        <v>5.8477331062405649E-3</v>
      </c>
      <c r="T188" s="14">
        <f t="shared" si="27"/>
        <v>1.0801108389550347E-2</v>
      </c>
      <c r="U188" s="14">
        <f t="shared" si="28"/>
        <v>5.5085652786706768E-2</v>
      </c>
      <c r="V188" s="14">
        <f t="shared" si="29"/>
        <v>3.5643657685516146E-2</v>
      </c>
      <c r="W188" s="14">
        <f t="shared" si="30"/>
        <v>1.8361884262235589E-2</v>
      </c>
      <c r="X188" s="14">
        <f t="shared" si="31"/>
        <v>5.4005541947751735E-3</v>
      </c>
      <c r="Y188" s="12">
        <f t="shared" si="32"/>
        <v>1</v>
      </c>
    </row>
    <row r="189" spans="1:25" x14ac:dyDescent="0.3">
      <c r="A189" s="23"/>
      <c r="B189" s="12">
        <v>25</v>
      </c>
      <c r="C189" s="12">
        <v>4.8</v>
      </c>
      <c r="D189" s="12">
        <v>3.4</v>
      </c>
      <c r="E189" s="12">
        <v>1.9</v>
      </c>
      <c r="F189" s="12">
        <v>0.2</v>
      </c>
      <c r="G189" s="12">
        <v>0</v>
      </c>
      <c r="I189" s="13">
        <f>I188-('Konfigurasi Model'!$B$11*T188)</f>
        <v>0.24961483212712327</v>
      </c>
      <c r="J189" s="13">
        <f>J188-('Konfigurasi Model'!$B$11*U188)</f>
        <v>-0.55043046260872808</v>
      </c>
      <c r="K189" s="13">
        <f>K188-('Konfigurasi Model'!$B$11*V188)</f>
        <v>-0.38266383080579708</v>
      </c>
      <c r="L189" s="13">
        <f>L188-('Konfigurasi Model'!$B$11*W188)</f>
        <v>0.57450975718830088</v>
      </c>
      <c r="M189" s="13">
        <f>M188-('Konfigurasi Model'!$B$11*X188)</f>
        <v>0.61615748147134197</v>
      </c>
      <c r="N189" s="13">
        <f t="shared" si="22"/>
        <v>-2.4787083781824411</v>
      </c>
      <c r="O189" s="13">
        <f t="shared" si="23"/>
        <v>7.7364346632205039E-2</v>
      </c>
      <c r="P189" s="12">
        <f t="shared" si="24"/>
        <v>0</v>
      </c>
      <c r="Q189" s="13">
        <f t="shared" si="25"/>
        <v>7.7364346632205039E-2</v>
      </c>
      <c r="R189" s="13">
        <f t="shared" si="26"/>
        <v>5.9852421298279748E-3</v>
      </c>
      <c r="T189" s="14">
        <f t="shared" si="27"/>
        <v>1.1044395566036574E-2</v>
      </c>
      <c r="U189" s="14">
        <f t="shared" si="28"/>
        <v>5.301309871697555E-2</v>
      </c>
      <c r="V189" s="14">
        <f t="shared" si="29"/>
        <v>3.7550944924524349E-2</v>
      </c>
      <c r="W189" s="14">
        <f t="shared" si="30"/>
        <v>2.098435157546949E-2</v>
      </c>
      <c r="X189" s="14">
        <f t="shared" si="31"/>
        <v>2.208879113207315E-3</v>
      </c>
      <c r="Y189" s="12">
        <f t="shared" si="32"/>
        <v>1</v>
      </c>
    </row>
    <row r="190" spans="1:25" x14ac:dyDescent="0.3">
      <c r="A190" s="23"/>
      <c r="B190" s="12">
        <v>26</v>
      </c>
      <c r="C190" s="12">
        <v>5</v>
      </c>
      <c r="D190" s="12">
        <v>3</v>
      </c>
      <c r="E190" s="12">
        <v>1.6</v>
      </c>
      <c r="F190" s="12">
        <v>0.2</v>
      </c>
      <c r="G190" s="12">
        <v>0</v>
      </c>
      <c r="I190" s="13">
        <f>I189-('Konfigurasi Model'!$B$11*T189)</f>
        <v>0.2485103925705196</v>
      </c>
      <c r="J190" s="13">
        <f>J189-('Konfigurasi Model'!$B$11*U189)</f>
        <v>-0.5557317724804256</v>
      </c>
      <c r="K190" s="13">
        <f>K189-('Konfigurasi Model'!$B$11*V189)</f>
        <v>-0.3864189252982495</v>
      </c>
      <c r="L190" s="13">
        <f>L189-('Konfigurasi Model'!$B$11*W189)</f>
        <v>0.57241132203075396</v>
      </c>
      <c r="M190" s="13">
        <f>M189-('Konfigurasi Model'!$B$11*X189)</f>
        <v>0.61593659356002128</v>
      </c>
      <c r="N190" s="13">
        <f t="shared" si="22"/>
        <v>-2.6503598117651466</v>
      </c>
      <c r="O190" s="13">
        <f t="shared" si="23"/>
        <v>6.5966836150208291E-2</v>
      </c>
      <c r="P190" s="12">
        <f t="shared" si="24"/>
        <v>0</v>
      </c>
      <c r="Q190" s="13">
        <f t="shared" si="25"/>
        <v>6.5966836150208291E-2</v>
      </c>
      <c r="R190" s="13">
        <f t="shared" si="26"/>
        <v>4.3516234716684272E-3</v>
      </c>
      <c r="T190" s="14">
        <f t="shared" si="27"/>
        <v>8.1291212782509514E-3</v>
      </c>
      <c r="U190" s="14">
        <f t="shared" si="28"/>
        <v>4.0645606391254759E-2</v>
      </c>
      <c r="V190" s="14">
        <f t="shared" si="29"/>
        <v>2.4387363834752852E-2</v>
      </c>
      <c r="W190" s="14">
        <f t="shared" si="30"/>
        <v>1.3006594045201523E-2</v>
      </c>
      <c r="X190" s="14">
        <f t="shared" si="31"/>
        <v>1.6258242556501904E-3</v>
      </c>
      <c r="Y190" s="12">
        <f t="shared" si="32"/>
        <v>1</v>
      </c>
    </row>
    <row r="191" spans="1:25" x14ac:dyDescent="0.3">
      <c r="A191" s="23"/>
      <c r="B191" s="12">
        <v>27</v>
      </c>
      <c r="C191" s="12">
        <v>5</v>
      </c>
      <c r="D191" s="12">
        <v>3.4</v>
      </c>
      <c r="E191" s="12">
        <v>1.6</v>
      </c>
      <c r="F191" s="12">
        <v>0.4</v>
      </c>
      <c r="G191" s="12">
        <v>0</v>
      </c>
      <c r="I191" s="13">
        <f>I190-('Konfigurasi Model'!$B$11*T190)</f>
        <v>0.24769748044269452</v>
      </c>
      <c r="J191" s="13">
        <f>J190-('Konfigurasi Model'!$B$11*U190)</f>
        <v>-0.55979633311955113</v>
      </c>
      <c r="K191" s="13">
        <f>K190-('Konfigurasi Model'!$B$11*V190)</f>
        <v>-0.38885766168172481</v>
      </c>
      <c r="L191" s="13">
        <f>L190-('Konfigurasi Model'!$B$11*W190)</f>
        <v>0.57111066262623378</v>
      </c>
      <c r="M191" s="13">
        <f>M190-('Konfigurasi Model'!$B$11*X190)</f>
        <v>0.61577401113445629</v>
      </c>
      <c r="N191" s="13">
        <f t="shared" si="22"/>
        <v>-2.7133135702171685</v>
      </c>
      <c r="O191" s="13">
        <f t="shared" si="23"/>
        <v>6.219230870437973E-2</v>
      </c>
      <c r="P191" s="12">
        <f t="shared" si="24"/>
        <v>0</v>
      </c>
      <c r="Q191" s="13">
        <f t="shared" si="25"/>
        <v>6.219230870437973E-2</v>
      </c>
      <c r="R191" s="13">
        <f t="shared" si="26"/>
        <v>3.8678832619808666E-3</v>
      </c>
      <c r="T191" s="14">
        <f t="shared" si="27"/>
        <v>7.2546613442384987E-3</v>
      </c>
      <c r="U191" s="14">
        <f t="shared" si="28"/>
        <v>3.6273306721192493E-2</v>
      </c>
      <c r="V191" s="14">
        <f t="shared" si="29"/>
        <v>2.4665848570410896E-2</v>
      </c>
      <c r="W191" s="14">
        <f t="shared" si="30"/>
        <v>1.1607458150781598E-2</v>
      </c>
      <c r="X191" s="14">
        <f t="shared" si="31"/>
        <v>2.9018645376953996E-3</v>
      </c>
      <c r="Y191" s="12">
        <f t="shared" si="32"/>
        <v>1</v>
      </c>
    </row>
    <row r="192" spans="1:25" x14ac:dyDescent="0.3">
      <c r="A192" s="23"/>
      <c r="B192" s="12">
        <v>28</v>
      </c>
      <c r="C192" s="12">
        <v>5.2</v>
      </c>
      <c r="D192" s="12">
        <v>3.5</v>
      </c>
      <c r="E192" s="12">
        <v>1.5</v>
      </c>
      <c r="F192" s="12">
        <v>0.2</v>
      </c>
      <c r="G192" s="12">
        <v>0</v>
      </c>
      <c r="I192" s="13">
        <f>I191-('Konfigurasi Model'!$B$11*T191)</f>
        <v>0.24697201430827068</v>
      </c>
      <c r="J192" s="13">
        <f>J191-('Konfigurasi Model'!$B$11*U191)</f>
        <v>-0.56342366379167041</v>
      </c>
      <c r="K192" s="13">
        <f>K191-('Konfigurasi Model'!$B$11*V191)</f>
        <v>-0.39132424653876591</v>
      </c>
      <c r="L192" s="13">
        <f>L191-('Konfigurasi Model'!$B$11*W191)</f>
        <v>0.56994991681115559</v>
      </c>
      <c r="M192" s="13">
        <f>M191-('Konfigurasi Model'!$B$11*X191)</f>
        <v>0.61548382468068674</v>
      </c>
      <c r="N192" s="13">
        <f t="shared" si="22"/>
        <v>-3.0744442601412261</v>
      </c>
      <c r="O192" s="13">
        <f t="shared" si="23"/>
        <v>4.4173799327338524E-2</v>
      </c>
      <c r="P192" s="12">
        <f t="shared" si="24"/>
        <v>0</v>
      </c>
      <c r="Q192" s="13">
        <f t="shared" si="25"/>
        <v>4.4173799327338524E-2</v>
      </c>
      <c r="R192" s="13">
        <f t="shared" si="26"/>
        <v>1.9513245470119734E-3</v>
      </c>
      <c r="T192" s="14">
        <f t="shared" si="27"/>
        <v>3.7302542560995132E-3</v>
      </c>
      <c r="U192" s="14">
        <f t="shared" si="28"/>
        <v>1.9397322131717468E-2</v>
      </c>
      <c r="V192" s="14">
        <f t="shared" si="29"/>
        <v>1.3055889896348297E-2</v>
      </c>
      <c r="W192" s="14">
        <f t="shared" si="30"/>
        <v>5.5953813841492697E-3</v>
      </c>
      <c r="X192" s="14">
        <f t="shared" si="31"/>
        <v>7.4605085121990267E-4</v>
      </c>
      <c r="Y192" s="12">
        <f t="shared" si="32"/>
        <v>1</v>
      </c>
    </row>
    <row r="193" spans="1:25" x14ac:dyDescent="0.3">
      <c r="A193" s="23"/>
      <c r="B193" s="12">
        <v>29</v>
      </c>
      <c r="C193" s="12">
        <v>5.2</v>
      </c>
      <c r="D193" s="12">
        <v>3.4</v>
      </c>
      <c r="E193" s="12">
        <v>1.4</v>
      </c>
      <c r="F193" s="12">
        <v>0.2</v>
      </c>
      <c r="G193" s="12">
        <v>0</v>
      </c>
      <c r="I193" s="13">
        <f>I192-('Konfigurasi Model'!$B$11*T192)</f>
        <v>0.24659898888266071</v>
      </c>
      <c r="J193" s="13">
        <f>J192-('Konfigurasi Model'!$B$11*U192)</f>
        <v>-0.5653633960048422</v>
      </c>
      <c r="K193" s="13">
        <f>K192-('Konfigurasi Model'!$B$11*V192)</f>
        <v>-0.39262983552840075</v>
      </c>
      <c r="L193" s="13">
        <f>L192-('Konfigurasi Model'!$B$11*W192)</f>
        <v>0.56939037867274067</v>
      </c>
      <c r="M193" s="13">
        <f>M192-('Konfigurasi Model'!$B$11*X192)</f>
        <v>0.61540921959556472</v>
      </c>
      <c r="N193" s="13">
        <f t="shared" si="22"/>
        <v>-3.1080037370781315</v>
      </c>
      <c r="O193" s="13">
        <f t="shared" si="23"/>
        <v>4.2778313280286549E-2</v>
      </c>
      <c r="P193" s="12">
        <f t="shared" si="24"/>
        <v>0</v>
      </c>
      <c r="Q193" s="13">
        <f t="shared" si="25"/>
        <v>4.2778313280286549E-2</v>
      </c>
      <c r="R193" s="13">
        <f t="shared" si="26"/>
        <v>1.8299840871063406E-3</v>
      </c>
      <c r="T193" s="14">
        <f t="shared" si="27"/>
        <v>3.5034009090603325E-3</v>
      </c>
      <c r="U193" s="14">
        <f t="shared" si="28"/>
        <v>1.8217684727113728E-2</v>
      </c>
      <c r="V193" s="14">
        <f t="shared" si="29"/>
        <v>1.1911563090805131E-2</v>
      </c>
      <c r="W193" s="14">
        <f t="shared" si="30"/>
        <v>4.904761272684465E-3</v>
      </c>
      <c r="X193" s="14">
        <f t="shared" si="31"/>
        <v>7.0068018181206656E-4</v>
      </c>
      <c r="Y193" s="12">
        <f t="shared" si="32"/>
        <v>1</v>
      </c>
    </row>
    <row r="194" spans="1:25" x14ac:dyDescent="0.3">
      <c r="A194" s="23"/>
      <c r="B194" s="12">
        <v>30</v>
      </c>
      <c r="C194" s="12">
        <v>4.7</v>
      </c>
      <c r="D194" s="12">
        <v>3.2</v>
      </c>
      <c r="E194" s="12">
        <v>1.6</v>
      </c>
      <c r="F194" s="12">
        <v>0.2</v>
      </c>
      <c r="G194" s="12">
        <v>0</v>
      </c>
      <c r="I194" s="13">
        <f>I193-('Konfigurasi Model'!$B$11*T193)</f>
        <v>0.24624864879175468</v>
      </c>
      <c r="J194" s="13">
        <f>J193-('Konfigurasi Model'!$B$11*U193)</f>
        <v>-0.56718516447755363</v>
      </c>
      <c r="K194" s="13">
        <f>K193-('Konfigurasi Model'!$B$11*V193)</f>
        <v>-0.39382099183748126</v>
      </c>
      <c r="L194" s="13">
        <f>L193-('Konfigurasi Model'!$B$11*W193)</f>
        <v>0.56889990254547218</v>
      </c>
      <c r="M194" s="13">
        <f>M193-('Konfigurasi Model'!$B$11*X193)</f>
        <v>0.6153391515773835</v>
      </c>
      <c r="N194" s="13">
        <f t="shared" si="22"/>
        <v>-2.6464411237444558</v>
      </c>
      <c r="O194" s="13">
        <f t="shared" si="23"/>
        <v>6.6208698004971631E-2</v>
      </c>
      <c r="P194" s="12">
        <f t="shared" si="24"/>
        <v>0</v>
      </c>
      <c r="Q194" s="13">
        <f t="shared" si="25"/>
        <v>6.6208698004971631E-2</v>
      </c>
      <c r="R194" s="13">
        <f t="shared" si="26"/>
        <v>4.383591691513534E-3</v>
      </c>
      <c r="T194" s="14">
        <f t="shared" si="27"/>
        <v>8.1867195860660241E-3</v>
      </c>
      <c r="U194" s="14">
        <f t="shared" si="28"/>
        <v>3.8477582054510316E-2</v>
      </c>
      <c r="V194" s="14">
        <f t="shared" si="29"/>
        <v>2.619750267541128E-2</v>
      </c>
      <c r="W194" s="14">
        <f t="shared" si="30"/>
        <v>1.309875133770564E-2</v>
      </c>
      <c r="X194" s="14">
        <f t="shared" si="31"/>
        <v>1.637343917213205E-3</v>
      </c>
      <c r="Y194" s="12">
        <f t="shared" si="32"/>
        <v>1</v>
      </c>
    </row>
    <row r="195" spans="1:25" x14ac:dyDescent="0.3">
      <c r="A195" s="23"/>
      <c r="B195" s="12">
        <v>31</v>
      </c>
      <c r="C195" s="12">
        <v>4.8</v>
      </c>
      <c r="D195" s="12">
        <v>3.1</v>
      </c>
      <c r="E195" s="12">
        <v>1.6</v>
      </c>
      <c r="F195" s="12">
        <v>0.2</v>
      </c>
      <c r="G195" s="12">
        <v>0</v>
      </c>
      <c r="I195" s="13">
        <f>I194-('Konfigurasi Model'!$B$11*T194)</f>
        <v>0.24542997683314807</v>
      </c>
      <c r="J195" s="13">
        <f>J194-('Konfigurasi Model'!$B$11*U194)</f>
        <v>-0.57103292268300465</v>
      </c>
      <c r="K195" s="13">
        <f>K194-('Konfigurasi Model'!$B$11*V194)</f>
        <v>-0.39644074210502239</v>
      </c>
      <c r="L195" s="13">
        <f>L194-('Konfigurasi Model'!$B$11*W194)</f>
        <v>0.56759002741170161</v>
      </c>
      <c r="M195" s="13">
        <f>M194-('Konfigurasi Model'!$B$11*X194)</f>
        <v>0.61517541718566215</v>
      </c>
      <c r="N195" s="13">
        <f t="shared" si="22"/>
        <v>-2.6933152252749886</v>
      </c>
      <c r="O195" s="13">
        <f t="shared" si="23"/>
        <v>6.3368963586400776E-2</v>
      </c>
      <c r="P195" s="12">
        <f t="shared" si="24"/>
        <v>0</v>
      </c>
      <c r="Q195" s="13">
        <f t="shared" si="25"/>
        <v>6.3368963586400776E-2</v>
      </c>
      <c r="R195" s="13">
        <f t="shared" si="26"/>
        <v>4.0156255460145878E-3</v>
      </c>
      <c r="T195" s="14">
        <f t="shared" si="27"/>
        <v>7.5223190340251364E-3</v>
      </c>
      <c r="U195" s="14">
        <f t="shared" si="28"/>
        <v>3.6107131363320652E-2</v>
      </c>
      <c r="V195" s="14">
        <f t="shared" si="29"/>
        <v>2.3319189005477924E-2</v>
      </c>
      <c r="W195" s="14">
        <f t="shared" si="30"/>
        <v>1.203571045444022E-2</v>
      </c>
      <c r="X195" s="14">
        <f t="shared" si="31"/>
        <v>1.5044638068050275E-3</v>
      </c>
      <c r="Y195" s="12">
        <f t="shared" si="32"/>
        <v>1</v>
      </c>
    </row>
    <row r="196" spans="1:25" x14ac:dyDescent="0.3">
      <c r="A196" s="23"/>
      <c r="B196" s="12">
        <v>32</v>
      </c>
      <c r="C196" s="12">
        <v>5.4</v>
      </c>
      <c r="D196" s="12">
        <v>3.4</v>
      </c>
      <c r="E196" s="12">
        <v>1.5</v>
      </c>
      <c r="F196" s="12">
        <v>0.4</v>
      </c>
      <c r="G196" s="12">
        <v>0</v>
      </c>
      <c r="I196" s="13">
        <f>I195-('Konfigurasi Model'!$B$11*T195)</f>
        <v>0.24467774492974556</v>
      </c>
      <c r="J196" s="13">
        <f>J195-('Konfigurasi Model'!$B$11*U195)</f>
        <v>-0.57464363581933675</v>
      </c>
      <c r="K196" s="13">
        <f>K195-('Konfigurasi Model'!$B$11*V195)</f>
        <v>-0.39877266100557018</v>
      </c>
      <c r="L196" s="13">
        <f>L195-('Konfigurasi Model'!$B$11*W195)</f>
        <v>0.56638645636625762</v>
      </c>
      <c r="M196" s="13">
        <f>M195-('Konfigurasi Model'!$B$11*X195)</f>
        <v>0.61502497080498164</v>
      </c>
      <c r="N196" s="13">
        <f t="shared" si="22"/>
        <v>-3.1186352630422323</v>
      </c>
      <c r="O196" s="13">
        <f t="shared" si="23"/>
        <v>4.2345080067101339E-2</v>
      </c>
      <c r="P196" s="12">
        <f t="shared" si="24"/>
        <v>0</v>
      </c>
      <c r="Q196" s="13">
        <f t="shared" si="25"/>
        <v>4.2345080067101339E-2</v>
      </c>
      <c r="R196" s="13">
        <f t="shared" si="26"/>
        <v>1.7931058058892231E-3</v>
      </c>
      <c r="T196" s="14">
        <f t="shared" si="27"/>
        <v>3.434353193940119E-3</v>
      </c>
      <c r="U196" s="14">
        <f t="shared" si="28"/>
        <v>1.8545507247276643E-2</v>
      </c>
      <c r="V196" s="14">
        <f t="shared" si="29"/>
        <v>1.1676800859396404E-2</v>
      </c>
      <c r="W196" s="14">
        <f t="shared" si="30"/>
        <v>5.1515297909101787E-3</v>
      </c>
      <c r="X196" s="14">
        <f t="shared" si="31"/>
        <v>1.3737412775760476E-3</v>
      </c>
      <c r="Y196" s="12">
        <f t="shared" si="32"/>
        <v>1</v>
      </c>
    </row>
    <row r="197" spans="1:25" x14ac:dyDescent="0.3">
      <c r="A197" s="23"/>
      <c r="B197" s="12">
        <v>33</v>
      </c>
      <c r="C197" s="12">
        <v>5.2</v>
      </c>
      <c r="D197" s="12">
        <v>4.0999999999999996</v>
      </c>
      <c r="E197" s="12">
        <v>1.5</v>
      </c>
      <c r="F197" s="12">
        <v>0.1</v>
      </c>
      <c r="G197" s="12">
        <v>0</v>
      </c>
      <c r="I197" s="13">
        <f>I196-('Konfigurasi Model'!$B$11*T196)</f>
        <v>0.24433430961035155</v>
      </c>
      <c r="J197" s="13">
        <f>J196-('Konfigurasi Model'!$B$11*U196)</f>
        <v>-0.57649818654406437</v>
      </c>
      <c r="K197" s="13">
        <f>K196-('Konfigurasi Model'!$B$11*V196)</f>
        <v>-0.39994034109150983</v>
      </c>
      <c r="L197" s="13">
        <f>L196-('Konfigurasi Model'!$B$11*W196)</f>
        <v>0.56587130338716662</v>
      </c>
      <c r="M197" s="13">
        <f>M196-('Konfigurasi Model'!$B$11*X196)</f>
        <v>0.61488759667722404</v>
      </c>
      <c r="N197" s="13">
        <f t="shared" ref="N197:N260" si="33">I197+J197*C197+K197*D197+L197*E197+M197*F197</f>
        <v>-3.4829159441455007</v>
      </c>
      <c r="O197" s="13">
        <f t="shared" ref="O197:O260" si="34">1/(1+EXP(-N197))</f>
        <v>2.9802252270814331E-2</v>
      </c>
      <c r="P197" s="12">
        <f t="shared" ref="P197:P260" si="35">IF(O197&gt;0.5,1,0)</f>
        <v>0</v>
      </c>
      <c r="Q197" s="13">
        <f t="shared" ref="Q197:Q260" si="36">O197-G197</f>
        <v>2.9802252270814331E-2</v>
      </c>
      <c r="R197" s="13">
        <f t="shared" ref="R197:R260" si="37">Q197^2</f>
        <v>8.8817424041325792E-4</v>
      </c>
      <c r="T197" s="14">
        <f t="shared" ref="T197:T260" si="38">2*(O197-G197)*(1-O197)*O197</f>
        <v>1.7234092952800463E-3</v>
      </c>
      <c r="U197" s="14">
        <f t="shared" ref="U197:U260" si="39">2*(O197-G197)*(1-O197)*O197*C197</f>
        <v>8.9617283354562413E-3</v>
      </c>
      <c r="V197" s="14">
        <f t="shared" ref="V197:V260" si="40">2*(O197-G197)*(1-O197)*O197*D197</f>
        <v>7.0659781106481891E-3</v>
      </c>
      <c r="W197" s="14">
        <f t="shared" ref="W197:W260" si="41">2*(O197-G197)*(1-O197)*O197*E197</f>
        <v>2.5851139429200693E-3</v>
      </c>
      <c r="X197" s="14">
        <f t="shared" ref="X197:X260" si="42">2*(O197-G197)*(1-O197)*O197*F197</f>
        <v>1.7234092952800464E-4</v>
      </c>
      <c r="Y197" s="12">
        <f t="shared" ref="Y197:Y260" si="43">IF(P197=G197,1,0)</f>
        <v>1</v>
      </c>
    </row>
    <row r="198" spans="1:25" x14ac:dyDescent="0.3">
      <c r="A198" s="23"/>
      <c r="B198" s="12">
        <v>34</v>
      </c>
      <c r="C198" s="12">
        <v>5.5</v>
      </c>
      <c r="D198" s="12">
        <v>4.2</v>
      </c>
      <c r="E198" s="12">
        <v>1.4</v>
      </c>
      <c r="F198" s="12">
        <v>0.2</v>
      </c>
      <c r="G198" s="12">
        <v>0</v>
      </c>
      <c r="I198" s="13">
        <f>I197-('Konfigurasi Model'!$B$11*T197)</f>
        <v>0.24416196868082354</v>
      </c>
      <c r="J198" s="13">
        <f>J197-('Konfigurasi Model'!$B$11*U197)</f>
        <v>-0.57739435937760997</v>
      </c>
      <c r="K198" s="13">
        <f>K197-('Konfigurasi Model'!$B$11*V197)</f>
        <v>-0.40064693890257463</v>
      </c>
      <c r="L198" s="13">
        <f>L197-('Konfigurasi Model'!$B$11*W197)</f>
        <v>0.56561279199287462</v>
      </c>
      <c r="M198" s="13">
        <f>M197-('Konfigurasi Model'!$B$11*X197)</f>
        <v>0.61487036258427119</v>
      </c>
      <c r="N198" s="13">
        <f t="shared" si="33"/>
        <v>-3.6993921699799657</v>
      </c>
      <c r="O198" s="13">
        <f t="shared" si="34"/>
        <v>2.4141336860024922E-2</v>
      </c>
      <c r="P198" s="12">
        <f t="shared" si="35"/>
        <v>0</v>
      </c>
      <c r="Q198" s="13">
        <f t="shared" si="36"/>
        <v>2.4141336860024922E-2</v>
      </c>
      <c r="R198" s="13">
        <f t="shared" si="37"/>
        <v>5.8280414538919799E-4</v>
      </c>
      <c r="T198" s="14">
        <f t="shared" si="38"/>
        <v>1.1374689483838766E-3</v>
      </c>
      <c r="U198" s="14">
        <f t="shared" si="39"/>
        <v>6.256079216111321E-3</v>
      </c>
      <c r="V198" s="14">
        <f t="shared" si="40"/>
        <v>4.7773695832122823E-3</v>
      </c>
      <c r="W198" s="14">
        <f t="shared" si="41"/>
        <v>1.5924565277374272E-3</v>
      </c>
      <c r="X198" s="14">
        <f t="shared" si="42"/>
        <v>2.2749378967677533E-4</v>
      </c>
      <c r="Y198" s="12">
        <f t="shared" si="43"/>
        <v>1</v>
      </c>
    </row>
    <row r="199" spans="1:25" x14ac:dyDescent="0.3">
      <c r="A199" s="23"/>
      <c r="B199" s="12">
        <v>35</v>
      </c>
      <c r="C199" s="12">
        <v>4.9000000000000004</v>
      </c>
      <c r="D199" s="12">
        <v>3.1</v>
      </c>
      <c r="E199" s="12">
        <v>1.5</v>
      </c>
      <c r="F199" s="12">
        <v>0.1</v>
      </c>
      <c r="G199" s="12">
        <v>0</v>
      </c>
      <c r="I199" s="13">
        <f>I198-('Konfigurasi Model'!$B$11*T198)</f>
        <v>0.24404822178598515</v>
      </c>
      <c r="J199" s="13">
        <f>J198-('Konfigurasi Model'!$B$11*U198)</f>
        <v>-0.57801996729922112</v>
      </c>
      <c r="K199" s="13">
        <f>K198-('Konfigurasi Model'!$B$11*V198)</f>
        <v>-0.40112467586089584</v>
      </c>
      <c r="L199" s="13">
        <f>L198-('Konfigurasi Model'!$B$11*W198)</f>
        <v>0.56545354634010092</v>
      </c>
      <c r="M199" s="13">
        <f>M198-('Konfigurasi Model'!$B$11*X198)</f>
        <v>0.61484761320530357</v>
      </c>
      <c r="N199" s="13">
        <f t="shared" si="33"/>
        <v>-2.9220710323182941</v>
      </c>
      <c r="O199" s="13">
        <f t="shared" si="34"/>
        <v>5.1073235461637577E-2</v>
      </c>
      <c r="P199" s="12">
        <f t="shared" si="35"/>
        <v>0</v>
      </c>
      <c r="Q199" s="13">
        <f t="shared" si="36"/>
        <v>5.1073235461637577E-2</v>
      </c>
      <c r="R199" s="13">
        <f t="shared" si="37"/>
        <v>2.6084753805198741E-3</v>
      </c>
      <c r="T199" s="14">
        <f t="shared" si="38"/>
        <v>4.9505042064293958E-3</v>
      </c>
      <c r="U199" s="14">
        <f t="shared" si="39"/>
        <v>2.4257470611504042E-2</v>
      </c>
      <c r="V199" s="14">
        <f t="shared" si="40"/>
        <v>1.5346563039931127E-2</v>
      </c>
      <c r="W199" s="14">
        <f t="shared" si="41"/>
        <v>7.4257563096440937E-3</v>
      </c>
      <c r="X199" s="14">
        <f t="shared" si="42"/>
        <v>4.9505042064293956E-4</v>
      </c>
      <c r="Y199" s="12">
        <f t="shared" si="43"/>
        <v>1</v>
      </c>
    </row>
    <row r="200" spans="1:25" x14ac:dyDescent="0.3">
      <c r="A200" s="23"/>
      <c r="B200" s="12">
        <v>36</v>
      </c>
      <c r="C200" s="12">
        <v>5</v>
      </c>
      <c r="D200" s="12">
        <v>3.2</v>
      </c>
      <c r="E200" s="12">
        <v>1.2</v>
      </c>
      <c r="F200" s="12">
        <v>0.2</v>
      </c>
      <c r="G200" s="12">
        <v>0</v>
      </c>
      <c r="I200" s="13">
        <f>I199-('Konfigurasi Model'!$B$11*T199)</f>
        <v>0.24355317136534221</v>
      </c>
      <c r="J200" s="13">
        <f>J199-('Konfigurasi Model'!$B$11*U199)</f>
        <v>-0.58044571436037151</v>
      </c>
      <c r="K200" s="13">
        <f>K199-('Konfigurasi Model'!$B$11*V199)</f>
        <v>-0.40265933216488897</v>
      </c>
      <c r="L200" s="13">
        <f>L199-('Konfigurasi Model'!$B$11*W199)</f>
        <v>0.56471097070913656</v>
      </c>
      <c r="M200" s="13">
        <f>M199-('Konfigurasi Model'!$B$11*X199)</f>
        <v>0.61479810816323932</v>
      </c>
      <c r="N200" s="13">
        <f t="shared" si="33"/>
        <v>-3.1465724768805483</v>
      </c>
      <c r="O200" s="13">
        <f t="shared" si="34"/>
        <v>4.1226544788347044E-2</v>
      </c>
      <c r="P200" s="12">
        <f t="shared" si="35"/>
        <v>0</v>
      </c>
      <c r="Q200" s="13">
        <f t="shared" si="36"/>
        <v>4.1226544788347044E-2</v>
      </c>
      <c r="R200" s="13">
        <f t="shared" si="37"/>
        <v>1.6996279951855848E-3</v>
      </c>
      <c r="T200" s="14">
        <f t="shared" si="38"/>
        <v>3.2591164110370753E-3</v>
      </c>
      <c r="U200" s="14">
        <f t="shared" si="39"/>
        <v>1.6295582055185377E-2</v>
      </c>
      <c r="V200" s="14">
        <f t="shared" si="40"/>
        <v>1.0429172515318642E-2</v>
      </c>
      <c r="W200" s="14">
        <f t="shared" si="41"/>
        <v>3.91093969324449E-3</v>
      </c>
      <c r="X200" s="14">
        <f t="shared" si="42"/>
        <v>6.5182328220741515E-4</v>
      </c>
      <c r="Y200" s="12">
        <f t="shared" si="43"/>
        <v>1</v>
      </c>
    </row>
    <row r="201" spans="1:25" x14ac:dyDescent="0.3">
      <c r="A201" s="23"/>
      <c r="B201" s="12">
        <v>37</v>
      </c>
      <c r="C201" s="12">
        <v>5.5</v>
      </c>
      <c r="D201" s="12">
        <v>3.5</v>
      </c>
      <c r="E201" s="12">
        <v>1.3</v>
      </c>
      <c r="F201" s="12">
        <v>0.2</v>
      </c>
      <c r="G201" s="12">
        <v>0</v>
      </c>
      <c r="I201" s="13">
        <f>I200-('Konfigurasi Model'!$B$11*T200)</f>
        <v>0.2432272597242385</v>
      </c>
      <c r="J201" s="13">
        <f>J200-('Konfigurasi Model'!$B$11*U200)</f>
        <v>-0.58207527256589009</v>
      </c>
      <c r="K201" s="13">
        <f>K200-('Konfigurasi Model'!$B$11*V200)</f>
        <v>-0.40370224941642086</v>
      </c>
      <c r="L201" s="13">
        <f>L200-('Konfigurasi Model'!$B$11*W200)</f>
        <v>0.5643198767398121</v>
      </c>
      <c r="M201" s="13">
        <f>M200-('Konfigurasi Model'!$B$11*X200)</f>
        <v>0.6147329258350186</v>
      </c>
      <c r="N201" s="13">
        <f t="shared" si="33"/>
        <v>-3.5145821874168703</v>
      </c>
      <c r="O201" s="13">
        <f t="shared" si="34"/>
        <v>2.8900159045415198E-2</v>
      </c>
      <c r="P201" s="12">
        <f t="shared" si="35"/>
        <v>0</v>
      </c>
      <c r="Q201" s="13">
        <f t="shared" si="36"/>
        <v>2.8900159045415198E-2</v>
      </c>
      <c r="R201" s="13">
        <f t="shared" si="37"/>
        <v>8.3521919285029389E-4</v>
      </c>
      <c r="T201" s="14">
        <f t="shared" si="38"/>
        <v>1.6221624506782741E-3</v>
      </c>
      <c r="U201" s="14">
        <f t="shared" si="39"/>
        <v>8.9218934787305068E-3</v>
      </c>
      <c r="V201" s="14">
        <f t="shared" si="40"/>
        <v>5.6775685773739594E-3</v>
      </c>
      <c r="W201" s="14">
        <f t="shared" si="41"/>
        <v>2.1088111858817565E-3</v>
      </c>
      <c r="X201" s="14">
        <f t="shared" si="42"/>
        <v>3.2443249013565487E-4</v>
      </c>
      <c r="Y201" s="12">
        <f t="shared" si="43"/>
        <v>1</v>
      </c>
    </row>
    <row r="202" spans="1:25" x14ac:dyDescent="0.3">
      <c r="A202" s="23"/>
      <c r="B202" s="12">
        <v>38</v>
      </c>
      <c r="C202" s="12">
        <v>4.9000000000000004</v>
      </c>
      <c r="D202" s="12">
        <v>3.1</v>
      </c>
      <c r="E202" s="12">
        <v>1.5</v>
      </c>
      <c r="F202" s="12">
        <v>0.1</v>
      </c>
      <c r="G202" s="12">
        <v>0</v>
      </c>
      <c r="I202" s="13">
        <f>I201-('Konfigurasi Model'!$B$11*T201)</f>
        <v>0.24306504347917068</v>
      </c>
      <c r="J202" s="13">
        <f>J201-('Konfigurasi Model'!$B$11*U201)</f>
        <v>-0.58296746191376314</v>
      </c>
      <c r="K202" s="13">
        <f>K201-('Konfigurasi Model'!$B$11*V201)</f>
        <v>-0.40427000627415827</v>
      </c>
      <c r="L202" s="13">
        <f>L201-('Konfigurasi Model'!$B$11*W201)</f>
        <v>0.56410899562122396</v>
      </c>
      <c r="M202" s="13">
        <f>M201-('Konfigurasi Model'!$B$11*X201)</f>
        <v>0.61470048258600507</v>
      </c>
      <c r="N202" s="13">
        <f t="shared" si="33"/>
        <v>-2.959078997657723</v>
      </c>
      <c r="O202" s="13">
        <f t="shared" si="34"/>
        <v>4.9309162702422929E-2</v>
      </c>
      <c r="P202" s="12">
        <f t="shared" si="35"/>
        <v>0</v>
      </c>
      <c r="Q202" s="13">
        <f t="shared" si="36"/>
        <v>4.9309162702422929E-2</v>
      </c>
      <c r="R202" s="13">
        <f t="shared" si="37"/>
        <v>2.4313935264140166E-3</v>
      </c>
      <c r="T202" s="14">
        <f t="shared" si="38"/>
        <v>4.6230070948529E-3</v>
      </c>
      <c r="U202" s="14">
        <f t="shared" si="39"/>
        <v>2.2652734764779213E-2</v>
      </c>
      <c r="V202" s="14">
        <f t="shared" si="40"/>
        <v>1.4331321994043991E-2</v>
      </c>
      <c r="W202" s="14">
        <f t="shared" si="41"/>
        <v>6.93451064227935E-3</v>
      </c>
      <c r="X202" s="14">
        <f t="shared" si="42"/>
        <v>4.6230070948529003E-4</v>
      </c>
      <c r="Y202" s="12">
        <f t="shared" si="43"/>
        <v>1</v>
      </c>
    </row>
    <row r="203" spans="1:25" x14ac:dyDescent="0.3">
      <c r="A203" s="23"/>
      <c r="B203" s="12">
        <v>39</v>
      </c>
      <c r="C203" s="12">
        <v>4.4000000000000004</v>
      </c>
      <c r="D203" s="12">
        <v>3</v>
      </c>
      <c r="E203" s="12">
        <v>1.3</v>
      </c>
      <c r="F203" s="12">
        <v>0.2</v>
      </c>
      <c r="G203" s="12">
        <v>0</v>
      </c>
      <c r="I203" s="13">
        <f>I202-('Konfigurasi Model'!$B$11*T202)</f>
        <v>0.24260274276968538</v>
      </c>
      <c r="J203" s="13">
        <f>J202-('Konfigurasi Model'!$B$11*U202)</f>
        <v>-0.58523273539024101</v>
      </c>
      <c r="K203" s="13">
        <f>K202-('Konfigurasi Model'!$B$11*V202)</f>
        <v>-0.40570313847356265</v>
      </c>
      <c r="L203" s="13">
        <f>L202-('Konfigurasi Model'!$B$11*W202)</f>
        <v>0.56341554455699605</v>
      </c>
      <c r="M203" s="13">
        <f>M202-('Konfigurasi Model'!$B$11*X202)</f>
        <v>0.61465425251505657</v>
      </c>
      <c r="N203" s="13">
        <f t="shared" si="33"/>
        <v>-2.694159649940957</v>
      </c>
      <c r="O203" s="13">
        <f t="shared" si="34"/>
        <v>6.3318862639049317E-2</v>
      </c>
      <c r="P203" s="12">
        <f t="shared" si="35"/>
        <v>0</v>
      </c>
      <c r="Q203" s="13">
        <f t="shared" si="36"/>
        <v>6.3318862639049317E-2</v>
      </c>
      <c r="R203" s="13">
        <f t="shared" si="37"/>
        <v>4.0092783659027957E-3</v>
      </c>
      <c r="T203" s="14">
        <f t="shared" si="38"/>
        <v>7.5108308395409685E-3</v>
      </c>
      <c r="U203" s="14">
        <f t="shared" si="39"/>
        <v>3.3047655693980264E-2</v>
      </c>
      <c r="V203" s="14">
        <f t="shared" si="40"/>
        <v>2.2532492518622906E-2</v>
      </c>
      <c r="W203" s="14">
        <f t="shared" si="41"/>
        <v>9.7640800914032596E-3</v>
      </c>
      <c r="X203" s="14">
        <f t="shared" si="42"/>
        <v>1.5021661679081937E-3</v>
      </c>
      <c r="Y203" s="12">
        <f t="shared" si="43"/>
        <v>1</v>
      </c>
    </row>
    <row r="204" spans="1:25" x14ac:dyDescent="0.3">
      <c r="A204" s="23"/>
      <c r="B204" s="12">
        <v>40</v>
      </c>
      <c r="C204" s="12">
        <v>5.0999999999999996</v>
      </c>
      <c r="D204" s="12">
        <v>3.4</v>
      </c>
      <c r="E204" s="12">
        <v>1.5</v>
      </c>
      <c r="F204" s="12">
        <v>0.2</v>
      </c>
      <c r="G204" s="12">
        <v>0</v>
      </c>
      <c r="I204" s="13">
        <f>I203-('Konfigurasi Model'!$B$11*T203)</f>
        <v>0.24185165968573127</v>
      </c>
      <c r="J204" s="13">
        <f>J203-('Konfigurasi Model'!$B$11*U203)</f>
        <v>-0.58853750095963908</v>
      </c>
      <c r="K204" s="13">
        <f>K203-('Konfigurasi Model'!$B$11*V203)</f>
        <v>-0.40795638772542492</v>
      </c>
      <c r="L204" s="13">
        <f>L203-('Konfigurasi Model'!$B$11*W203)</f>
        <v>0.56243913654785571</v>
      </c>
      <c r="M204" s="13">
        <f>M203-('Konfigurasi Model'!$B$11*X203)</f>
        <v>0.61450403589826574</v>
      </c>
      <c r="N204" s="13">
        <f t="shared" si="33"/>
        <v>-3.1801818014734353</v>
      </c>
      <c r="O204" s="13">
        <f t="shared" si="34"/>
        <v>3.9918365848540152E-2</v>
      </c>
      <c r="P204" s="12">
        <f t="shared" si="35"/>
        <v>0</v>
      </c>
      <c r="Q204" s="13">
        <f t="shared" si="36"/>
        <v>3.9918365848540152E-2</v>
      </c>
      <c r="R204" s="13">
        <f t="shared" si="37"/>
        <v>1.5934759320178967E-3</v>
      </c>
      <c r="T204" s="14">
        <f t="shared" si="38"/>
        <v>3.0597339535855255E-3</v>
      </c>
      <c r="U204" s="14">
        <f t="shared" si="39"/>
        <v>1.5604643163286179E-2</v>
      </c>
      <c r="V204" s="14">
        <f t="shared" si="40"/>
        <v>1.0403095442190787E-2</v>
      </c>
      <c r="W204" s="14">
        <f t="shared" si="41"/>
        <v>4.5896009303782884E-3</v>
      </c>
      <c r="X204" s="14">
        <f t="shared" si="42"/>
        <v>6.1194679071710511E-4</v>
      </c>
      <c r="Y204" s="12">
        <f t="shared" si="43"/>
        <v>1</v>
      </c>
    </row>
    <row r="205" spans="1:25" x14ac:dyDescent="0.3">
      <c r="A205" s="23"/>
      <c r="B205" s="12">
        <v>41</v>
      </c>
      <c r="C205" s="12">
        <v>7</v>
      </c>
      <c r="D205" s="12">
        <v>3.2</v>
      </c>
      <c r="E205" s="12">
        <v>4.7</v>
      </c>
      <c r="F205" s="12">
        <v>1.4</v>
      </c>
      <c r="G205" s="12">
        <v>1</v>
      </c>
      <c r="I205" s="13">
        <f>I204-('Konfigurasi Model'!$B$11*T204)</f>
        <v>0.24154568629037271</v>
      </c>
      <c r="J205" s="13">
        <f>J204-('Konfigurasi Model'!$B$11*U204)</f>
        <v>-0.5900979652759677</v>
      </c>
      <c r="K205" s="13">
        <f>K204-('Konfigurasi Model'!$B$11*V204)</f>
        <v>-0.40899669726964399</v>
      </c>
      <c r="L205" s="13">
        <f>L204-('Konfigurasi Model'!$B$11*W204)</f>
        <v>0.5619801764548179</v>
      </c>
      <c r="M205" s="13">
        <f>M204-('Konfigurasi Model'!$B$11*X204)</f>
        <v>0.61444284121919401</v>
      </c>
      <c r="N205" s="13">
        <f t="shared" si="33"/>
        <v>-1.6964026948597468</v>
      </c>
      <c r="O205" s="13">
        <f t="shared" si="34"/>
        <v>0.15493567802155944</v>
      </c>
      <c r="P205" s="12">
        <f t="shared" si="35"/>
        <v>0</v>
      </c>
      <c r="Q205" s="13">
        <f t="shared" si="36"/>
        <v>-0.84506432197844061</v>
      </c>
      <c r="R205" s="13">
        <f t="shared" si="37"/>
        <v>0.71413370828088152</v>
      </c>
      <c r="T205" s="14">
        <f t="shared" si="38"/>
        <v>-0.22128958058109782</v>
      </c>
      <c r="U205" s="14">
        <f t="shared" si="39"/>
        <v>-1.5490270640676846</v>
      </c>
      <c r="V205" s="14">
        <f t="shared" si="40"/>
        <v>-0.70812665785951312</v>
      </c>
      <c r="W205" s="14">
        <f t="shared" si="41"/>
        <v>-1.0400610287311598</v>
      </c>
      <c r="X205" s="14">
        <f t="shared" si="42"/>
        <v>-0.30980541281353691</v>
      </c>
      <c r="Y205" s="12">
        <f t="shared" si="43"/>
        <v>0</v>
      </c>
    </row>
    <row r="206" spans="1:25" x14ac:dyDescent="0.3">
      <c r="A206" s="23"/>
      <c r="B206" s="12">
        <v>42</v>
      </c>
      <c r="C206" s="12">
        <v>6.4</v>
      </c>
      <c r="D206" s="12">
        <v>3.2</v>
      </c>
      <c r="E206" s="12">
        <v>4.5</v>
      </c>
      <c r="F206" s="12">
        <v>1.5</v>
      </c>
      <c r="G206" s="12">
        <v>1</v>
      </c>
      <c r="I206" s="13">
        <f>I205-('Konfigurasi Model'!$B$11*T205)</f>
        <v>0.26367464434848248</v>
      </c>
      <c r="J206" s="13">
        <f>J205-('Konfigurasi Model'!$B$11*U205)</f>
        <v>-0.43519525886919919</v>
      </c>
      <c r="K206" s="13">
        <f>K205-('Konfigurasi Model'!$B$11*V205)</f>
        <v>-0.33818403148369269</v>
      </c>
      <c r="L206" s="13">
        <f>L205-('Konfigurasi Model'!$B$11*W205)</f>
        <v>0.66598627932793386</v>
      </c>
      <c r="M206" s="13">
        <f>M205-('Konfigurasi Model'!$B$11*X205)</f>
        <v>0.64542338250054776</v>
      </c>
      <c r="N206" s="13">
        <f t="shared" si="33"/>
        <v>0.36130941756431456</v>
      </c>
      <c r="O206" s="13">
        <f t="shared" si="34"/>
        <v>0.58935737012964218</v>
      </c>
      <c r="P206" s="12">
        <f t="shared" si="35"/>
        <v>1</v>
      </c>
      <c r="Q206" s="13">
        <f t="shared" si="36"/>
        <v>-0.41064262987035782</v>
      </c>
      <c r="R206" s="13">
        <f t="shared" si="37"/>
        <v>0.1686273694668437</v>
      </c>
      <c r="T206" s="14">
        <f t="shared" si="38"/>
        <v>-0.19876356600171705</v>
      </c>
      <c r="U206" s="14">
        <f t="shared" si="39"/>
        <v>-1.2720868224109891</v>
      </c>
      <c r="V206" s="14">
        <f t="shared" si="40"/>
        <v>-0.63604341120549457</v>
      </c>
      <c r="W206" s="14">
        <f t="shared" si="41"/>
        <v>-0.89443604700772672</v>
      </c>
      <c r="X206" s="14">
        <f t="shared" si="42"/>
        <v>-0.29814534900257555</v>
      </c>
      <c r="Y206" s="12">
        <f t="shared" si="43"/>
        <v>1</v>
      </c>
    </row>
    <row r="207" spans="1:25" x14ac:dyDescent="0.3">
      <c r="A207" s="23"/>
      <c r="B207" s="12">
        <v>43</v>
      </c>
      <c r="C207" s="12">
        <v>6.9</v>
      </c>
      <c r="D207" s="12">
        <v>3.1</v>
      </c>
      <c r="E207" s="12">
        <v>4.9000000000000004</v>
      </c>
      <c r="F207" s="12">
        <v>1.5</v>
      </c>
      <c r="G207" s="12">
        <v>1</v>
      </c>
      <c r="I207" s="13">
        <f>I206-('Konfigurasi Model'!$B$11*T206)</f>
        <v>0.28355100094865421</v>
      </c>
      <c r="J207" s="13">
        <f>J206-('Konfigurasi Model'!$B$11*U206)</f>
        <v>-0.30798657662810025</v>
      </c>
      <c r="K207" s="13">
        <f>K206-('Konfigurasi Model'!$B$11*V206)</f>
        <v>-0.27457969036314323</v>
      </c>
      <c r="L207" s="13">
        <f>L206-('Konfigurasi Model'!$B$11*W206)</f>
        <v>0.75542988402870659</v>
      </c>
      <c r="M207" s="13">
        <f>M206-('Konfigurasi Model'!$B$11*X206)</f>
        <v>0.6752379174008053</v>
      </c>
      <c r="N207" s="13">
        <f t="shared" si="33"/>
        <v>2.0217098899308894</v>
      </c>
      <c r="O207" s="13">
        <f t="shared" si="34"/>
        <v>0.88305769967042502</v>
      </c>
      <c r="P207" s="12">
        <f t="shared" si="35"/>
        <v>1</v>
      </c>
      <c r="Q207" s="13">
        <f t="shared" si="36"/>
        <v>-0.11694230032957498</v>
      </c>
      <c r="R207" s="13">
        <f t="shared" si="37"/>
        <v>1.3675501606372513E-2</v>
      </c>
      <c r="T207" s="14">
        <f t="shared" si="38"/>
        <v>-2.4152513980725026E-2</v>
      </c>
      <c r="U207" s="14">
        <f t="shared" si="39"/>
        <v>-0.16665234646700269</v>
      </c>
      <c r="V207" s="14">
        <f t="shared" si="40"/>
        <v>-7.4872793340247587E-2</v>
      </c>
      <c r="W207" s="14">
        <f t="shared" si="41"/>
        <v>-0.11834731850555263</v>
      </c>
      <c r="X207" s="14">
        <f t="shared" si="42"/>
        <v>-3.6228770971087537E-2</v>
      </c>
      <c r="Y207" s="12">
        <f t="shared" si="43"/>
        <v>1</v>
      </c>
    </row>
    <row r="208" spans="1:25" x14ac:dyDescent="0.3">
      <c r="A208" s="23"/>
      <c r="B208" s="12">
        <v>44</v>
      </c>
      <c r="C208" s="12">
        <v>5.5</v>
      </c>
      <c r="D208" s="12">
        <v>2.2999999999999998</v>
      </c>
      <c r="E208" s="12">
        <v>4</v>
      </c>
      <c r="F208" s="12">
        <v>1.3</v>
      </c>
      <c r="G208" s="12">
        <v>1</v>
      </c>
      <c r="I208" s="13">
        <f>I207-('Konfigurasi Model'!$B$11*T207)</f>
        <v>0.28596625234672673</v>
      </c>
      <c r="J208" s="13">
        <f>J207-('Konfigurasi Model'!$B$11*U207)</f>
        <v>-0.29132134198139997</v>
      </c>
      <c r="K208" s="13">
        <f>K207-('Konfigurasi Model'!$B$11*V207)</f>
        <v>-0.26709241102911846</v>
      </c>
      <c r="L208" s="13">
        <f>L207-('Konfigurasi Model'!$B$11*W207)</f>
        <v>0.76726461587926187</v>
      </c>
      <c r="M208" s="13">
        <f>M207-('Konfigurasi Model'!$B$11*X207)</f>
        <v>0.67886079449791403</v>
      </c>
      <c r="N208" s="13">
        <f t="shared" si="33"/>
        <v>2.0209638224463902</v>
      </c>
      <c r="O208" s="13">
        <f t="shared" si="34"/>
        <v>0.8829806336487851</v>
      </c>
      <c r="P208" s="12">
        <f t="shared" si="35"/>
        <v>1</v>
      </c>
      <c r="Q208" s="13">
        <f t="shared" si="36"/>
        <v>-0.1170193663512149</v>
      </c>
      <c r="R208" s="13">
        <f t="shared" si="37"/>
        <v>1.3693532101239848E-2</v>
      </c>
      <c r="T208" s="14">
        <f t="shared" si="38"/>
        <v>-2.4182247303285481E-2</v>
      </c>
      <c r="U208" s="14">
        <f t="shared" si="39"/>
        <v>-0.13300236016807016</v>
      </c>
      <c r="V208" s="14">
        <f t="shared" si="40"/>
        <v>-5.5619168797556601E-2</v>
      </c>
      <c r="W208" s="14">
        <f t="shared" si="41"/>
        <v>-9.6728989213141922E-2</v>
      </c>
      <c r="X208" s="14">
        <f t="shared" si="42"/>
        <v>-3.1436921494271124E-2</v>
      </c>
      <c r="Y208" s="12">
        <f t="shared" si="43"/>
        <v>1</v>
      </c>
    </row>
    <row r="209" spans="1:25" x14ac:dyDescent="0.3">
      <c r="A209" s="23"/>
      <c r="B209" s="12">
        <v>45</v>
      </c>
      <c r="C209" s="12">
        <v>6.5</v>
      </c>
      <c r="D209" s="12">
        <v>2.8</v>
      </c>
      <c r="E209" s="12">
        <v>4.5999999999999996</v>
      </c>
      <c r="F209" s="12">
        <v>1.5</v>
      </c>
      <c r="G209" s="12">
        <v>1</v>
      </c>
      <c r="I209" s="13">
        <f>I208-('Konfigurasi Model'!$B$11*T208)</f>
        <v>0.28838447707705528</v>
      </c>
      <c r="J209" s="13">
        <f>J208-('Konfigurasi Model'!$B$11*U208)</f>
        <v>-0.27802110596459295</v>
      </c>
      <c r="K209" s="13">
        <f>K208-('Konfigurasi Model'!$B$11*V208)</f>
        <v>-0.2615304941493628</v>
      </c>
      <c r="L209" s="13">
        <f>L208-('Konfigurasi Model'!$B$11*W208)</f>
        <v>0.77693751480057605</v>
      </c>
      <c r="M209" s="13">
        <f>M208-('Konfigurasi Model'!$B$11*X208)</f>
        <v>0.68200448664734115</v>
      </c>
      <c r="N209" s="13">
        <f t="shared" si="33"/>
        <v>2.3458812027426461</v>
      </c>
      <c r="O209" s="13">
        <f t="shared" si="34"/>
        <v>0.91260628633010721</v>
      </c>
      <c r="P209" s="12">
        <f t="shared" si="35"/>
        <v>1</v>
      </c>
      <c r="Q209" s="13">
        <f t="shared" si="36"/>
        <v>-8.7393713669892792E-2</v>
      </c>
      <c r="R209" s="13">
        <f t="shared" si="37"/>
        <v>7.6376611890152058E-3</v>
      </c>
      <c r="T209" s="14">
        <f t="shared" si="38"/>
        <v>-1.3940355227909516E-2</v>
      </c>
      <c r="U209" s="14">
        <f t="shared" si="39"/>
        <v>-9.0612308981411857E-2</v>
      </c>
      <c r="V209" s="14">
        <f t="shared" si="40"/>
        <v>-3.9032994638146641E-2</v>
      </c>
      <c r="W209" s="14">
        <f t="shared" si="41"/>
        <v>-6.412563404838377E-2</v>
      </c>
      <c r="X209" s="14">
        <f t="shared" si="42"/>
        <v>-2.0910532841864275E-2</v>
      </c>
      <c r="Y209" s="12">
        <f t="shared" si="43"/>
        <v>1</v>
      </c>
    </row>
    <row r="210" spans="1:25" x14ac:dyDescent="0.3">
      <c r="A210" s="23"/>
      <c r="B210" s="12">
        <v>46</v>
      </c>
      <c r="C210" s="12">
        <v>5.7</v>
      </c>
      <c r="D210" s="12">
        <v>2.8</v>
      </c>
      <c r="E210" s="12">
        <v>4.5</v>
      </c>
      <c r="F210" s="12">
        <v>1.3</v>
      </c>
      <c r="G210" s="12">
        <v>1</v>
      </c>
      <c r="I210" s="13">
        <f>I209-('Konfigurasi Model'!$B$11*T209)</f>
        <v>0.28977851259984622</v>
      </c>
      <c r="J210" s="13">
        <f>J209-('Konfigurasi Model'!$B$11*U209)</f>
        <v>-0.26895987506645175</v>
      </c>
      <c r="K210" s="13">
        <f>K209-('Konfigurasi Model'!$B$11*V209)</f>
        <v>-0.25762719468554812</v>
      </c>
      <c r="L210" s="13">
        <f>L209-('Konfigurasi Model'!$B$11*W209)</f>
        <v>0.78335007820541447</v>
      </c>
      <c r="M210" s="13">
        <f>M209-('Konfigurasi Model'!$B$11*X209)</f>
        <v>0.68409553993152761</v>
      </c>
      <c r="N210" s="13">
        <f t="shared" si="33"/>
        <v>2.4497506334368873</v>
      </c>
      <c r="O210" s="13">
        <f t="shared" si="34"/>
        <v>0.92054321320895871</v>
      </c>
      <c r="P210" s="12">
        <f t="shared" si="35"/>
        <v>1</v>
      </c>
      <c r="Q210" s="13">
        <f t="shared" si="36"/>
        <v>-7.9456786791041289E-2</v>
      </c>
      <c r="R210" s="13">
        <f t="shared" si="37"/>
        <v>6.3133809671569938E-3</v>
      </c>
      <c r="T210" s="14">
        <f t="shared" si="38"/>
        <v>-1.1623480003437965E-2</v>
      </c>
      <c r="U210" s="14">
        <f t="shared" si="39"/>
        <v>-6.6253836019596404E-2</v>
      </c>
      <c r="V210" s="14">
        <f t="shared" si="40"/>
        <v>-3.2545744009626301E-2</v>
      </c>
      <c r="W210" s="14">
        <f t="shared" si="41"/>
        <v>-5.2305660015470844E-2</v>
      </c>
      <c r="X210" s="14">
        <f t="shared" si="42"/>
        <v>-1.5110524004469356E-2</v>
      </c>
      <c r="Y210" s="12">
        <f t="shared" si="43"/>
        <v>1</v>
      </c>
    </row>
    <row r="211" spans="1:25" x14ac:dyDescent="0.3">
      <c r="A211" s="23"/>
      <c r="B211" s="12">
        <v>47</v>
      </c>
      <c r="C211" s="12">
        <v>6.3</v>
      </c>
      <c r="D211" s="12">
        <v>3.3</v>
      </c>
      <c r="E211" s="12">
        <v>4.7</v>
      </c>
      <c r="F211" s="12">
        <v>1.6</v>
      </c>
      <c r="G211" s="12">
        <v>1</v>
      </c>
      <c r="I211" s="13">
        <f>I210-('Konfigurasi Model'!$B$11*T210)</f>
        <v>0.29094086060019003</v>
      </c>
      <c r="J211" s="13">
        <f>J210-('Konfigurasi Model'!$B$11*U210)</f>
        <v>-0.26233449146449211</v>
      </c>
      <c r="K211" s="13">
        <f>K210-('Konfigurasi Model'!$B$11*V210)</f>
        <v>-0.25437262028458552</v>
      </c>
      <c r="L211" s="13">
        <f>L210-('Konfigurasi Model'!$B$11*W210)</f>
        <v>0.7885806442069615</v>
      </c>
      <c r="M211" s="13">
        <f>M210-('Konfigurasi Model'!$B$11*X210)</f>
        <v>0.68560659233197452</v>
      </c>
      <c r="N211" s="13">
        <f t="shared" si="33"/>
        <v>2.6021034929386357</v>
      </c>
      <c r="O211" s="13">
        <f t="shared" si="34"/>
        <v>0.9309968342514684</v>
      </c>
      <c r="P211" s="12">
        <f t="shared" si="35"/>
        <v>1</v>
      </c>
      <c r="Q211" s="13">
        <f t="shared" si="36"/>
        <v>-6.9003165748531603E-2</v>
      </c>
      <c r="R211" s="13">
        <f t="shared" si="37"/>
        <v>4.7614368833193248E-3</v>
      </c>
      <c r="T211" s="14">
        <f t="shared" si="38"/>
        <v>-8.8657653297169389E-3</v>
      </c>
      <c r="U211" s="14">
        <f t="shared" si="39"/>
        <v>-5.585432157721671E-2</v>
      </c>
      <c r="V211" s="14">
        <f t="shared" si="40"/>
        <v>-2.9257025588065897E-2</v>
      </c>
      <c r="W211" s="14">
        <f t="shared" si="41"/>
        <v>-4.1669097049669618E-2</v>
      </c>
      <c r="X211" s="14">
        <f t="shared" si="42"/>
        <v>-1.4185224527547103E-2</v>
      </c>
      <c r="Y211" s="12">
        <f t="shared" si="43"/>
        <v>1</v>
      </c>
    </row>
    <row r="212" spans="1:25" x14ac:dyDescent="0.3">
      <c r="A212" s="23"/>
      <c r="B212" s="12">
        <v>48</v>
      </c>
      <c r="C212" s="12">
        <v>4.9000000000000004</v>
      </c>
      <c r="D212" s="12">
        <v>2.4</v>
      </c>
      <c r="E212" s="12">
        <v>3.3</v>
      </c>
      <c r="F212" s="12">
        <v>1</v>
      </c>
      <c r="G212" s="12">
        <v>1</v>
      </c>
      <c r="I212" s="13">
        <f>I211-('Konfigurasi Model'!$B$11*T211)</f>
        <v>0.29182743713316173</v>
      </c>
      <c r="J212" s="13">
        <f>J211-('Konfigurasi Model'!$B$11*U211)</f>
        <v>-0.25674905930677044</v>
      </c>
      <c r="K212" s="13">
        <f>K211-('Konfigurasi Model'!$B$11*V211)</f>
        <v>-0.25144691772577893</v>
      </c>
      <c r="L212" s="13">
        <f>L211-('Konfigurasi Model'!$B$11*W211)</f>
        <v>0.79274755391192842</v>
      </c>
      <c r="M212" s="13">
        <f>M211-('Konfigurasi Model'!$B$11*X211)</f>
        <v>0.68702511478472927</v>
      </c>
      <c r="N212" s="13">
        <f t="shared" si="33"/>
        <v>1.7333764866822101</v>
      </c>
      <c r="O212" s="13">
        <f t="shared" si="34"/>
        <v>0.84984380056258746</v>
      </c>
      <c r="P212" s="12">
        <f t="shared" si="35"/>
        <v>1</v>
      </c>
      <c r="Q212" s="13">
        <f t="shared" si="36"/>
        <v>-0.15015619943741254</v>
      </c>
      <c r="R212" s="13">
        <f t="shared" si="37"/>
        <v>2.2546884229488012E-2</v>
      </c>
      <c r="T212" s="14">
        <f t="shared" si="38"/>
        <v>-3.8322659568865519E-2</v>
      </c>
      <c r="U212" s="14">
        <f t="shared" si="39"/>
        <v>-0.18778103188744105</v>
      </c>
      <c r="V212" s="14">
        <f t="shared" si="40"/>
        <v>-9.197438296527724E-2</v>
      </c>
      <c r="W212" s="14">
        <f t="shared" si="41"/>
        <v>-0.12646477657725622</v>
      </c>
      <c r="X212" s="14">
        <f t="shared" si="42"/>
        <v>-3.8322659568865519E-2</v>
      </c>
      <c r="Y212" s="12">
        <f t="shared" si="43"/>
        <v>1</v>
      </c>
    </row>
    <row r="213" spans="1:25" x14ac:dyDescent="0.3">
      <c r="A213" s="23"/>
      <c r="B213" s="12">
        <v>49</v>
      </c>
      <c r="C213" s="12">
        <v>6.6</v>
      </c>
      <c r="D213" s="12">
        <v>2.9</v>
      </c>
      <c r="E213" s="12">
        <v>4.5999999999999996</v>
      </c>
      <c r="F213" s="12">
        <v>1.3</v>
      </c>
      <c r="G213" s="12">
        <v>1</v>
      </c>
      <c r="I213" s="13">
        <f>I212-('Konfigurasi Model'!$B$11*T212)</f>
        <v>0.2956597030900483</v>
      </c>
      <c r="J213" s="13">
        <f>J212-('Konfigurasi Model'!$B$11*U212)</f>
        <v>-0.23797095611802632</v>
      </c>
      <c r="K213" s="13">
        <f>K212-('Konfigurasi Model'!$B$11*V212)</f>
        <v>-0.24224947942925121</v>
      </c>
      <c r="L213" s="13">
        <f>L212-('Konfigurasi Model'!$B$11*W212)</f>
        <v>0.80539403156965406</v>
      </c>
      <c r="M213" s="13">
        <f>M212-('Konfigurasi Model'!$B$11*X212)</f>
        <v>0.69085738074161585</v>
      </c>
      <c r="N213" s="13">
        <f t="shared" si="33"/>
        <v>2.625455042550755</v>
      </c>
      <c r="O213" s="13">
        <f t="shared" si="34"/>
        <v>0.93248196368279301</v>
      </c>
      <c r="P213" s="12">
        <f t="shared" si="35"/>
        <v>1</v>
      </c>
      <c r="Q213" s="13">
        <f t="shared" si="36"/>
        <v>-6.7518036317206986E-2</v>
      </c>
      <c r="R213" s="13">
        <f t="shared" si="37"/>
        <v>4.5586852281316818E-3</v>
      </c>
      <c r="T213" s="14">
        <f t="shared" si="38"/>
        <v>-8.5017835066799434E-3</v>
      </c>
      <c r="U213" s="14">
        <f t="shared" si="39"/>
        <v>-5.6111771144087622E-2</v>
      </c>
      <c r="V213" s="14">
        <f t="shared" si="40"/>
        <v>-2.4655172169371836E-2</v>
      </c>
      <c r="W213" s="14">
        <f t="shared" si="41"/>
        <v>-3.9108204130727735E-2</v>
      </c>
      <c r="X213" s="14">
        <f t="shared" si="42"/>
        <v>-1.1052318558683927E-2</v>
      </c>
      <c r="Y213" s="12">
        <f t="shared" si="43"/>
        <v>1</v>
      </c>
    </row>
    <row r="214" spans="1:25" x14ac:dyDescent="0.3">
      <c r="A214" s="23"/>
      <c r="B214" s="12">
        <v>50</v>
      </c>
      <c r="C214" s="12">
        <v>5.2</v>
      </c>
      <c r="D214" s="12">
        <v>2.7</v>
      </c>
      <c r="E214" s="12">
        <v>3.9</v>
      </c>
      <c r="F214" s="12">
        <v>1.4</v>
      </c>
      <c r="G214" s="12">
        <v>1</v>
      </c>
      <c r="I214" s="13">
        <f>I213-('Konfigurasi Model'!$B$11*T213)</f>
        <v>0.29650988144071627</v>
      </c>
      <c r="J214" s="13">
        <f>J213-('Konfigurasi Model'!$B$11*U213)</f>
        <v>-0.23235977900361757</v>
      </c>
      <c r="K214" s="13">
        <f>K213-('Konfigurasi Model'!$B$11*V213)</f>
        <v>-0.23978396221231402</v>
      </c>
      <c r="L214" s="13">
        <f>L213-('Konfigurasi Model'!$B$11*W213)</f>
        <v>0.80930485198272684</v>
      </c>
      <c r="M214" s="13">
        <f>M213-('Konfigurasi Model'!$B$11*X213)</f>
        <v>0.69196261259748426</v>
      </c>
      <c r="N214" s="13">
        <f t="shared" si="33"/>
        <v>2.5658589130177698</v>
      </c>
      <c r="O214" s="13">
        <f t="shared" si="34"/>
        <v>0.92863173272458188</v>
      </c>
      <c r="P214" s="12">
        <f t="shared" si="35"/>
        <v>1</v>
      </c>
      <c r="Q214" s="13">
        <f t="shared" si="36"/>
        <v>-7.1368267275418118E-2</v>
      </c>
      <c r="R214" s="13">
        <f t="shared" si="37"/>
        <v>5.0934295738955171E-3</v>
      </c>
      <c r="T214" s="14">
        <f t="shared" si="38"/>
        <v>-9.459840661434446E-3</v>
      </c>
      <c r="U214" s="14">
        <f t="shared" si="39"/>
        <v>-4.9191171439459121E-2</v>
      </c>
      <c r="V214" s="14">
        <f t="shared" si="40"/>
        <v>-2.5541569785873006E-2</v>
      </c>
      <c r="W214" s="14">
        <f t="shared" si="41"/>
        <v>-3.6893378579594335E-2</v>
      </c>
      <c r="X214" s="14">
        <f t="shared" si="42"/>
        <v>-1.3243776926008224E-2</v>
      </c>
      <c r="Y214" s="12">
        <f t="shared" si="43"/>
        <v>1</v>
      </c>
    </row>
    <row r="215" spans="1:25" x14ac:dyDescent="0.3">
      <c r="A215" s="23"/>
      <c r="B215" s="12">
        <v>51</v>
      </c>
      <c r="C215" s="12">
        <v>5</v>
      </c>
      <c r="D215" s="12">
        <v>2</v>
      </c>
      <c r="E215" s="12">
        <v>3.5</v>
      </c>
      <c r="F215" s="12">
        <v>1</v>
      </c>
      <c r="G215" s="12">
        <v>1</v>
      </c>
      <c r="I215" s="13">
        <f>I214-('Konfigurasi Model'!$B$11*T214)</f>
        <v>0.29745586550685971</v>
      </c>
      <c r="J215" s="13">
        <f>J214-('Konfigurasi Model'!$B$11*U214)</f>
        <v>-0.22744066185967166</v>
      </c>
      <c r="K215" s="13">
        <f>K214-('Konfigurasi Model'!$B$11*V214)</f>
        <v>-0.23722980523372672</v>
      </c>
      <c r="L215" s="13">
        <f>L214-('Konfigurasi Model'!$B$11*W214)</f>
        <v>0.81299418984068628</v>
      </c>
      <c r="M215" s="13">
        <f>M214-('Konfigurasi Model'!$B$11*X214)</f>
        <v>0.69328699029008511</v>
      </c>
      <c r="N215" s="13">
        <f t="shared" si="33"/>
        <v>2.2245596004735351</v>
      </c>
      <c r="O215" s="13">
        <f t="shared" si="34"/>
        <v>0.902433393813736</v>
      </c>
      <c r="P215" s="12">
        <f t="shared" si="35"/>
        <v>1</v>
      </c>
      <c r="Q215" s="13">
        <f t="shared" si="36"/>
        <v>-9.7566606186264004E-2</v>
      </c>
      <c r="R215" s="13">
        <f t="shared" si="37"/>
        <v>9.5192426427055301E-3</v>
      </c>
      <c r="T215" s="14">
        <f t="shared" si="38"/>
        <v>-1.7180964889186377E-2</v>
      </c>
      <c r="U215" s="14">
        <f t="shared" si="39"/>
        <v>-8.5904824445931893E-2</v>
      </c>
      <c r="V215" s="14">
        <f t="shared" si="40"/>
        <v>-3.4361929778372755E-2</v>
      </c>
      <c r="W215" s="14">
        <f t="shared" si="41"/>
        <v>-6.0133377112152317E-2</v>
      </c>
      <c r="X215" s="14">
        <f t="shared" si="42"/>
        <v>-1.7180964889186377E-2</v>
      </c>
      <c r="Y215" s="12">
        <f t="shared" si="43"/>
        <v>1</v>
      </c>
    </row>
    <row r="216" spans="1:25" x14ac:dyDescent="0.3">
      <c r="A216" s="23"/>
      <c r="B216" s="12">
        <v>52</v>
      </c>
      <c r="C216" s="12">
        <v>5.9</v>
      </c>
      <c r="D216" s="12">
        <v>3</v>
      </c>
      <c r="E216" s="12">
        <v>4.2</v>
      </c>
      <c r="F216" s="12">
        <v>1.5</v>
      </c>
      <c r="G216" s="12">
        <v>1</v>
      </c>
      <c r="I216" s="13">
        <f>I215-('Konfigurasi Model'!$B$11*T215)</f>
        <v>0.29917396199577834</v>
      </c>
      <c r="J216" s="13">
        <f>J215-('Konfigurasi Model'!$B$11*U215)</f>
        <v>-0.21885017941507848</v>
      </c>
      <c r="K216" s="13">
        <f>K215-('Konfigurasi Model'!$B$11*V215)</f>
        <v>-0.23379361225588943</v>
      </c>
      <c r="L216" s="13">
        <f>L215-('Konfigurasi Model'!$B$11*W215)</f>
        <v>0.81900752755190154</v>
      </c>
      <c r="M216" s="13">
        <f>M215-('Konfigurasi Model'!$B$11*X215)</f>
        <v>0.69500508677900374</v>
      </c>
      <c r="N216" s="13">
        <f t="shared" si="33"/>
        <v>2.7889163125656395</v>
      </c>
      <c r="O216" s="13">
        <f t="shared" si="34"/>
        <v>0.94207393553486207</v>
      </c>
      <c r="P216" s="12">
        <f t="shared" si="35"/>
        <v>1</v>
      </c>
      <c r="Q216" s="13">
        <f t="shared" si="36"/>
        <v>-5.7926064465137928E-2</v>
      </c>
      <c r="R216" s="13">
        <f t="shared" si="37"/>
        <v>3.355428944419315E-3</v>
      </c>
      <c r="T216" s="14">
        <f t="shared" si="38"/>
        <v>-6.3221243021533841E-3</v>
      </c>
      <c r="U216" s="14">
        <f t="shared" si="39"/>
        <v>-3.7300533382704969E-2</v>
      </c>
      <c r="V216" s="14">
        <f t="shared" si="40"/>
        <v>-1.8966372906460152E-2</v>
      </c>
      <c r="W216" s="14">
        <f t="shared" si="41"/>
        <v>-2.6552922069044214E-2</v>
      </c>
      <c r="X216" s="14">
        <f t="shared" si="42"/>
        <v>-9.4831864532300761E-3</v>
      </c>
      <c r="Y216" s="12">
        <f t="shared" si="43"/>
        <v>1</v>
      </c>
    </row>
    <row r="217" spans="1:25" x14ac:dyDescent="0.3">
      <c r="A217" s="23"/>
      <c r="B217" s="12">
        <v>53</v>
      </c>
      <c r="C217" s="12">
        <v>6</v>
      </c>
      <c r="D217" s="12">
        <v>2.2000000000000002</v>
      </c>
      <c r="E217" s="12">
        <v>4</v>
      </c>
      <c r="F217" s="12">
        <v>1</v>
      </c>
      <c r="G217" s="12">
        <v>1</v>
      </c>
      <c r="I217" s="13">
        <f>I216-('Konfigurasi Model'!$B$11*T216)</f>
        <v>0.29980617442599367</v>
      </c>
      <c r="J217" s="13">
        <f>J216-('Konfigurasi Model'!$B$11*U216)</f>
        <v>-0.21512012607680797</v>
      </c>
      <c r="K217" s="13">
        <f>K216-('Konfigurasi Model'!$B$11*V216)</f>
        <v>-0.23189697496524342</v>
      </c>
      <c r="L217" s="13">
        <f>L216-('Konfigurasi Model'!$B$11*W216)</f>
        <v>0.82166281975880595</v>
      </c>
      <c r="M217" s="13">
        <f>M216-('Konfigurasi Model'!$B$11*X216)</f>
        <v>0.69595340542432671</v>
      </c>
      <c r="N217" s="13">
        <f t="shared" si="33"/>
        <v>2.481516757501161</v>
      </c>
      <c r="O217" s="13">
        <f t="shared" si="34"/>
        <v>0.92283587518954191</v>
      </c>
      <c r="P217" s="12">
        <f t="shared" si="35"/>
        <v>1</v>
      </c>
      <c r="Q217" s="13">
        <f t="shared" si="36"/>
        <v>-7.716412481045809E-2</v>
      </c>
      <c r="R217" s="13">
        <f t="shared" si="37"/>
        <v>5.9543021577639537E-3</v>
      </c>
      <c r="T217" s="14">
        <f t="shared" si="38"/>
        <v>-1.0989687285806153E-2</v>
      </c>
      <c r="U217" s="14">
        <f t="shared" si="39"/>
        <v>-6.5938123714836913E-2</v>
      </c>
      <c r="V217" s="14">
        <f t="shared" si="40"/>
        <v>-2.4177312028773539E-2</v>
      </c>
      <c r="W217" s="14">
        <f t="shared" si="41"/>
        <v>-4.3958749143224611E-2</v>
      </c>
      <c r="X217" s="14">
        <f t="shared" si="42"/>
        <v>-1.0989687285806153E-2</v>
      </c>
      <c r="Y217" s="12">
        <f t="shared" si="43"/>
        <v>1</v>
      </c>
    </row>
    <row r="218" spans="1:25" x14ac:dyDescent="0.3">
      <c r="A218" s="23"/>
      <c r="B218" s="12">
        <v>54</v>
      </c>
      <c r="C218" s="12">
        <v>6.1</v>
      </c>
      <c r="D218" s="12">
        <v>2.9</v>
      </c>
      <c r="E218" s="12">
        <v>4.7</v>
      </c>
      <c r="F218" s="12">
        <v>1.4</v>
      </c>
      <c r="G218" s="12">
        <v>1</v>
      </c>
      <c r="I218" s="13">
        <f>I217-('Konfigurasi Model'!$B$11*T217)</f>
        <v>0.30090514315457428</v>
      </c>
      <c r="J218" s="13">
        <f>J217-('Konfigurasi Model'!$B$11*U217)</f>
        <v>-0.20852631370532429</v>
      </c>
      <c r="K218" s="13">
        <f>K217-('Konfigurasi Model'!$B$11*V217)</f>
        <v>-0.22947924376236606</v>
      </c>
      <c r="L218" s="13">
        <f>L217-('Konfigurasi Model'!$B$11*W217)</f>
        <v>0.82605869467312842</v>
      </c>
      <c r="M218" s="13">
        <f>M217-('Konfigurasi Model'!$B$11*X217)</f>
        <v>0.69705237415290733</v>
      </c>
      <c r="N218" s="13">
        <f t="shared" si="33"/>
        <v>3.2217540114190082</v>
      </c>
      <c r="O218" s="13">
        <f t="shared" si="34"/>
        <v>0.96164476206642846</v>
      </c>
      <c r="P218" s="12">
        <f t="shared" si="35"/>
        <v>1</v>
      </c>
      <c r="Q218" s="13">
        <f t="shared" si="36"/>
        <v>-3.835523793357154E-2</v>
      </c>
      <c r="R218" s="13">
        <f t="shared" si="37"/>
        <v>1.4711242769408852E-3</v>
      </c>
      <c r="T218" s="14">
        <f t="shared" si="38"/>
        <v>-2.8293979105379285E-3</v>
      </c>
      <c r="U218" s="14">
        <f t="shared" si="39"/>
        <v>-1.7259327254281361E-2</v>
      </c>
      <c r="V218" s="14">
        <f t="shared" si="40"/>
        <v>-8.2052539405599919E-3</v>
      </c>
      <c r="W218" s="14">
        <f t="shared" si="41"/>
        <v>-1.3298170179528264E-2</v>
      </c>
      <c r="X218" s="14">
        <f t="shared" si="42"/>
        <v>-3.9611570747530994E-3</v>
      </c>
      <c r="Y218" s="12">
        <f t="shared" si="43"/>
        <v>1</v>
      </c>
    </row>
    <row r="219" spans="1:25" x14ac:dyDescent="0.3">
      <c r="A219" s="23"/>
      <c r="B219" s="12">
        <v>55</v>
      </c>
      <c r="C219" s="12">
        <v>5.6</v>
      </c>
      <c r="D219" s="12">
        <v>2.9</v>
      </c>
      <c r="E219" s="12">
        <v>3.6</v>
      </c>
      <c r="F219" s="12">
        <v>1.3</v>
      </c>
      <c r="G219" s="12">
        <v>1</v>
      </c>
      <c r="I219" s="13">
        <f>I218-('Konfigurasi Model'!$B$11*T218)</f>
        <v>0.3011880829456281</v>
      </c>
      <c r="J219" s="13">
        <f>J218-('Konfigurasi Model'!$B$11*U218)</f>
        <v>-0.20680038097989614</v>
      </c>
      <c r="K219" s="13">
        <f>K218-('Konfigurasi Model'!$B$11*V218)</f>
        <v>-0.22865871836831006</v>
      </c>
      <c r="L219" s="13">
        <f>L218-('Konfigurasi Model'!$B$11*W218)</f>
        <v>0.8273885116910813</v>
      </c>
      <c r="M219" s="13">
        <f>M218-('Konfigurasi Model'!$B$11*X218)</f>
        <v>0.69744848986038266</v>
      </c>
      <c r="N219" s="13">
        <f t="shared" si="33"/>
        <v>2.3652773450965014</v>
      </c>
      <c r="O219" s="13">
        <f t="shared" si="34"/>
        <v>0.91414091636737871</v>
      </c>
      <c r="P219" s="12">
        <f t="shared" si="35"/>
        <v>1</v>
      </c>
      <c r="Q219" s="13">
        <f t="shared" si="36"/>
        <v>-8.5859083632621291E-2</v>
      </c>
      <c r="R219" s="13">
        <f t="shared" si="37"/>
        <v>7.3717822422334576E-3</v>
      </c>
      <c r="T219" s="14">
        <f t="shared" si="38"/>
        <v>-1.3477695548352125E-2</v>
      </c>
      <c r="U219" s="14">
        <f t="shared" si="39"/>
        <v>-7.5475095070771894E-2</v>
      </c>
      <c r="V219" s="14">
        <f t="shared" si="40"/>
        <v>-3.9085317090221165E-2</v>
      </c>
      <c r="W219" s="14">
        <f t="shared" si="41"/>
        <v>-4.851970397406765E-2</v>
      </c>
      <c r="X219" s="14">
        <f t="shared" si="42"/>
        <v>-1.7521004212857762E-2</v>
      </c>
      <c r="Y219" s="12">
        <f t="shared" si="43"/>
        <v>1</v>
      </c>
    </row>
    <row r="220" spans="1:25" x14ac:dyDescent="0.3">
      <c r="A220" s="23"/>
      <c r="B220" s="12">
        <v>56</v>
      </c>
      <c r="C220" s="12">
        <v>6.7</v>
      </c>
      <c r="D220" s="12">
        <v>3.1</v>
      </c>
      <c r="E220" s="12">
        <v>4.4000000000000004</v>
      </c>
      <c r="F220" s="12">
        <v>1.4</v>
      </c>
      <c r="G220" s="12">
        <v>1</v>
      </c>
      <c r="I220" s="13">
        <f>I219-('Konfigurasi Model'!$B$11*T219)</f>
        <v>0.30253585250046333</v>
      </c>
      <c r="J220" s="13">
        <f>J219-('Konfigurasi Model'!$B$11*U219)</f>
        <v>-0.19925287147281895</v>
      </c>
      <c r="K220" s="13">
        <f>K219-('Konfigurasi Model'!$B$11*V219)</f>
        <v>-0.22475018665928795</v>
      </c>
      <c r="L220" s="13">
        <f>L219-('Konfigurasi Model'!$B$11*W219)</f>
        <v>0.83224048208848811</v>
      </c>
      <c r="M220" s="13">
        <f>M219-('Konfigurasi Model'!$B$11*X219)</f>
        <v>0.69920059028166848</v>
      </c>
      <c r="N220" s="13">
        <f t="shared" si="33"/>
        <v>2.9115549825724676</v>
      </c>
      <c r="O220" s="13">
        <f t="shared" si="34"/>
        <v>0.94841469397701905</v>
      </c>
      <c r="P220" s="12">
        <f t="shared" si="35"/>
        <v>1</v>
      </c>
      <c r="Q220" s="13">
        <f t="shared" si="36"/>
        <v>-5.1585306022980948E-2</v>
      </c>
      <c r="R220" s="13">
        <f t="shared" si="37"/>
        <v>2.6610437974845945E-3</v>
      </c>
      <c r="T220" s="14">
        <f t="shared" si="38"/>
        <v>-5.0475460777015925E-3</v>
      </c>
      <c r="U220" s="14">
        <f t="shared" si="39"/>
        <v>-3.3818558720600668E-2</v>
      </c>
      <c r="V220" s="14">
        <f t="shared" si="40"/>
        <v>-1.5647392840874939E-2</v>
      </c>
      <c r="W220" s="14">
        <f t="shared" si="41"/>
        <v>-2.2209202741887007E-2</v>
      </c>
      <c r="X220" s="14">
        <f t="shared" si="42"/>
        <v>-7.066564508782229E-3</v>
      </c>
      <c r="Y220" s="12">
        <f t="shared" si="43"/>
        <v>1</v>
      </c>
    </row>
    <row r="221" spans="1:25" x14ac:dyDescent="0.3">
      <c r="A221" s="23"/>
      <c r="B221" s="12">
        <v>57</v>
      </c>
      <c r="C221" s="12">
        <v>5.6</v>
      </c>
      <c r="D221" s="12">
        <v>3</v>
      </c>
      <c r="E221" s="12">
        <v>4.5</v>
      </c>
      <c r="F221" s="12">
        <v>1.5</v>
      </c>
      <c r="G221" s="12">
        <v>1</v>
      </c>
      <c r="I221" s="13">
        <f>I220-('Konfigurasi Model'!$B$11*T220)</f>
        <v>0.3030406071082335</v>
      </c>
      <c r="J221" s="13">
        <f>J220-('Konfigurasi Model'!$B$11*U220)</f>
        <v>-0.19587101560075887</v>
      </c>
      <c r="K221" s="13">
        <f>K220-('Konfigurasi Model'!$B$11*V220)</f>
        <v>-0.22318544737520046</v>
      </c>
      <c r="L221" s="13">
        <f>L220-('Konfigurasi Model'!$B$11*W220)</f>
        <v>0.83446140236267685</v>
      </c>
      <c r="M221" s="13">
        <f>M220-('Konfigurasi Model'!$B$11*X220)</f>
        <v>0.69990724673254667</v>
      </c>
      <c r="N221" s="13">
        <f t="shared" si="33"/>
        <v>3.341543758349248</v>
      </c>
      <c r="O221" s="13">
        <f t="shared" si="34"/>
        <v>0.96582683126998381</v>
      </c>
      <c r="P221" s="12">
        <f t="shared" si="35"/>
        <v>1</v>
      </c>
      <c r="Q221" s="13">
        <f t="shared" si="36"/>
        <v>-3.417316873001619E-2</v>
      </c>
      <c r="R221" s="13">
        <f t="shared" si="37"/>
        <v>1.1678054610501564E-3</v>
      </c>
      <c r="T221" s="14">
        <f t="shared" si="38"/>
        <v>-2.2557956959717101E-3</v>
      </c>
      <c r="U221" s="14">
        <f t="shared" si="39"/>
        <v>-1.2632455897441575E-2</v>
      </c>
      <c r="V221" s="14">
        <f t="shared" si="40"/>
        <v>-6.7673870879151297E-3</v>
      </c>
      <c r="W221" s="14">
        <f t="shared" si="41"/>
        <v>-1.0151080631872695E-2</v>
      </c>
      <c r="X221" s="14">
        <f t="shared" si="42"/>
        <v>-3.3836935439575649E-3</v>
      </c>
      <c r="Y221" s="12">
        <f t="shared" si="43"/>
        <v>1</v>
      </c>
    </row>
    <row r="222" spans="1:25" x14ac:dyDescent="0.3">
      <c r="A222" s="23"/>
      <c r="B222" s="12">
        <v>58</v>
      </c>
      <c r="C222" s="12">
        <v>5.8</v>
      </c>
      <c r="D222" s="12">
        <v>2.7</v>
      </c>
      <c r="E222" s="12">
        <v>4.0999999999999996</v>
      </c>
      <c r="F222" s="12">
        <v>1</v>
      </c>
      <c r="G222" s="12">
        <v>1</v>
      </c>
      <c r="I222" s="13">
        <f>I221-('Konfigurasi Model'!$B$11*T221)</f>
        <v>0.30326618667783067</v>
      </c>
      <c r="J222" s="13">
        <f>J221-('Konfigurasi Model'!$B$11*U221)</f>
        <v>-0.1946077700110147</v>
      </c>
      <c r="K222" s="13">
        <f>K221-('Konfigurasi Model'!$B$11*V221)</f>
        <v>-0.22250870866640896</v>
      </c>
      <c r="L222" s="13">
        <f>L221-('Konfigurasi Model'!$B$11*W221)</f>
        <v>0.83547651042586413</v>
      </c>
      <c r="M222" s="13">
        <f>M221-('Konfigurasi Model'!$B$11*X221)</f>
        <v>0.70024561608694247</v>
      </c>
      <c r="N222" s="13">
        <f t="shared" si="33"/>
        <v>2.6994669160476268</v>
      </c>
      <c r="O222" s="13">
        <f t="shared" si="34"/>
        <v>0.93699518054907072</v>
      </c>
      <c r="P222" s="12">
        <f t="shared" si="35"/>
        <v>1</v>
      </c>
      <c r="Q222" s="13">
        <f t="shared" si="36"/>
        <v>-6.3004819450929284E-2</v>
      </c>
      <c r="R222" s="13">
        <f t="shared" si="37"/>
        <v>3.9696072740441971E-3</v>
      </c>
      <c r="T222" s="14">
        <f t="shared" si="38"/>
        <v>-7.439005768903894E-3</v>
      </c>
      <c r="U222" s="14">
        <f t="shared" si="39"/>
        <v>-4.3146233459642587E-2</v>
      </c>
      <c r="V222" s="14">
        <f t="shared" si="40"/>
        <v>-2.0085315576040513E-2</v>
      </c>
      <c r="W222" s="14">
        <f t="shared" si="41"/>
        <v>-3.0499923652505964E-2</v>
      </c>
      <c r="X222" s="14">
        <f t="shared" si="42"/>
        <v>-7.439005768903894E-3</v>
      </c>
      <c r="Y222" s="12">
        <f t="shared" si="43"/>
        <v>1</v>
      </c>
    </row>
    <row r="223" spans="1:25" x14ac:dyDescent="0.3">
      <c r="A223" s="23"/>
      <c r="B223" s="12">
        <v>59</v>
      </c>
      <c r="C223" s="12">
        <v>6.2</v>
      </c>
      <c r="D223" s="12">
        <v>2.2000000000000002</v>
      </c>
      <c r="E223" s="12">
        <v>4.5</v>
      </c>
      <c r="F223" s="12">
        <v>1.5</v>
      </c>
      <c r="G223" s="12">
        <v>1</v>
      </c>
      <c r="I223" s="13">
        <f>I222-('Konfigurasi Model'!$B$11*T222)</f>
        <v>0.30401008725472106</v>
      </c>
      <c r="J223" s="13">
        <f>J222-('Konfigurasi Model'!$B$11*U222)</f>
        <v>-0.19029314666505046</v>
      </c>
      <c r="K223" s="13">
        <f>K222-('Konfigurasi Model'!$B$11*V222)</f>
        <v>-0.2205001771088049</v>
      </c>
      <c r="L223" s="13">
        <f>L222-('Konfigurasi Model'!$B$11*W222)</f>
        <v>0.83852650279111474</v>
      </c>
      <c r="M223" s="13">
        <f>M222-('Konfigurasi Model'!$B$11*X222)</f>
        <v>0.70098951666383291</v>
      </c>
      <c r="N223" s="13">
        <f t="shared" si="33"/>
        <v>3.463945725847803</v>
      </c>
      <c r="O223" s="13">
        <f t="shared" si="34"/>
        <v>0.96964432152820135</v>
      </c>
      <c r="P223" s="12">
        <f t="shared" si="35"/>
        <v>1</v>
      </c>
      <c r="Q223" s="13">
        <f t="shared" si="36"/>
        <v>-3.0355678471798653E-2</v>
      </c>
      <c r="R223" s="13">
        <f t="shared" si="37"/>
        <v>9.2146721548322017E-4</v>
      </c>
      <c r="T223" s="14">
        <f t="shared" si="38"/>
        <v>-1.7869909059354159E-3</v>
      </c>
      <c r="U223" s="14">
        <f t="shared" si="39"/>
        <v>-1.1079343616799579E-2</v>
      </c>
      <c r="V223" s="14">
        <f t="shared" si="40"/>
        <v>-3.931379993057915E-3</v>
      </c>
      <c r="W223" s="14">
        <f t="shared" si="41"/>
        <v>-8.0414590767093723E-3</v>
      </c>
      <c r="X223" s="14">
        <f t="shared" si="42"/>
        <v>-2.680486358903124E-3</v>
      </c>
      <c r="Y223" s="12">
        <f t="shared" si="43"/>
        <v>1</v>
      </c>
    </row>
    <row r="224" spans="1:25" x14ac:dyDescent="0.3">
      <c r="A224" s="23"/>
      <c r="B224" s="12">
        <v>60</v>
      </c>
      <c r="C224" s="12">
        <v>5.6</v>
      </c>
      <c r="D224" s="12">
        <v>2.5</v>
      </c>
      <c r="E224" s="12">
        <v>3.9</v>
      </c>
      <c r="F224" s="12">
        <v>1.1000000000000001</v>
      </c>
      <c r="G224" s="12">
        <v>1</v>
      </c>
      <c r="I224" s="13">
        <f>I223-('Konfigurasi Model'!$B$11*T223)</f>
        <v>0.3041887863453146</v>
      </c>
      <c r="J224" s="13">
        <f>J223-('Konfigurasi Model'!$B$11*U223)</f>
        <v>-0.18918521230337049</v>
      </c>
      <c r="K224" s="13">
        <f>K223-('Konfigurasi Model'!$B$11*V223)</f>
        <v>-0.22010703910949911</v>
      </c>
      <c r="L224" s="13">
        <f>L223-('Konfigurasi Model'!$B$11*W223)</f>
        <v>0.83933064869878571</v>
      </c>
      <c r="M224" s="13">
        <f>M223-('Konfigurasi Model'!$B$11*X223)</f>
        <v>0.70125756529972327</v>
      </c>
      <c r="N224" s="13">
        <f t="shared" si="33"/>
        <v>2.7392568514276521</v>
      </c>
      <c r="O224" s="13">
        <f t="shared" si="34"/>
        <v>0.93930374196214927</v>
      </c>
      <c r="P224" s="12">
        <f t="shared" si="35"/>
        <v>1</v>
      </c>
      <c r="Q224" s="13">
        <f t="shared" si="36"/>
        <v>-6.0696258037850725E-2</v>
      </c>
      <c r="R224" s="13">
        <f t="shared" si="37"/>
        <v>3.6840357397973588E-3</v>
      </c>
      <c r="T224" s="14">
        <f t="shared" si="38"/>
        <v>-6.9208571118279079E-3</v>
      </c>
      <c r="U224" s="14">
        <f t="shared" si="39"/>
        <v>-3.8756799826236282E-2</v>
      </c>
      <c r="V224" s="14">
        <f t="shared" si="40"/>
        <v>-1.7302142779569769E-2</v>
      </c>
      <c r="W224" s="14">
        <f t="shared" si="41"/>
        <v>-2.699134273612884E-2</v>
      </c>
      <c r="X224" s="14">
        <f t="shared" si="42"/>
        <v>-7.6129428230106997E-3</v>
      </c>
      <c r="Y224" s="12">
        <f t="shared" si="43"/>
        <v>1</v>
      </c>
    </row>
    <row r="225" spans="1:25" x14ac:dyDescent="0.3">
      <c r="A225" s="23"/>
      <c r="B225" s="12">
        <v>61</v>
      </c>
      <c r="C225" s="12">
        <v>5.9</v>
      </c>
      <c r="D225" s="12">
        <v>3.2</v>
      </c>
      <c r="E225" s="12">
        <v>4.8</v>
      </c>
      <c r="F225" s="12">
        <v>1.8</v>
      </c>
      <c r="G225" s="12">
        <v>1</v>
      </c>
      <c r="I225" s="13">
        <f>I224-('Konfigurasi Model'!$B$11*T224)</f>
        <v>0.30488087205649739</v>
      </c>
      <c r="J225" s="13">
        <f>J224-('Konfigurasi Model'!$B$11*U224)</f>
        <v>-0.18530953232074687</v>
      </c>
      <c r="K225" s="13">
        <f>K224-('Konfigurasi Model'!$B$11*V224)</f>
        <v>-0.21837682483154214</v>
      </c>
      <c r="L225" s="13">
        <f>L224-('Konfigurasi Model'!$B$11*W224)</f>
        <v>0.84202978297239861</v>
      </c>
      <c r="M225" s="13">
        <f>M224-('Konfigurasi Model'!$B$11*X224)</f>
        <v>0.70201885958202437</v>
      </c>
      <c r="N225" s="13">
        <f t="shared" si="33"/>
        <v>3.8181256974183131</v>
      </c>
      <c r="O225" s="13">
        <f t="shared" si="34"/>
        <v>0.97850332046790844</v>
      </c>
      <c r="P225" s="12">
        <f t="shared" si="35"/>
        <v>1</v>
      </c>
      <c r="Q225" s="13">
        <f t="shared" si="36"/>
        <v>-2.1496679532091556E-2</v>
      </c>
      <c r="R225" s="13">
        <f t="shared" si="37"/>
        <v>4.6210723090544403E-4</v>
      </c>
      <c r="T225" s="14">
        <f t="shared" si="38"/>
        <v>-9.0434691970641497E-4</v>
      </c>
      <c r="U225" s="14">
        <f t="shared" si="39"/>
        <v>-5.3356468262678487E-3</v>
      </c>
      <c r="V225" s="14">
        <f t="shared" si="40"/>
        <v>-2.8939101430605282E-3</v>
      </c>
      <c r="W225" s="14">
        <f t="shared" si="41"/>
        <v>-4.3408652145907915E-3</v>
      </c>
      <c r="X225" s="14">
        <f t="shared" si="42"/>
        <v>-1.6278244554715469E-3</v>
      </c>
      <c r="Y225" s="12">
        <f t="shared" si="43"/>
        <v>1</v>
      </c>
    </row>
    <row r="226" spans="1:25" x14ac:dyDescent="0.3">
      <c r="A226" s="23"/>
      <c r="B226" s="12">
        <v>62</v>
      </c>
      <c r="C226" s="12">
        <v>6.1</v>
      </c>
      <c r="D226" s="12">
        <v>2.8</v>
      </c>
      <c r="E226" s="12">
        <v>4</v>
      </c>
      <c r="F226" s="12">
        <v>1.3</v>
      </c>
      <c r="G226" s="12">
        <v>1</v>
      </c>
      <c r="I226" s="13">
        <f>I225-('Konfigurasi Model'!$B$11*T225)</f>
        <v>0.30497130674846801</v>
      </c>
      <c r="J226" s="13">
        <f>J225-('Konfigurasi Model'!$B$11*U225)</f>
        <v>-0.1847759676381201</v>
      </c>
      <c r="K226" s="13">
        <f>K225-('Konfigurasi Model'!$B$11*V225)</f>
        <v>-0.21808743381723608</v>
      </c>
      <c r="L226" s="13">
        <f>L225-('Konfigurasi Model'!$B$11*W225)</f>
        <v>0.84246386949385765</v>
      </c>
      <c r="M226" s="13">
        <f>M225-('Konfigurasi Model'!$B$11*X225)</f>
        <v>0.7021816420275715</v>
      </c>
      <c r="N226" s="13">
        <f t="shared" si="33"/>
        <v>2.8498847020789482</v>
      </c>
      <c r="O226" s="13">
        <f t="shared" si="34"/>
        <v>0.94531272258198773</v>
      </c>
      <c r="P226" s="12">
        <f t="shared" si="35"/>
        <v>1</v>
      </c>
      <c r="Q226" s="13">
        <f t="shared" si="36"/>
        <v>-5.468727741801227E-2</v>
      </c>
      <c r="R226" s="13">
        <f t="shared" si="37"/>
        <v>2.9906983113946349E-3</v>
      </c>
      <c r="T226" s="14">
        <f t="shared" si="38"/>
        <v>-5.6542903263316312E-3</v>
      </c>
      <c r="U226" s="14">
        <f t="shared" si="39"/>
        <v>-3.4491170990622946E-2</v>
      </c>
      <c r="V226" s="14">
        <f t="shared" si="40"/>
        <v>-1.5832012913728568E-2</v>
      </c>
      <c r="W226" s="14">
        <f t="shared" si="41"/>
        <v>-2.2617161305326525E-2</v>
      </c>
      <c r="X226" s="14">
        <f t="shared" si="42"/>
        <v>-7.3505774242311204E-3</v>
      </c>
      <c r="Y226" s="12">
        <f t="shared" si="43"/>
        <v>1</v>
      </c>
    </row>
    <row r="227" spans="1:25" x14ac:dyDescent="0.3">
      <c r="A227" s="23"/>
      <c r="B227" s="12">
        <v>63</v>
      </c>
      <c r="C227" s="12">
        <v>6.3</v>
      </c>
      <c r="D227" s="12">
        <v>2.5</v>
      </c>
      <c r="E227" s="12">
        <v>4.9000000000000004</v>
      </c>
      <c r="F227" s="12">
        <v>1.5</v>
      </c>
      <c r="G227" s="12">
        <v>1</v>
      </c>
      <c r="I227" s="13">
        <f>I226-('Konfigurasi Model'!$B$11*T226)</f>
        <v>0.30553673578110119</v>
      </c>
      <c r="J227" s="13">
        <f>J226-('Konfigurasi Model'!$B$11*U226)</f>
        <v>-0.18132685053905781</v>
      </c>
      <c r="K227" s="13">
        <f>K226-('Konfigurasi Model'!$B$11*V226)</f>
        <v>-0.21650423252586323</v>
      </c>
      <c r="L227" s="13">
        <f>L226-('Konfigurasi Model'!$B$11*W226)</f>
        <v>0.84472558562439026</v>
      </c>
      <c r="M227" s="13">
        <f>M226-('Konfigurasi Model'!$B$11*X226)</f>
        <v>0.7029166997699946</v>
      </c>
      <c r="N227" s="13">
        <f t="shared" si="33"/>
        <v>3.8154474152848832</v>
      </c>
      <c r="O227" s="13">
        <f t="shared" si="34"/>
        <v>0.97844691169082776</v>
      </c>
      <c r="P227" s="12">
        <f t="shared" si="35"/>
        <v>1</v>
      </c>
      <c r="Q227" s="13">
        <f t="shared" si="36"/>
        <v>-2.1553088309172241E-2</v>
      </c>
      <c r="R227" s="13">
        <f t="shared" si="37"/>
        <v>4.6453561566297717E-4</v>
      </c>
      <c r="T227" s="14">
        <f t="shared" si="38"/>
        <v>-9.0904687703167466E-4</v>
      </c>
      <c r="U227" s="14">
        <f t="shared" si="39"/>
        <v>-5.7269953252995498E-3</v>
      </c>
      <c r="V227" s="14">
        <f t="shared" si="40"/>
        <v>-2.2726171925791868E-3</v>
      </c>
      <c r="W227" s="14">
        <f t="shared" si="41"/>
        <v>-4.4543296974552064E-3</v>
      </c>
      <c r="X227" s="14">
        <f t="shared" si="42"/>
        <v>-1.3635703155475119E-3</v>
      </c>
      <c r="Y227" s="12">
        <f t="shared" si="43"/>
        <v>1</v>
      </c>
    </row>
    <row r="228" spans="1:25" x14ac:dyDescent="0.3">
      <c r="A228" s="23"/>
      <c r="B228" s="12">
        <v>64</v>
      </c>
      <c r="C228" s="12">
        <v>6.1</v>
      </c>
      <c r="D228" s="12">
        <v>2.8</v>
      </c>
      <c r="E228" s="12">
        <v>4.7</v>
      </c>
      <c r="F228" s="12">
        <v>1.2</v>
      </c>
      <c r="G228" s="12">
        <v>1</v>
      </c>
      <c r="I228" s="13">
        <f>I227-('Konfigurasi Model'!$B$11*T227)</f>
        <v>0.30562764046880436</v>
      </c>
      <c r="J228" s="13">
        <f>J227-('Konfigurasi Model'!$B$11*U227)</f>
        <v>-0.18075415100652786</v>
      </c>
      <c r="K228" s="13">
        <f>K227-('Konfigurasi Model'!$B$11*V227)</f>
        <v>-0.21627697080660532</v>
      </c>
      <c r="L228" s="13">
        <f>L227-('Konfigurasi Model'!$B$11*W227)</f>
        <v>0.84517101859413579</v>
      </c>
      <c r="M228" s="13">
        <f>M227-('Konfigurasi Model'!$B$11*X227)</f>
        <v>0.70305305680154939</v>
      </c>
      <c r="N228" s="13">
        <f t="shared" si="33"/>
        <v>3.4134192566247874</v>
      </c>
      <c r="O228" s="13">
        <f t="shared" si="34"/>
        <v>0.96812129822401638</v>
      </c>
      <c r="P228" s="12">
        <f t="shared" si="35"/>
        <v>1</v>
      </c>
      <c r="Q228" s="13">
        <f t="shared" si="36"/>
        <v>-3.187870177598362E-2</v>
      </c>
      <c r="R228" s="13">
        <f t="shared" si="37"/>
        <v>1.0162516269221012E-3</v>
      </c>
      <c r="T228" s="14">
        <f t="shared" si="38"/>
        <v>-1.9677096887561868E-3</v>
      </c>
      <c r="U228" s="14">
        <f t="shared" si="39"/>
        <v>-1.2003029101412739E-2</v>
      </c>
      <c r="V228" s="14">
        <f t="shared" si="40"/>
        <v>-5.5095871285173225E-3</v>
      </c>
      <c r="W228" s="14">
        <f t="shared" si="41"/>
        <v>-9.2482355371540786E-3</v>
      </c>
      <c r="X228" s="14">
        <f t="shared" si="42"/>
        <v>-2.361251626507424E-3</v>
      </c>
      <c r="Y228" s="12">
        <f t="shared" si="43"/>
        <v>1</v>
      </c>
    </row>
    <row r="229" spans="1:25" x14ac:dyDescent="0.3">
      <c r="A229" s="23"/>
      <c r="B229" s="12">
        <v>65</v>
      </c>
      <c r="C229" s="12">
        <v>6.4</v>
      </c>
      <c r="D229" s="12">
        <v>2.9</v>
      </c>
      <c r="E229" s="12">
        <v>4.3</v>
      </c>
      <c r="F229" s="12">
        <v>1.3</v>
      </c>
      <c r="G229" s="12">
        <v>1</v>
      </c>
      <c r="I229" s="13">
        <f>I228-('Konfigurasi Model'!$B$11*T228)</f>
        <v>0.30582441143767997</v>
      </c>
      <c r="J229" s="13">
        <f>J228-('Konfigurasi Model'!$B$11*U228)</f>
        <v>-0.17955384809638658</v>
      </c>
      <c r="K229" s="13">
        <f>K228-('Konfigurasi Model'!$B$11*V228)</f>
        <v>-0.21572601209375358</v>
      </c>
      <c r="L229" s="13">
        <f>L228-('Konfigurasi Model'!$B$11*W228)</f>
        <v>0.84609584214785116</v>
      </c>
      <c r="M229" s="13">
        <f>M228-('Konfigurasi Model'!$B$11*X228)</f>
        <v>0.70328918196420009</v>
      </c>
      <c r="N229" s="13">
        <f t="shared" si="33"/>
        <v>3.0835624063381402</v>
      </c>
      <c r="O229" s="13">
        <f t="shared" si="34"/>
        <v>0.95620959521532356</v>
      </c>
      <c r="P229" s="12">
        <f t="shared" si="35"/>
        <v>1</v>
      </c>
      <c r="Q229" s="13">
        <f t="shared" si="36"/>
        <v>-4.379040478467644E-2</v>
      </c>
      <c r="R229" s="13">
        <f t="shared" si="37"/>
        <v>1.9175995512058133E-3</v>
      </c>
      <c r="T229" s="14">
        <f t="shared" si="38"/>
        <v>-3.6672541812871936E-3</v>
      </c>
      <c r="U229" s="14">
        <f t="shared" si="39"/>
        <v>-2.3470426760238042E-2</v>
      </c>
      <c r="V229" s="14">
        <f t="shared" si="40"/>
        <v>-1.0635037125732862E-2</v>
      </c>
      <c r="W229" s="14">
        <f t="shared" si="41"/>
        <v>-1.576919297953493E-2</v>
      </c>
      <c r="X229" s="14">
        <f t="shared" si="42"/>
        <v>-4.767430435673352E-3</v>
      </c>
      <c r="Y229" s="12">
        <f t="shared" si="43"/>
        <v>1</v>
      </c>
    </row>
    <row r="230" spans="1:25" x14ac:dyDescent="0.3">
      <c r="A230" s="23"/>
      <c r="B230" s="12">
        <v>66</v>
      </c>
      <c r="C230" s="12">
        <v>6.6</v>
      </c>
      <c r="D230" s="12">
        <v>3</v>
      </c>
      <c r="E230" s="12">
        <v>4.4000000000000004</v>
      </c>
      <c r="F230" s="12">
        <v>1.4</v>
      </c>
      <c r="G230" s="12">
        <v>1</v>
      </c>
      <c r="I230" s="13">
        <f>I229-('Konfigurasi Model'!$B$11*T229)</f>
        <v>0.30619113685580868</v>
      </c>
      <c r="J230" s="13">
        <f>J229-('Konfigurasi Model'!$B$11*U229)</f>
        <v>-0.17720680542036277</v>
      </c>
      <c r="K230" s="13">
        <f>K229-('Konfigurasi Model'!$B$11*V229)</f>
        <v>-0.21466250838118028</v>
      </c>
      <c r="L230" s="13">
        <f>L229-('Konfigurasi Model'!$B$11*W229)</f>
        <v>0.84767276144580461</v>
      </c>
      <c r="M230" s="13">
        <f>M229-('Konfigurasi Model'!$B$11*X229)</f>
        <v>0.70376592500776747</v>
      </c>
      <c r="N230" s="13">
        <f t="shared" si="33"/>
        <v>3.2076711413102892</v>
      </c>
      <c r="O230" s="13">
        <f t="shared" si="34"/>
        <v>0.96112193749494712</v>
      </c>
      <c r="P230" s="12">
        <f t="shared" si="35"/>
        <v>1</v>
      </c>
      <c r="Q230" s="13">
        <f t="shared" si="36"/>
        <v>-3.8878062505052879E-2</v>
      </c>
      <c r="R230" s="13">
        <f t="shared" si="37"/>
        <v>1.5115037441467986E-3</v>
      </c>
      <c r="T230" s="14">
        <f t="shared" si="38"/>
        <v>-2.9054788142104759E-3</v>
      </c>
      <c r="U230" s="14">
        <f t="shared" si="39"/>
        <v>-1.917616017378914E-2</v>
      </c>
      <c r="V230" s="14">
        <f t="shared" si="40"/>
        <v>-8.7164364426314273E-3</v>
      </c>
      <c r="W230" s="14">
        <f t="shared" si="41"/>
        <v>-1.2784106782526094E-2</v>
      </c>
      <c r="X230" s="14">
        <f t="shared" si="42"/>
        <v>-4.067670339894666E-3</v>
      </c>
      <c r="Y230" s="12">
        <f t="shared" si="43"/>
        <v>1</v>
      </c>
    </row>
    <row r="231" spans="1:25" x14ac:dyDescent="0.3">
      <c r="A231" s="23"/>
      <c r="B231" s="12">
        <v>67</v>
      </c>
      <c r="C231" s="12">
        <v>6.8</v>
      </c>
      <c r="D231" s="12">
        <v>2.8</v>
      </c>
      <c r="E231" s="12">
        <v>4.8</v>
      </c>
      <c r="F231" s="12">
        <v>1.4</v>
      </c>
      <c r="G231" s="12">
        <v>1</v>
      </c>
      <c r="I231" s="13">
        <f>I230-('Konfigurasi Model'!$B$11*T230)</f>
        <v>0.3064816847372297</v>
      </c>
      <c r="J231" s="13">
        <f>J230-('Konfigurasi Model'!$B$11*U230)</f>
        <v>-0.17528918940298385</v>
      </c>
      <c r="K231" s="13">
        <f>K230-('Konfigurasi Model'!$B$11*V230)</f>
        <v>-0.21379086473691714</v>
      </c>
      <c r="L231" s="13">
        <f>L230-('Konfigurasi Model'!$B$11*W230)</f>
        <v>0.84895117212405724</v>
      </c>
      <c r="M231" s="13">
        <f>M230-('Konfigurasi Model'!$B$11*X230)</f>
        <v>0.70417269204175692</v>
      </c>
      <c r="N231" s="13">
        <f t="shared" si="33"/>
        <v>3.5767081705875059</v>
      </c>
      <c r="O231" s="13">
        <f t="shared" si="34"/>
        <v>0.97279329505694612</v>
      </c>
      <c r="P231" s="12">
        <f t="shared" si="35"/>
        <v>1</v>
      </c>
      <c r="Q231" s="13">
        <f t="shared" si="36"/>
        <v>-2.7206704943053883E-2</v>
      </c>
      <c r="R231" s="13">
        <f t="shared" si="37"/>
        <v>7.402047938583926E-4</v>
      </c>
      <c r="T231" s="14">
        <f t="shared" si="38"/>
        <v>-1.4401325208689066E-3</v>
      </c>
      <c r="U231" s="14">
        <f t="shared" si="39"/>
        <v>-9.7929011419085644E-3</v>
      </c>
      <c r="V231" s="14">
        <f t="shared" si="40"/>
        <v>-4.032371058432938E-3</v>
      </c>
      <c r="W231" s="14">
        <f t="shared" si="41"/>
        <v>-6.9126361001707517E-3</v>
      </c>
      <c r="X231" s="14">
        <f t="shared" si="42"/>
        <v>-2.016185529216469E-3</v>
      </c>
      <c r="Y231" s="12">
        <f t="shared" si="43"/>
        <v>1</v>
      </c>
    </row>
    <row r="232" spans="1:25" x14ac:dyDescent="0.3">
      <c r="A232" s="23"/>
      <c r="B232" s="12">
        <v>68</v>
      </c>
      <c r="C232" s="12">
        <v>6.7</v>
      </c>
      <c r="D232" s="12">
        <v>3</v>
      </c>
      <c r="E232" s="12">
        <v>5</v>
      </c>
      <c r="F232" s="12">
        <v>1.7</v>
      </c>
      <c r="G232" s="12">
        <v>1</v>
      </c>
      <c r="I232" s="13">
        <f>I231-('Konfigurasi Model'!$B$11*T231)</f>
        <v>0.3066256979893166</v>
      </c>
      <c r="J232" s="13">
        <f>J231-('Konfigurasi Model'!$B$11*U231)</f>
        <v>-0.17430989928879301</v>
      </c>
      <c r="K232" s="13">
        <f>K231-('Konfigurasi Model'!$B$11*V231)</f>
        <v>-0.21338762763107383</v>
      </c>
      <c r="L232" s="13">
        <f>L231-('Konfigurasi Model'!$B$11*W231)</f>
        <v>0.84964243573407428</v>
      </c>
      <c r="M232" s="13">
        <f>M231-('Konfigurasi Model'!$B$11*X231)</f>
        <v>0.70437431059467859</v>
      </c>
      <c r="N232" s="13">
        <f t="shared" si="33"/>
        <v>3.944234996542507</v>
      </c>
      <c r="O232" s="13">
        <f t="shared" si="34"/>
        <v>0.98100189206701049</v>
      </c>
      <c r="P232" s="12">
        <f t="shared" si="35"/>
        <v>1</v>
      </c>
      <c r="Q232" s="13">
        <f t="shared" si="36"/>
        <v>-1.8998107932989505E-2</v>
      </c>
      <c r="R232" s="13">
        <f t="shared" si="37"/>
        <v>3.6092810503351877E-4</v>
      </c>
      <c r="T232" s="14">
        <f t="shared" si="38"/>
        <v>-7.0814230787608523E-4</v>
      </c>
      <c r="U232" s="14">
        <f t="shared" si="39"/>
        <v>-4.7445534627697716E-3</v>
      </c>
      <c r="V232" s="14">
        <f t="shared" si="40"/>
        <v>-2.1244269236282559E-3</v>
      </c>
      <c r="W232" s="14">
        <f t="shared" si="41"/>
        <v>-3.5407115393804259E-3</v>
      </c>
      <c r="X232" s="14">
        <f t="shared" si="42"/>
        <v>-1.2038419233893448E-3</v>
      </c>
      <c r="Y232" s="12">
        <f t="shared" si="43"/>
        <v>1</v>
      </c>
    </row>
    <row r="233" spans="1:25" x14ac:dyDescent="0.3">
      <c r="A233" s="23"/>
      <c r="B233" s="12">
        <v>69</v>
      </c>
      <c r="C233" s="12">
        <v>6</v>
      </c>
      <c r="D233" s="12">
        <v>2.9</v>
      </c>
      <c r="E233" s="12">
        <v>4.5</v>
      </c>
      <c r="F233" s="12">
        <v>1.5</v>
      </c>
      <c r="G233" s="12">
        <v>1</v>
      </c>
      <c r="I233" s="13">
        <f>I232-('Konfigurasi Model'!$B$11*T232)</f>
        <v>0.30669651222010419</v>
      </c>
      <c r="J233" s="13">
        <f>J232-('Konfigurasi Model'!$B$11*U232)</f>
        <v>-0.17383544394251604</v>
      </c>
      <c r="K233" s="13">
        <f>K232-('Konfigurasi Model'!$B$11*V232)</f>
        <v>-0.21317518493871102</v>
      </c>
      <c r="L233" s="13">
        <f>L232-('Konfigurasi Model'!$B$11*W232)</f>
        <v>0.84999650688801232</v>
      </c>
      <c r="M233" s="13">
        <f>M232-('Konfigurasi Model'!$B$11*X232)</f>
        <v>0.70449469478701754</v>
      </c>
      <c r="N233" s="13">
        <f t="shared" si="33"/>
        <v>3.5272021354193281</v>
      </c>
      <c r="O233" s="13">
        <f t="shared" si="34"/>
        <v>0.97145192115669021</v>
      </c>
      <c r="P233" s="12">
        <f t="shared" si="35"/>
        <v>1</v>
      </c>
      <c r="Q233" s="13">
        <f t="shared" si="36"/>
        <v>-2.8548078843309788E-2</v>
      </c>
      <c r="R233" s="13">
        <f t="shared" si="37"/>
        <v>8.1499280564383187E-4</v>
      </c>
      <c r="T233" s="14">
        <f t="shared" si="38"/>
        <v>-1.5834526535431631E-3</v>
      </c>
      <c r="U233" s="14">
        <f t="shared" si="39"/>
        <v>-9.5007159212589787E-3</v>
      </c>
      <c r="V233" s="14">
        <f t="shared" si="40"/>
        <v>-4.5920126952751729E-3</v>
      </c>
      <c r="W233" s="14">
        <f t="shared" si="41"/>
        <v>-7.125536940944234E-3</v>
      </c>
      <c r="X233" s="14">
        <f t="shared" si="42"/>
        <v>-2.3751789803147447E-3</v>
      </c>
      <c r="Y233" s="12">
        <f t="shared" si="43"/>
        <v>1</v>
      </c>
    </row>
    <row r="234" spans="1:25" x14ac:dyDescent="0.3">
      <c r="A234" s="23"/>
      <c r="B234" s="12">
        <v>70</v>
      </c>
      <c r="C234" s="12">
        <v>5.7</v>
      </c>
      <c r="D234" s="12">
        <v>2.6</v>
      </c>
      <c r="E234" s="12">
        <v>3.5</v>
      </c>
      <c r="F234" s="12">
        <v>1</v>
      </c>
      <c r="G234" s="12">
        <v>1</v>
      </c>
      <c r="I234" s="13">
        <f>I233-('Konfigurasi Model'!$B$11*T233)</f>
        <v>0.30685485748545849</v>
      </c>
      <c r="J234" s="13">
        <f>J233-('Konfigurasi Model'!$B$11*U233)</f>
        <v>-0.17288537235039014</v>
      </c>
      <c r="K234" s="13">
        <f>K233-('Konfigurasi Model'!$B$11*V233)</f>
        <v>-0.21271598366918351</v>
      </c>
      <c r="L234" s="13">
        <f>L233-('Konfigurasi Model'!$B$11*W233)</f>
        <v>0.85070906058210671</v>
      </c>
      <c r="M234" s="13">
        <f>M233-('Konfigurasi Model'!$B$11*X233)</f>
        <v>0.70473221268504904</v>
      </c>
      <c r="N234" s="13">
        <f t="shared" si="33"/>
        <v>2.4505606022707802</v>
      </c>
      <c r="O234" s="13">
        <f t="shared" si="34"/>
        <v>0.92060243691165689</v>
      </c>
      <c r="P234" s="12">
        <f t="shared" si="35"/>
        <v>1</v>
      </c>
      <c r="Q234" s="13">
        <f t="shared" si="36"/>
        <v>-7.9397563088343115E-2</v>
      </c>
      <c r="R234" s="13">
        <f t="shared" si="37"/>
        <v>6.3039730243674248E-3</v>
      </c>
      <c r="T234" s="14">
        <f t="shared" si="38"/>
        <v>-1.1606905856915999E-2</v>
      </c>
      <c r="U234" s="14">
        <f t="shared" si="39"/>
        <v>-6.6159363384421202E-2</v>
      </c>
      <c r="V234" s="14">
        <f t="shared" si="40"/>
        <v>-3.0177955227981598E-2</v>
      </c>
      <c r="W234" s="14">
        <f t="shared" si="41"/>
        <v>-4.0624170499205997E-2</v>
      </c>
      <c r="X234" s="14">
        <f t="shared" si="42"/>
        <v>-1.1606905856915999E-2</v>
      </c>
      <c r="Y234" s="12">
        <f t="shared" si="43"/>
        <v>1</v>
      </c>
    </row>
    <row r="235" spans="1:25" x14ac:dyDescent="0.3">
      <c r="A235" s="23"/>
      <c r="B235" s="12">
        <v>71</v>
      </c>
      <c r="C235" s="12">
        <v>5.5</v>
      </c>
      <c r="D235" s="12">
        <v>2.4</v>
      </c>
      <c r="E235" s="12">
        <v>3.8</v>
      </c>
      <c r="F235" s="12">
        <v>1.1000000000000001</v>
      </c>
      <c r="G235" s="12">
        <v>1</v>
      </c>
      <c r="I235" s="13">
        <f>I234-('Konfigurasi Model'!$B$11*T234)</f>
        <v>0.30801554807115011</v>
      </c>
      <c r="J235" s="13">
        <f>J234-('Konfigurasi Model'!$B$11*U234)</f>
        <v>-0.16626943601194802</v>
      </c>
      <c r="K235" s="13">
        <f>K234-('Konfigurasi Model'!$B$11*V234)</f>
        <v>-0.20969818814638536</v>
      </c>
      <c r="L235" s="13">
        <f>L234-('Konfigurasi Model'!$B$11*W234)</f>
        <v>0.85477147763202732</v>
      </c>
      <c r="M235" s="13">
        <f>M234-('Konfigurasi Model'!$B$11*X234)</f>
        <v>0.70589290327074061</v>
      </c>
      <c r="N235" s="13">
        <f t="shared" si="33"/>
        <v>2.9148718070536299</v>
      </c>
      <c r="O235" s="13">
        <f t="shared" si="34"/>
        <v>0.94857672602679699</v>
      </c>
      <c r="P235" s="12">
        <f t="shared" si="35"/>
        <v>1</v>
      </c>
      <c r="Q235" s="13">
        <f t="shared" si="36"/>
        <v>-5.142327397320301E-2</v>
      </c>
      <c r="R235" s="13">
        <f t="shared" si="37"/>
        <v>2.6443531061230981E-3</v>
      </c>
      <c r="T235" s="14">
        <f t="shared" si="38"/>
        <v>-5.0167436237300795E-3</v>
      </c>
      <c r="U235" s="14">
        <f t="shared" si="39"/>
        <v>-2.7592089930515436E-2</v>
      </c>
      <c r="V235" s="14">
        <f t="shared" si="40"/>
        <v>-1.2040184696952191E-2</v>
      </c>
      <c r="W235" s="14">
        <f t="shared" si="41"/>
        <v>-1.90636257701743E-2</v>
      </c>
      <c r="X235" s="14">
        <f t="shared" si="42"/>
        <v>-5.5184179861030875E-3</v>
      </c>
      <c r="Y235" s="12">
        <f t="shared" si="43"/>
        <v>1</v>
      </c>
    </row>
    <row r="236" spans="1:25" x14ac:dyDescent="0.3">
      <c r="A236" s="23"/>
      <c r="B236" s="12">
        <v>72</v>
      </c>
      <c r="C236" s="12">
        <v>5.5</v>
      </c>
      <c r="D236" s="12">
        <v>2.4</v>
      </c>
      <c r="E236" s="12">
        <v>3.7</v>
      </c>
      <c r="F236" s="12">
        <v>1</v>
      </c>
      <c r="G236" s="12">
        <v>1</v>
      </c>
      <c r="I236" s="13">
        <f>I235-('Konfigurasi Model'!$B$11*T235)</f>
        <v>0.30851722243352314</v>
      </c>
      <c r="J236" s="13">
        <f>J235-('Konfigurasi Model'!$B$11*U235)</f>
        <v>-0.16351022701889648</v>
      </c>
      <c r="K236" s="13">
        <f>K235-('Konfigurasi Model'!$B$11*V235)</f>
        <v>-0.20849416967669013</v>
      </c>
      <c r="L236" s="13">
        <f>L235-('Konfigurasi Model'!$B$11*W235)</f>
        <v>0.85667784020904481</v>
      </c>
      <c r="M236" s="13">
        <f>M235-('Konfigurasi Model'!$B$11*X235)</f>
        <v>0.70644474506935095</v>
      </c>
      <c r="N236" s="13">
        <f t="shared" si="33"/>
        <v>2.7849777204483535</v>
      </c>
      <c r="O236" s="13">
        <f t="shared" si="34"/>
        <v>0.94185862945835075</v>
      </c>
      <c r="P236" s="12">
        <f t="shared" si="35"/>
        <v>1</v>
      </c>
      <c r="Q236" s="13">
        <f t="shared" si="36"/>
        <v>-5.8141370541649251E-2</v>
      </c>
      <c r="R236" s="13">
        <f t="shared" si="37"/>
        <v>3.3804189684613593E-3</v>
      </c>
      <c r="T236" s="14">
        <f t="shared" si="38"/>
        <v>-6.3677535532600553E-3</v>
      </c>
      <c r="U236" s="14">
        <f t="shared" si="39"/>
        <v>-3.5022644542930303E-2</v>
      </c>
      <c r="V236" s="14">
        <f t="shared" si="40"/>
        <v>-1.5282608527824131E-2</v>
      </c>
      <c r="W236" s="14">
        <f t="shared" si="41"/>
        <v>-2.3560688147062206E-2</v>
      </c>
      <c r="X236" s="14">
        <f t="shared" si="42"/>
        <v>-6.3677535532600553E-3</v>
      </c>
      <c r="Y236" s="12">
        <f t="shared" si="43"/>
        <v>1</v>
      </c>
    </row>
    <row r="237" spans="1:25" x14ac:dyDescent="0.3">
      <c r="A237" s="23"/>
      <c r="B237" s="12">
        <v>73</v>
      </c>
      <c r="C237" s="12">
        <v>5.8</v>
      </c>
      <c r="D237" s="12">
        <v>2.7</v>
      </c>
      <c r="E237" s="12">
        <v>3.9</v>
      </c>
      <c r="F237" s="12">
        <v>1.2</v>
      </c>
      <c r="G237" s="12">
        <v>1</v>
      </c>
      <c r="I237" s="13">
        <f>I236-('Konfigurasi Model'!$B$11*T236)</f>
        <v>0.30915399778884917</v>
      </c>
      <c r="J237" s="13">
        <f>J236-('Konfigurasi Model'!$B$11*U236)</f>
        <v>-0.16000796256460345</v>
      </c>
      <c r="K237" s="13">
        <f>K236-('Konfigurasi Model'!$B$11*V236)</f>
        <v>-0.20696590882390772</v>
      </c>
      <c r="L237" s="13">
        <f>L236-('Konfigurasi Model'!$B$11*W236)</f>
        <v>0.85903390902375099</v>
      </c>
      <c r="M237" s="13">
        <f>M236-('Konfigurasi Model'!$B$11*X236)</f>
        <v>0.70708152042467698</v>
      </c>
      <c r="N237" s="13">
        <f t="shared" si="33"/>
        <v>3.0210299307918396</v>
      </c>
      <c r="O237" s="13">
        <f t="shared" si="34"/>
        <v>0.95351519743119684</v>
      </c>
      <c r="P237" s="12">
        <f t="shared" si="35"/>
        <v>1</v>
      </c>
      <c r="Q237" s="13">
        <f t="shared" si="36"/>
        <v>-4.6484802568803163E-2</v>
      </c>
      <c r="R237" s="13">
        <f t="shared" si="37"/>
        <v>2.1608368698606091E-3</v>
      </c>
      <c r="T237" s="14">
        <f t="shared" si="38"/>
        <v>-4.1207815891634962E-3</v>
      </c>
      <c r="U237" s="14">
        <f t="shared" si="39"/>
        <v>-2.3900533217148277E-2</v>
      </c>
      <c r="V237" s="14">
        <f t="shared" si="40"/>
        <v>-1.1126110290741441E-2</v>
      </c>
      <c r="W237" s="14">
        <f t="shared" si="41"/>
        <v>-1.6071048197737636E-2</v>
      </c>
      <c r="X237" s="14">
        <f t="shared" si="42"/>
        <v>-4.9449379069961951E-3</v>
      </c>
      <c r="Y237" s="12">
        <f t="shared" si="43"/>
        <v>1</v>
      </c>
    </row>
    <row r="238" spans="1:25" x14ac:dyDescent="0.3">
      <c r="A238" s="23"/>
      <c r="B238" s="12">
        <v>74</v>
      </c>
      <c r="C238" s="12">
        <v>6</v>
      </c>
      <c r="D238" s="12">
        <v>2.7</v>
      </c>
      <c r="E238" s="12">
        <v>5.0999999999999996</v>
      </c>
      <c r="F238" s="12">
        <v>1.6</v>
      </c>
      <c r="G238" s="12">
        <v>1</v>
      </c>
      <c r="I238" s="13">
        <f>I237-('Konfigurasi Model'!$B$11*T237)</f>
        <v>0.30956607594776553</v>
      </c>
      <c r="J238" s="13">
        <f>J237-('Konfigurasi Model'!$B$11*U237)</f>
        <v>-0.15761790924288863</v>
      </c>
      <c r="K238" s="13">
        <f>K237-('Konfigurasi Model'!$B$11*V237)</f>
        <v>-0.20585329779483358</v>
      </c>
      <c r="L238" s="13">
        <f>L237-('Konfigurasi Model'!$B$11*W237)</f>
        <v>0.86064101384352476</v>
      </c>
      <c r="M238" s="13">
        <f>M237-('Konfigurasi Model'!$B$11*X237)</f>
        <v>0.70757601421537664</v>
      </c>
      <c r="N238" s="13">
        <f t="shared" si="33"/>
        <v>4.3294455097909612</v>
      </c>
      <c r="O238" s="13">
        <f t="shared" si="34"/>
        <v>0.98699646879255498</v>
      </c>
      <c r="P238" s="12">
        <f t="shared" si="35"/>
        <v>1</v>
      </c>
      <c r="Q238" s="13">
        <f t="shared" si="36"/>
        <v>-1.3003531207445018E-2</v>
      </c>
      <c r="R238" s="13">
        <f t="shared" si="37"/>
        <v>1.690918238629965E-4</v>
      </c>
      <c r="T238" s="14">
        <f t="shared" si="38"/>
        <v>-3.3378606610894046E-4</v>
      </c>
      <c r="U238" s="14">
        <f t="shared" si="39"/>
        <v>-2.002716396653643E-3</v>
      </c>
      <c r="V238" s="14">
        <f t="shared" si="40"/>
        <v>-9.0122237849413927E-4</v>
      </c>
      <c r="W238" s="14">
        <f t="shared" si="41"/>
        <v>-1.7023089371555962E-3</v>
      </c>
      <c r="X238" s="14">
        <f t="shared" si="42"/>
        <v>-5.3405770577430478E-4</v>
      </c>
      <c r="Y238" s="12">
        <f t="shared" si="43"/>
        <v>1</v>
      </c>
    </row>
    <row r="239" spans="1:25" x14ac:dyDescent="0.3">
      <c r="A239" s="23"/>
      <c r="B239" s="12">
        <v>75</v>
      </c>
      <c r="C239" s="12">
        <v>5.4</v>
      </c>
      <c r="D239" s="12">
        <v>3</v>
      </c>
      <c r="E239" s="12">
        <v>4.5</v>
      </c>
      <c r="F239" s="12">
        <v>1.5</v>
      </c>
      <c r="G239" s="12">
        <v>1</v>
      </c>
      <c r="I239" s="13">
        <f>I238-('Konfigurasi Model'!$B$11*T238)</f>
        <v>0.30959945455437643</v>
      </c>
      <c r="J239" s="13">
        <f>J238-('Konfigurasi Model'!$B$11*U238)</f>
        <v>-0.15741763760322325</v>
      </c>
      <c r="K239" s="13">
        <f>K238-('Konfigurasi Model'!$B$11*V238)</f>
        <v>-0.20576317555698417</v>
      </c>
      <c r="L239" s="13">
        <f>L238-('Konfigurasi Model'!$B$11*W238)</f>
        <v>0.86081124473724036</v>
      </c>
      <c r="M239" s="13">
        <f>M238-('Konfigurasi Model'!$B$11*X238)</f>
        <v>0.70762941998595408</v>
      </c>
      <c r="N239" s="13">
        <f t="shared" si="33"/>
        <v>3.7773494161225307</v>
      </c>
      <c r="O239" s="13">
        <f t="shared" si="34"/>
        <v>0.97762866408554228</v>
      </c>
      <c r="P239" s="12">
        <f t="shared" si="35"/>
        <v>1</v>
      </c>
      <c r="Q239" s="13">
        <f t="shared" si="36"/>
        <v>-2.2371335914457724E-2</v>
      </c>
      <c r="R239" s="13">
        <f t="shared" si="37"/>
        <v>5.0047667059750604E-4</v>
      </c>
      <c r="T239" s="14">
        <f t="shared" si="38"/>
        <v>-9.7856067776443969E-4</v>
      </c>
      <c r="U239" s="14">
        <f t="shared" si="39"/>
        <v>-5.284227659927975E-3</v>
      </c>
      <c r="V239" s="14">
        <f t="shared" si="40"/>
        <v>-2.9356820332933188E-3</v>
      </c>
      <c r="W239" s="14">
        <f t="shared" si="41"/>
        <v>-4.4035230499399787E-3</v>
      </c>
      <c r="X239" s="14">
        <f t="shared" si="42"/>
        <v>-1.4678410166466594E-3</v>
      </c>
      <c r="Y239" s="12">
        <f t="shared" si="43"/>
        <v>1</v>
      </c>
    </row>
    <row r="240" spans="1:25" x14ac:dyDescent="0.3">
      <c r="A240" s="23"/>
      <c r="B240" s="12">
        <v>76</v>
      </c>
      <c r="C240" s="12">
        <v>6</v>
      </c>
      <c r="D240" s="12">
        <v>3.4</v>
      </c>
      <c r="E240" s="12">
        <v>4.5</v>
      </c>
      <c r="F240" s="12">
        <v>1.6</v>
      </c>
      <c r="G240" s="12">
        <v>1</v>
      </c>
      <c r="I240" s="13">
        <f>I239-('Konfigurasi Model'!$B$11*T239)</f>
        <v>0.30969731062215289</v>
      </c>
      <c r="J240" s="13">
        <f>J239-('Konfigurasi Model'!$B$11*U239)</f>
        <v>-0.15688921483723045</v>
      </c>
      <c r="K240" s="13">
        <f>K239-('Konfigurasi Model'!$B$11*V239)</f>
        <v>-0.20546960735365485</v>
      </c>
      <c r="L240" s="13">
        <f>L239-('Konfigurasi Model'!$B$11*W239)</f>
        <v>0.86125159704223431</v>
      </c>
      <c r="M240" s="13">
        <f>M239-('Konfigurasi Model'!$B$11*X239)</f>
        <v>0.70777620408761877</v>
      </c>
      <c r="N240" s="13">
        <f t="shared" si="33"/>
        <v>3.6778394698265888</v>
      </c>
      <c r="O240" s="13">
        <f t="shared" si="34"/>
        <v>0.97534567174623543</v>
      </c>
      <c r="P240" s="12">
        <f t="shared" si="35"/>
        <v>1</v>
      </c>
      <c r="Q240" s="13">
        <f t="shared" si="36"/>
        <v>-2.4654328253764568E-2</v>
      </c>
      <c r="R240" s="13">
        <f t="shared" si="37"/>
        <v>6.0783590164437389E-4</v>
      </c>
      <c r="T240" s="14">
        <f t="shared" si="38"/>
        <v>-1.1857002316016212E-3</v>
      </c>
      <c r="U240" s="14">
        <f t="shared" si="39"/>
        <v>-7.114201389609727E-3</v>
      </c>
      <c r="V240" s="14">
        <f t="shared" si="40"/>
        <v>-4.0313807874455118E-3</v>
      </c>
      <c r="W240" s="14">
        <f t="shared" si="41"/>
        <v>-5.3356510422072952E-3</v>
      </c>
      <c r="X240" s="14">
        <f t="shared" si="42"/>
        <v>-1.897120370562594E-3</v>
      </c>
      <c r="Y240" s="12">
        <f t="shared" si="43"/>
        <v>1</v>
      </c>
    </row>
    <row r="241" spans="1:28" x14ac:dyDescent="0.3">
      <c r="A241" s="23"/>
      <c r="B241" s="12">
        <v>77</v>
      </c>
      <c r="C241" s="12">
        <v>6.7</v>
      </c>
      <c r="D241" s="12">
        <v>3.1</v>
      </c>
      <c r="E241" s="12">
        <v>4.7</v>
      </c>
      <c r="F241" s="12">
        <v>1.5</v>
      </c>
      <c r="G241" s="12">
        <v>1</v>
      </c>
      <c r="I241" s="13">
        <f>I240-('Konfigurasi Model'!$B$11*T240)</f>
        <v>0.30981588064531307</v>
      </c>
      <c r="J241" s="13">
        <f>J240-('Konfigurasi Model'!$B$11*U240)</f>
        <v>-0.15617779469826948</v>
      </c>
      <c r="K241" s="13">
        <f>K240-('Konfigurasi Model'!$B$11*V240)</f>
        <v>-0.20506646927491029</v>
      </c>
      <c r="L241" s="13">
        <f>L240-('Konfigurasi Model'!$B$11*W240)</f>
        <v>0.86178516214645506</v>
      </c>
      <c r="M241" s="13">
        <f>M240-('Konfigurasi Model'!$B$11*X240)</f>
        <v>0.70796591612467508</v>
      </c>
      <c r="N241" s="13">
        <f t="shared" si="33"/>
        <v>3.7400577376900372</v>
      </c>
      <c r="O241" s="13">
        <f t="shared" si="34"/>
        <v>0.97679837041777628</v>
      </c>
      <c r="P241" s="12">
        <f t="shared" si="35"/>
        <v>1</v>
      </c>
      <c r="Q241" s="13">
        <f t="shared" si="36"/>
        <v>-2.3201629582223715E-2</v>
      </c>
      <c r="R241" s="13">
        <f t="shared" si="37"/>
        <v>5.3831561527071864E-4</v>
      </c>
      <c r="T241" s="14">
        <f t="shared" si="38"/>
        <v>-1.0516516315337611E-3</v>
      </c>
      <c r="U241" s="14">
        <f t="shared" si="39"/>
        <v>-7.0460659312761992E-3</v>
      </c>
      <c r="V241" s="14">
        <f t="shared" si="40"/>
        <v>-3.2601200577546596E-3</v>
      </c>
      <c r="W241" s="14">
        <f t="shared" si="41"/>
        <v>-4.9427626682086775E-3</v>
      </c>
      <c r="X241" s="14">
        <f t="shared" si="42"/>
        <v>-1.5774774473006417E-3</v>
      </c>
      <c r="Y241" s="12">
        <f t="shared" si="43"/>
        <v>1</v>
      </c>
    </row>
    <row r="242" spans="1:28" x14ac:dyDescent="0.3">
      <c r="A242" s="23"/>
      <c r="B242" s="12">
        <v>78</v>
      </c>
      <c r="C242" s="12">
        <v>6.3</v>
      </c>
      <c r="D242" s="12">
        <v>2.2999999999999998</v>
      </c>
      <c r="E242" s="12">
        <v>4.4000000000000004</v>
      </c>
      <c r="F242" s="12">
        <v>1.3</v>
      </c>
      <c r="G242" s="12">
        <v>1</v>
      </c>
      <c r="I242" s="13">
        <f>I241-('Konfigurasi Model'!$B$11*T241)</f>
        <v>0.30992104580846647</v>
      </c>
      <c r="J242" s="13">
        <f>J241-('Konfigurasi Model'!$B$11*U241)</f>
        <v>-0.15547318810514185</v>
      </c>
      <c r="K242" s="13">
        <f>K241-('Konfigurasi Model'!$B$11*V241)</f>
        <v>-0.20474045726913481</v>
      </c>
      <c r="L242" s="13">
        <f>L241-('Konfigurasi Model'!$B$11*W241)</f>
        <v>0.86227943841327592</v>
      </c>
      <c r="M242" s="13">
        <f>M241-('Konfigurasi Model'!$B$11*X241)</f>
        <v>0.70812366386940517</v>
      </c>
      <c r="N242" s="13">
        <f t="shared" si="33"/>
        <v>3.5741272010757039</v>
      </c>
      <c r="O242" s="13">
        <f t="shared" si="34"/>
        <v>0.97272490240778153</v>
      </c>
      <c r="P242" s="12">
        <f t="shared" si="35"/>
        <v>1</v>
      </c>
      <c r="Q242" s="13">
        <f t="shared" si="36"/>
        <v>-2.7275097592218467E-2</v>
      </c>
      <c r="R242" s="13">
        <f t="shared" si="37"/>
        <v>7.4393094866504156E-4</v>
      </c>
      <c r="T242" s="14">
        <f t="shared" si="38"/>
        <v>-1.4472803188766618E-3</v>
      </c>
      <c r="U242" s="14">
        <f t="shared" si="39"/>
        <v>-9.1178660089229688E-3</v>
      </c>
      <c r="V242" s="14">
        <f t="shared" si="40"/>
        <v>-3.3287447334163218E-3</v>
      </c>
      <c r="W242" s="14">
        <f t="shared" si="41"/>
        <v>-6.3680334030573127E-3</v>
      </c>
      <c r="X242" s="14">
        <f t="shared" si="42"/>
        <v>-1.8814644145396604E-3</v>
      </c>
      <c r="Y242" s="12">
        <f t="shared" si="43"/>
        <v>1</v>
      </c>
    </row>
    <row r="243" spans="1:28" x14ac:dyDescent="0.3">
      <c r="A243" s="23"/>
      <c r="B243" s="12">
        <v>79</v>
      </c>
      <c r="C243" s="12">
        <v>5.6</v>
      </c>
      <c r="D243" s="12">
        <v>3</v>
      </c>
      <c r="E243" s="12">
        <v>4.0999999999999996</v>
      </c>
      <c r="F243" s="12">
        <v>1.3</v>
      </c>
      <c r="G243" s="12">
        <v>1</v>
      </c>
      <c r="I243" s="13">
        <f>I242-('Konfigurasi Model'!$B$11*T242)</f>
        <v>0.31006577384035411</v>
      </c>
      <c r="J243" s="13">
        <f>J242-('Konfigurasi Model'!$B$11*U242)</f>
        <v>-0.15456140150424955</v>
      </c>
      <c r="K243" s="13">
        <f>K242-('Konfigurasi Model'!$B$11*V242)</f>
        <v>-0.20440758279579319</v>
      </c>
      <c r="L243" s="13">
        <f>L242-('Konfigurasi Model'!$B$11*W242)</f>
        <v>0.86291624175358161</v>
      </c>
      <c r="M243" s="13">
        <f>M242-('Konfigurasi Model'!$B$11*X242)</f>
        <v>0.7083118103108591</v>
      </c>
      <c r="N243" s="13">
        <f t="shared" si="33"/>
        <v>3.290061121622978</v>
      </c>
      <c r="O243" s="13">
        <f t="shared" si="34"/>
        <v>0.96408627044828321</v>
      </c>
      <c r="P243" s="12">
        <f t="shared" si="35"/>
        <v>1</v>
      </c>
      <c r="Q243" s="13">
        <f t="shared" si="36"/>
        <v>-3.5913729551716789E-2</v>
      </c>
      <c r="R243" s="13">
        <f t="shared" si="37"/>
        <v>1.2897959703138558E-3</v>
      </c>
      <c r="T243" s="14">
        <f t="shared" si="38"/>
        <v>-2.4869491733182196E-3</v>
      </c>
      <c r="U243" s="14">
        <f t="shared" si="39"/>
        <v>-1.3926915370582028E-2</v>
      </c>
      <c r="V243" s="14">
        <f t="shared" si="40"/>
        <v>-7.4608475199546588E-3</v>
      </c>
      <c r="W243" s="14">
        <f t="shared" si="41"/>
        <v>-1.0196491610604699E-2</v>
      </c>
      <c r="X243" s="14">
        <f t="shared" si="42"/>
        <v>-3.2330339253136857E-3</v>
      </c>
      <c r="Y243" s="12">
        <f t="shared" si="43"/>
        <v>1</v>
      </c>
    </row>
    <row r="244" spans="1:28" x14ac:dyDescent="0.3">
      <c r="A244" s="23"/>
      <c r="B244" s="12">
        <v>80</v>
      </c>
      <c r="C244" s="12">
        <v>5.5</v>
      </c>
      <c r="D244" s="12">
        <v>2.5</v>
      </c>
      <c r="E244" s="12">
        <v>4</v>
      </c>
      <c r="F244" s="12">
        <v>1.3</v>
      </c>
      <c r="G244" s="12">
        <v>1</v>
      </c>
      <c r="I244" s="13">
        <f>I243-('Konfigurasi Model'!$B$11*T243)</f>
        <v>0.31031446875768592</v>
      </c>
      <c r="J244" s="13">
        <f>J243-('Konfigurasi Model'!$B$11*U243)</f>
        <v>-0.15316870996719134</v>
      </c>
      <c r="K244" s="13">
        <f>K243-('Konfigurasi Model'!$B$11*V243)</f>
        <v>-0.20366149804379771</v>
      </c>
      <c r="L244" s="13">
        <f>L243-('Konfigurasi Model'!$B$11*W243)</f>
        <v>0.86393589091464207</v>
      </c>
      <c r="M244" s="13">
        <f>M243-('Konfigurasi Model'!$B$11*X243)</f>
        <v>0.7086351137033905</v>
      </c>
      <c r="N244" s="13">
        <f t="shared" si="33"/>
        <v>3.3357020303016154</v>
      </c>
      <c r="O244" s="13">
        <f t="shared" si="34"/>
        <v>0.96563349735670545</v>
      </c>
      <c r="P244" s="12">
        <f t="shared" si="35"/>
        <v>1</v>
      </c>
      <c r="Q244" s="13">
        <f t="shared" si="36"/>
        <v>-3.436650264329455E-2</v>
      </c>
      <c r="R244" s="13">
        <f t="shared" si="37"/>
        <v>1.1810565039315714E-3</v>
      </c>
      <c r="T244" s="14">
        <f t="shared" si="38"/>
        <v>-2.2809354449346538E-3</v>
      </c>
      <c r="U244" s="14">
        <f t="shared" si="39"/>
        <v>-1.2545144947140596E-2</v>
      </c>
      <c r="V244" s="14">
        <f t="shared" si="40"/>
        <v>-5.702338612336634E-3</v>
      </c>
      <c r="W244" s="14">
        <f t="shared" si="41"/>
        <v>-9.1237417797386151E-3</v>
      </c>
      <c r="X244" s="14">
        <f t="shared" si="42"/>
        <v>-2.9652160784150502E-3</v>
      </c>
      <c r="Y244" s="12">
        <f t="shared" si="43"/>
        <v>1</v>
      </c>
      <c r="AA244" s="17">
        <f>AVERAGE(Y165:Y244)</f>
        <v>0.97499999999999998</v>
      </c>
      <c r="AB244" s="16">
        <f>AVERAGE(R165:R244)</f>
        <v>2.4337091440304374E-2</v>
      </c>
    </row>
    <row r="245" spans="1:28" x14ac:dyDescent="0.3">
      <c r="A245" s="23" t="s">
        <v>96</v>
      </c>
      <c r="B245" s="12">
        <v>1</v>
      </c>
      <c r="C245" s="12">
        <v>5.0999999999999996</v>
      </c>
      <c r="D245" s="12">
        <v>3.5</v>
      </c>
      <c r="E245" s="12">
        <v>1.4</v>
      </c>
      <c r="F245" s="12">
        <v>0.2</v>
      </c>
      <c r="G245" s="12">
        <v>0</v>
      </c>
      <c r="I245" s="13">
        <f>I244</f>
        <v>0.31031446875768592</v>
      </c>
      <c r="J245" s="13">
        <f>J244</f>
        <v>-0.15316870996719134</v>
      </c>
      <c r="K245" s="13">
        <f>K244</f>
        <v>-0.20366149804379771</v>
      </c>
      <c r="L245" s="13">
        <f>L244</f>
        <v>0.86393589091464207</v>
      </c>
      <c r="M245" s="13">
        <f>M244</f>
        <v>0.7086351137033905</v>
      </c>
      <c r="N245" s="13">
        <f t="shared" si="33"/>
        <v>0.1675760747928951</v>
      </c>
      <c r="O245" s="13">
        <f t="shared" si="34"/>
        <v>0.54179625514479623</v>
      </c>
      <c r="P245" s="12">
        <f t="shared" si="35"/>
        <v>1</v>
      </c>
      <c r="Q245" s="13">
        <f t="shared" si="36"/>
        <v>0.54179625514479623</v>
      </c>
      <c r="R245" s="13">
        <f t="shared" si="37"/>
        <v>0.29354318208892516</v>
      </c>
      <c r="T245" s="14">
        <f t="shared" si="38"/>
        <v>0.26900517061971696</v>
      </c>
      <c r="U245" s="14">
        <f t="shared" si="39"/>
        <v>1.3719263701605564</v>
      </c>
      <c r="V245" s="14">
        <f t="shared" si="40"/>
        <v>0.94151809716900936</v>
      </c>
      <c r="W245" s="14">
        <f t="shared" si="41"/>
        <v>0.37660723886760372</v>
      </c>
      <c r="X245" s="14">
        <f t="shared" si="42"/>
        <v>5.3801034123943395E-2</v>
      </c>
      <c r="Y245" s="12">
        <f t="shared" si="43"/>
        <v>0</v>
      </c>
    </row>
    <row r="246" spans="1:28" x14ac:dyDescent="0.3">
      <c r="A246" s="23"/>
      <c r="B246" s="12">
        <v>2</v>
      </c>
      <c r="C246" s="12">
        <v>4.9000000000000004</v>
      </c>
      <c r="D246" s="12">
        <v>3</v>
      </c>
      <c r="E246" s="12">
        <v>1.4</v>
      </c>
      <c r="F246" s="12">
        <v>0.2</v>
      </c>
      <c r="G246" s="12">
        <v>0</v>
      </c>
      <c r="I246" s="13">
        <f>I245-('Konfigurasi Model'!$B$11*T245)</f>
        <v>0.28341395169571421</v>
      </c>
      <c r="J246" s="13">
        <f>J245-('Konfigurasi Model'!$B$11*U245)</f>
        <v>-0.290361346983247</v>
      </c>
      <c r="K246" s="13">
        <f>K245-('Konfigurasi Model'!$B$11*V245)</f>
        <v>-0.29781330776069864</v>
      </c>
      <c r="L246" s="13">
        <f>L245-('Konfigurasi Model'!$B$11*W245)</f>
        <v>0.82627516702788173</v>
      </c>
      <c r="M246" s="13">
        <f>M245-('Konfigurasi Model'!$B$11*X245)</f>
        <v>0.70325501029099613</v>
      </c>
      <c r="N246" s="13">
        <f t="shared" si="33"/>
        <v>-0.73536033590705863</v>
      </c>
      <c r="O246" s="13">
        <f t="shared" si="34"/>
        <v>0.32401954257950105</v>
      </c>
      <c r="P246" s="12">
        <f t="shared" si="35"/>
        <v>0</v>
      </c>
      <c r="Q246" s="13">
        <f t="shared" si="36"/>
        <v>0.32401954257950105</v>
      </c>
      <c r="R246" s="13">
        <f t="shared" si="37"/>
        <v>0.1049886639734291</v>
      </c>
      <c r="T246" s="14">
        <f t="shared" si="38"/>
        <v>0.14194057019345133</v>
      </c>
      <c r="U246" s="14">
        <f t="shared" si="39"/>
        <v>0.69550879394791154</v>
      </c>
      <c r="V246" s="14">
        <f t="shared" si="40"/>
        <v>0.42582171058035401</v>
      </c>
      <c r="W246" s="14">
        <f t="shared" si="41"/>
        <v>0.19871679827083186</v>
      </c>
      <c r="X246" s="14">
        <f t="shared" si="42"/>
        <v>2.8388114038690265E-2</v>
      </c>
      <c r="Y246" s="12">
        <f t="shared" si="43"/>
        <v>1</v>
      </c>
    </row>
    <row r="247" spans="1:28" x14ac:dyDescent="0.3">
      <c r="A247" s="23"/>
      <c r="B247" s="12">
        <v>3</v>
      </c>
      <c r="C247" s="12">
        <v>4.7</v>
      </c>
      <c r="D247" s="12">
        <v>3.2</v>
      </c>
      <c r="E247" s="12">
        <v>1.3</v>
      </c>
      <c r="F247" s="12">
        <v>0.2</v>
      </c>
      <c r="G247" s="12">
        <v>0</v>
      </c>
      <c r="I247" s="13">
        <f>I246-('Konfigurasi Model'!$B$11*T246)</f>
        <v>0.26921989467636909</v>
      </c>
      <c r="J247" s="13">
        <f>J246-('Konfigurasi Model'!$B$11*U246)</f>
        <v>-0.35991222637803816</v>
      </c>
      <c r="K247" s="13">
        <f>K246-('Konfigurasi Model'!$B$11*V246)</f>
        <v>-0.34039547881873405</v>
      </c>
      <c r="L247" s="13">
        <f>L246-('Konfigurasi Model'!$B$11*W246)</f>
        <v>0.80640348720079857</v>
      </c>
      <c r="M247" s="13">
        <f>M246-('Konfigurasi Model'!$B$11*X246)</f>
        <v>0.70041619888712714</v>
      </c>
      <c r="N247" s="13">
        <f t="shared" si="33"/>
        <v>-1.3232253283818953</v>
      </c>
      <c r="O247" s="13">
        <f t="shared" si="34"/>
        <v>0.21028218338291554</v>
      </c>
      <c r="P247" s="12">
        <f t="shared" si="35"/>
        <v>0</v>
      </c>
      <c r="Q247" s="13">
        <f t="shared" si="36"/>
        <v>0.21028218338291554</v>
      </c>
      <c r="R247" s="13">
        <f t="shared" si="37"/>
        <v>4.4218596648286125E-2</v>
      </c>
      <c r="T247" s="14">
        <f t="shared" si="38"/>
        <v>6.9840427197912086E-2</v>
      </c>
      <c r="U247" s="14">
        <f t="shared" si="39"/>
        <v>0.32825000783018682</v>
      </c>
      <c r="V247" s="14">
        <f t="shared" si="40"/>
        <v>0.22348936703331868</v>
      </c>
      <c r="W247" s="14">
        <f t="shared" si="41"/>
        <v>9.0792555357285712E-2</v>
      </c>
      <c r="X247" s="14">
        <f t="shared" si="42"/>
        <v>1.3968085439582417E-2</v>
      </c>
      <c r="Y247" s="12">
        <f t="shared" si="43"/>
        <v>1</v>
      </c>
    </row>
    <row r="248" spans="1:28" x14ac:dyDescent="0.3">
      <c r="A248" s="23"/>
      <c r="B248" s="12">
        <v>4</v>
      </c>
      <c r="C248" s="12">
        <v>4.5999999999999996</v>
      </c>
      <c r="D248" s="12">
        <v>3.1</v>
      </c>
      <c r="E248" s="12">
        <v>1.5</v>
      </c>
      <c r="F248" s="12">
        <v>0.2</v>
      </c>
      <c r="G248" s="12">
        <v>0</v>
      </c>
      <c r="I248" s="13">
        <f>I247-('Konfigurasi Model'!$B$11*T247)</f>
        <v>0.26223585195657789</v>
      </c>
      <c r="J248" s="13">
        <f>J247-('Konfigurasi Model'!$B$11*U247)</f>
        <v>-0.39273722716105686</v>
      </c>
      <c r="K248" s="13">
        <f>K247-('Konfigurasi Model'!$B$11*V247)</f>
        <v>-0.36274441552206593</v>
      </c>
      <c r="L248" s="13">
        <f>L247-('Konfigurasi Model'!$B$11*W247)</f>
        <v>0.79732423166507005</v>
      </c>
      <c r="M248" s="13">
        <f>M247-('Konfigurasi Model'!$B$11*X247)</f>
        <v>0.69901939034316884</v>
      </c>
      <c r="N248" s="13">
        <f t="shared" si="33"/>
        <v>-1.3330728555364493</v>
      </c>
      <c r="O248" s="13">
        <f t="shared" si="34"/>
        <v>0.20865153313246562</v>
      </c>
      <c r="P248" s="12">
        <f t="shared" si="35"/>
        <v>0</v>
      </c>
      <c r="Q248" s="13">
        <f t="shared" si="36"/>
        <v>0.20865153313246562</v>
      </c>
      <c r="R248" s="13">
        <f t="shared" si="37"/>
        <v>4.3535462278528399E-2</v>
      </c>
      <c r="T248" s="14">
        <f t="shared" si="38"/>
        <v>6.8903442656965644E-2</v>
      </c>
      <c r="U248" s="14">
        <f t="shared" si="39"/>
        <v>0.31695583622204193</v>
      </c>
      <c r="V248" s="14">
        <f t="shared" si="40"/>
        <v>0.21360067223659351</v>
      </c>
      <c r="W248" s="14">
        <f t="shared" si="41"/>
        <v>0.10335516398544847</v>
      </c>
      <c r="X248" s="14">
        <f t="shared" si="42"/>
        <v>1.378068853139313E-2</v>
      </c>
      <c r="Y248" s="12">
        <f t="shared" si="43"/>
        <v>1</v>
      </c>
    </row>
    <row r="249" spans="1:28" x14ac:dyDescent="0.3">
      <c r="A249" s="23"/>
      <c r="B249" s="12">
        <v>5</v>
      </c>
      <c r="C249" s="12">
        <v>5</v>
      </c>
      <c r="D249" s="12">
        <v>3.6</v>
      </c>
      <c r="E249" s="12">
        <v>1.4</v>
      </c>
      <c r="F249" s="12">
        <v>0.2</v>
      </c>
      <c r="G249" s="12">
        <v>0</v>
      </c>
      <c r="I249" s="13">
        <f>I248-('Konfigurasi Model'!$B$11*T248)</f>
        <v>0.25534550769088132</v>
      </c>
      <c r="J249" s="13">
        <f>J248-('Konfigurasi Model'!$B$11*U248)</f>
        <v>-0.42443281078326106</v>
      </c>
      <c r="K249" s="13">
        <f>K248-('Konfigurasi Model'!$B$11*V248)</f>
        <v>-0.38410448274572528</v>
      </c>
      <c r="L249" s="13">
        <f>L248-('Konfigurasi Model'!$B$11*W248)</f>
        <v>0.78698871526652525</v>
      </c>
      <c r="M249" s="13">
        <f>M248-('Konfigurasi Model'!$B$11*X248)</f>
        <v>0.69764132149002955</v>
      </c>
      <c r="N249" s="13">
        <f t="shared" si="33"/>
        <v>-2.008282218438894</v>
      </c>
      <c r="O249" s="13">
        <f t="shared" si="34"/>
        <v>0.11833608104990988</v>
      </c>
      <c r="P249" s="12">
        <f t="shared" si="35"/>
        <v>0</v>
      </c>
      <c r="Q249" s="13">
        <f t="shared" si="36"/>
        <v>0.11833608104990988</v>
      </c>
      <c r="R249" s="13">
        <f t="shared" si="37"/>
        <v>1.400342807825084E-2</v>
      </c>
      <c r="T249" s="14">
        <f t="shared" si="38"/>
        <v>2.469263455641273E-2</v>
      </c>
      <c r="U249" s="14">
        <f t="shared" si="39"/>
        <v>0.12346317278206365</v>
      </c>
      <c r="V249" s="14">
        <f t="shared" si="40"/>
        <v>8.8893484403085823E-2</v>
      </c>
      <c r="W249" s="14">
        <f t="shared" si="41"/>
        <v>3.4569688378977823E-2</v>
      </c>
      <c r="X249" s="14">
        <f t="shared" si="42"/>
        <v>4.9385269112825463E-3</v>
      </c>
      <c r="Y249" s="12">
        <f t="shared" si="43"/>
        <v>1</v>
      </c>
    </row>
    <row r="250" spans="1:28" x14ac:dyDescent="0.3">
      <c r="A250" s="23"/>
      <c r="B250" s="12">
        <v>6</v>
      </c>
      <c r="C250" s="12">
        <v>5.4</v>
      </c>
      <c r="D250" s="12">
        <v>3.9</v>
      </c>
      <c r="E250" s="12">
        <v>1.7</v>
      </c>
      <c r="F250" s="12">
        <v>0.4</v>
      </c>
      <c r="G250" s="12">
        <v>0</v>
      </c>
      <c r="I250" s="13">
        <f>I249-('Konfigurasi Model'!$B$11*T249)</f>
        <v>0.25287624423524008</v>
      </c>
      <c r="J250" s="13">
        <f>J249-('Konfigurasi Model'!$B$11*U249)</f>
        <v>-0.4367791280614674</v>
      </c>
      <c r="K250" s="13">
        <f>K249-('Konfigurasi Model'!$B$11*V249)</f>
        <v>-0.39299383118603387</v>
      </c>
      <c r="L250" s="13">
        <f>L249-('Konfigurasi Model'!$B$11*W249)</f>
        <v>0.78353174642862744</v>
      </c>
      <c r="M250" s="13">
        <f>M249-('Konfigurasi Model'!$B$11*X249)</f>
        <v>0.69714746879890133</v>
      </c>
      <c r="N250" s="13">
        <f t="shared" si="33"/>
        <v>-2.0275440324739891</v>
      </c>
      <c r="O250" s="13">
        <f t="shared" si="34"/>
        <v>0.11634117221996158</v>
      </c>
      <c r="P250" s="12">
        <f t="shared" si="35"/>
        <v>0</v>
      </c>
      <c r="Q250" s="13">
        <f t="shared" si="36"/>
        <v>0.11634117221996158</v>
      </c>
      <c r="R250" s="13">
        <f t="shared" si="37"/>
        <v>1.353526835351476E-2</v>
      </c>
      <c r="T250" s="14">
        <f t="shared" si="38"/>
        <v>2.3921118733910209E-2</v>
      </c>
      <c r="U250" s="14">
        <f t="shared" si="39"/>
        <v>0.12917404116311512</v>
      </c>
      <c r="V250" s="14">
        <f t="shared" si="40"/>
        <v>9.3292363062249806E-2</v>
      </c>
      <c r="W250" s="14">
        <f t="shared" si="41"/>
        <v>4.0665901847647352E-2</v>
      </c>
      <c r="X250" s="14">
        <f t="shared" si="42"/>
        <v>9.5684474935640845E-3</v>
      </c>
      <c r="Y250" s="12">
        <f t="shared" si="43"/>
        <v>1</v>
      </c>
    </row>
    <row r="251" spans="1:28" x14ac:dyDescent="0.3">
      <c r="A251" s="23"/>
      <c r="B251" s="12">
        <v>7</v>
      </c>
      <c r="C251" s="12">
        <v>4.5999999999999996</v>
      </c>
      <c r="D251" s="12">
        <v>3.4</v>
      </c>
      <c r="E251" s="12">
        <v>1.4</v>
      </c>
      <c r="F251" s="12">
        <v>0.3</v>
      </c>
      <c r="G251" s="12">
        <v>0</v>
      </c>
      <c r="I251" s="13">
        <f>I250-('Konfigurasi Model'!$B$11*T250)</f>
        <v>0.25048413236184908</v>
      </c>
      <c r="J251" s="13">
        <f>J250-('Konfigurasi Model'!$B$11*U250)</f>
        <v>-0.44969653217777894</v>
      </c>
      <c r="K251" s="13">
        <f>K250-('Konfigurasi Model'!$B$11*V250)</f>
        <v>-0.40232306749225888</v>
      </c>
      <c r="L251" s="13">
        <f>L250-('Konfigurasi Model'!$B$11*W250)</f>
        <v>0.7794651562438627</v>
      </c>
      <c r="M251" s="13">
        <f>M250-('Konfigurasi Model'!$B$11*X250)</f>
        <v>0.6961906240495449</v>
      </c>
      <c r="N251" s="13">
        <f t="shared" si="33"/>
        <v>-1.8859099391733423</v>
      </c>
      <c r="O251" s="13">
        <f t="shared" si="34"/>
        <v>0.13171151931968508</v>
      </c>
      <c r="P251" s="12">
        <f t="shared" si="35"/>
        <v>0</v>
      </c>
      <c r="Q251" s="13">
        <f t="shared" si="36"/>
        <v>0.13171151931968508</v>
      </c>
      <c r="R251" s="13">
        <f t="shared" si="37"/>
        <v>1.7347924321499775E-2</v>
      </c>
      <c r="T251" s="14">
        <f t="shared" si="38"/>
        <v>3.0126005704144251E-2</v>
      </c>
      <c r="U251" s="14">
        <f t="shared" si="39"/>
        <v>0.13857962623906353</v>
      </c>
      <c r="V251" s="14">
        <f t="shared" si="40"/>
        <v>0.10242841939409045</v>
      </c>
      <c r="W251" s="14">
        <f t="shared" si="41"/>
        <v>4.2176407985801946E-2</v>
      </c>
      <c r="X251" s="14">
        <f t="shared" si="42"/>
        <v>9.0378017112432742E-3</v>
      </c>
      <c r="Y251" s="12">
        <f t="shared" si="43"/>
        <v>1</v>
      </c>
    </row>
    <row r="252" spans="1:28" x14ac:dyDescent="0.3">
      <c r="A252" s="23"/>
      <c r="B252" s="12">
        <v>8</v>
      </c>
      <c r="C252" s="12">
        <v>5</v>
      </c>
      <c r="D252" s="12">
        <v>3.4</v>
      </c>
      <c r="E252" s="12">
        <v>1.5</v>
      </c>
      <c r="F252" s="12">
        <v>0.2</v>
      </c>
      <c r="G252" s="12">
        <v>0</v>
      </c>
      <c r="I252" s="13">
        <f>I251-('Konfigurasi Model'!$B$11*T251)</f>
        <v>0.24747153179143466</v>
      </c>
      <c r="J252" s="13">
        <f>J251-('Konfigurasi Model'!$B$11*U251)</f>
        <v>-0.46355449480168531</v>
      </c>
      <c r="K252" s="13">
        <f>K251-('Konfigurasi Model'!$B$11*V251)</f>
        <v>-0.41256590943166793</v>
      </c>
      <c r="L252" s="13">
        <f>L251-('Konfigurasi Model'!$B$11*W251)</f>
        <v>0.77524751544528248</v>
      </c>
      <c r="M252" s="13">
        <f>M251-('Konfigurasi Model'!$B$11*X251)</f>
        <v>0.69528684387842055</v>
      </c>
      <c r="N252" s="13">
        <f t="shared" si="33"/>
        <v>-2.1710963923410551</v>
      </c>
      <c r="O252" s="13">
        <f t="shared" si="34"/>
        <v>0.10237623616183292</v>
      </c>
      <c r="P252" s="12">
        <f t="shared" si="35"/>
        <v>0</v>
      </c>
      <c r="Q252" s="13">
        <f t="shared" si="36"/>
        <v>0.10237623616183292</v>
      </c>
      <c r="R252" s="13">
        <f t="shared" si="37"/>
        <v>1.0480893730663386E-2</v>
      </c>
      <c r="T252" s="14">
        <f t="shared" si="38"/>
        <v>1.8815798557811837E-2</v>
      </c>
      <c r="U252" s="14">
        <f t="shared" si="39"/>
        <v>9.4078992789059179E-2</v>
      </c>
      <c r="V252" s="14">
        <f t="shared" si="40"/>
        <v>6.3973715096560246E-2</v>
      </c>
      <c r="W252" s="14">
        <f t="shared" si="41"/>
        <v>2.8223697836717757E-2</v>
      </c>
      <c r="X252" s="14">
        <f t="shared" si="42"/>
        <v>3.7631597115623675E-3</v>
      </c>
      <c r="Y252" s="12">
        <f t="shared" si="43"/>
        <v>1</v>
      </c>
    </row>
    <row r="253" spans="1:28" x14ac:dyDescent="0.3">
      <c r="A253" s="23"/>
      <c r="B253" s="12">
        <v>9</v>
      </c>
      <c r="C253" s="12">
        <v>4.4000000000000004</v>
      </c>
      <c r="D253" s="12">
        <v>2.9</v>
      </c>
      <c r="E253" s="12">
        <v>1.4</v>
      </c>
      <c r="F253" s="12">
        <v>0.2</v>
      </c>
      <c r="G253" s="12">
        <v>0</v>
      </c>
      <c r="I253" s="13">
        <f>I252-('Konfigurasi Model'!$B$11*T252)</f>
        <v>0.24558995193565347</v>
      </c>
      <c r="J253" s="13">
        <f>J252-('Konfigurasi Model'!$B$11*U252)</f>
        <v>-0.47296239408059121</v>
      </c>
      <c r="K253" s="13">
        <f>K252-('Konfigurasi Model'!$B$11*V252)</f>
        <v>-0.41896328094132396</v>
      </c>
      <c r="L253" s="13">
        <f>L252-('Konfigurasi Model'!$B$11*W252)</f>
        <v>0.77242514566161069</v>
      </c>
      <c r="M253" s="13">
        <f>M252-('Konfigurasi Model'!$B$11*X252)</f>
        <v>0.69491052790726426</v>
      </c>
      <c r="N253" s="13">
        <f t="shared" si="33"/>
        <v>-1.8300607872410797</v>
      </c>
      <c r="O253" s="13">
        <f t="shared" si="34"/>
        <v>0.13823103184174459</v>
      </c>
      <c r="P253" s="12">
        <f t="shared" si="35"/>
        <v>0</v>
      </c>
      <c r="Q253" s="13">
        <f t="shared" si="36"/>
        <v>0.13823103184174459</v>
      </c>
      <c r="R253" s="13">
        <f t="shared" si="37"/>
        <v>1.9107818164033407E-2</v>
      </c>
      <c r="T253" s="14">
        <f t="shared" si="38"/>
        <v>3.293304948594928E-2</v>
      </c>
      <c r="U253" s="14">
        <f t="shared" si="39"/>
        <v>0.14490541773817683</v>
      </c>
      <c r="V253" s="14">
        <f t="shared" si="40"/>
        <v>9.5505843509252911E-2</v>
      </c>
      <c r="W253" s="14">
        <f t="shared" si="41"/>
        <v>4.6106269280328988E-2</v>
      </c>
      <c r="X253" s="14">
        <f t="shared" si="42"/>
        <v>6.5866098971898565E-3</v>
      </c>
      <c r="Y253" s="12">
        <f t="shared" si="43"/>
        <v>1</v>
      </c>
    </row>
    <row r="254" spans="1:28" x14ac:dyDescent="0.3">
      <c r="A254" s="23"/>
      <c r="B254" s="12">
        <v>10</v>
      </c>
      <c r="C254" s="12">
        <v>4.9000000000000004</v>
      </c>
      <c r="D254" s="12">
        <v>3.1</v>
      </c>
      <c r="E254" s="12">
        <v>1.5</v>
      </c>
      <c r="F254" s="12">
        <v>0.1</v>
      </c>
      <c r="G254" s="12">
        <v>0</v>
      </c>
      <c r="I254" s="13">
        <f>I253-('Konfigurasi Model'!$B$11*T253)</f>
        <v>0.24229664698705855</v>
      </c>
      <c r="J254" s="13">
        <f>J253-('Konfigurasi Model'!$B$11*U253)</f>
        <v>-0.48745293585440891</v>
      </c>
      <c r="K254" s="13">
        <f>K253-('Konfigurasi Model'!$B$11*V253)</f>
        <v>-0.42851386529224927</v>
      </c>
      <c r="L254" s="13">
        <f>L253-('Konfigurasi Model'!$B$11*W253)</f>
        <v>0.76781451873357776</v>
      </c>
      <c r="M254" s="13">
        <f>M253-('Konfigurasi Model'!$B$11*X253)</f>
        <v>0.69425186691754526</v>
      </c>
      <c r="N254" s="13">
        <f t="shared" si="33"/>
        <v>-2.2534687563133975</v>
      </c>
      <c r="O254" s="13">
        <f t="shared" si="34"/>
        <v>9.5050676798501404E-2</v>
      </c>
      <c r="P254" s="12">
        <f t="shared" si="35"/>
        <v>0</v>
      </c>
      <c r="Q254" s="13">
        <f t="shared" si="36"/>
        <v>9.5050676798501404E-2</v>
      </c>
      <c r="R254" s="13">
        <f t="shared" si="37"/>
        <v>9.0346311598531737E-3</v>
      </c>
      <c r="T254" s="14">
        <f t="shared" si="38"/>
        <v>1.6351766706968598E-2</v>
      </c>
      <c r="U254" s="14">
        <f t="shared" si="39"/>
        <v>8.0123656864146145E-2</v>
      </c>
      <c r="V254" s="14">
        <f t="shared" si="40"/>
        <v>5.0690476791602657E-2</v>
      </c>
      <c r="W254" s="14">
        <f t="shared" si="41"/>
        <v>2.4527650060452898E-2</v>
      </c>
      <c r="X254" s="14">
        <f t="shared" si="42"/>
        <v>1.6351766706968599E-3</v>
      </c>
      <c r="Y254" s="12">
        <f t="shared" si="43"/>
        <v>1</v>
      </c>
    </row>
    <row r="255" spans="1:28" x14ac:dyDescent="0.3">
      <c r="A255" s="23"/>
      <c r="B255" s="12">
        <v>11</v>
      </c>
      <c r="C255" s="12">
        <v>5.4</v>
      </c>
      <c r="D255" s="12">
        <v>3.7</v>
      </c>
      <c r="E255" s="12">
        <v>1.5</v>
      </c>
      <c r="F255" s="12">
        <v>0.2</v>
      </c>
      <c r="G255" s="12">
        <v>0</v>
      </c>
      <c r="I255" s="13">
        <f>I254-('Konfigurasi Model'!$B$11*T254)</f>
        <v>0.2406614703163617</v>
      </c>
      <c r="J255" s="13">
        <f>J254-('Konfigurasi Model'!$B$11*U254)</f>
        <v>-0.49546530154082352</v>
      </c>
      <c r="K255" s="13">
        <f>K254-('Konfigurasi Model'!$B$11*V254)</f>
        <v>-0.43358291297140955</v>
      </c>
      <c r="L255" s="13">
        <f>L254-('Konfigurasi Model'!$B$11*W254)</f>
        <v>0.76536175372753246</v>
      </c>
      <c r="M255" s="13">
        <f>M254-('Konfigurasi Model'!$B$11*X254)</f>
        <v>0.69408834925047558</v>
      </c>
      <c r="N255" s="13">
        <f t="shared" si="33"/>
        <v>-2.7522476355569072</v>
      </c>
      <c r="O255" s="13">
        <f t="shared" si="34"/>
        <v>5.995983759963066E-2</v>
      </c>
      <c r="P255" s="12">
        <f t="shared" si="35"/>
        <v>0</v>
      </c>
      <c r="Q255" s="13">
        <f t="shared" si="36"/>
        <v>5.995983759963066E-2</v>
      </c>
      <c r="R255" s="13">
        <f t="shared" si="37"/>
        <v>3.5951821249740825E-3</v>
      </c>
      <c r="T255" s="14">
        <f t="shared" si="38"/>
        <v>6.7592311772390829E-3</v>
      </c>
      <c r="U255" s="14">
        <f t="shared" si="39"/>
        <v>3.6499848357091053E-2</v>
      </c>
      <c r="V255" s="14">
        <f t="shared" si="40"/>
        <v>2.5009155355784608E-2</v>
      </c>
      <c r="W255" s="14">
        <f t="shared" si="41"/>
        <v>1.0138846765858625E-2</v>
      </c>
      <c r="X255" s="14">
        <f t="shared" si="42"/>
        <v>1.3518462354478167E-3</v>
      </c>
      <c r="Y255" s="12">
        <f t="shared" si="43"/>
        <v>1</v>
      </c>
    </row>
    <row r="256" spans="1:28" x14ac:dyDescent="0.3">
      <c r="A256" s="23"/>
      <c r="B256" s="12">
        <v>12</v>
      </c>
      <c r="C256" s="12">
        <v>4.8</v>
      </c>
      <c r="D256" s="12">
        <v>3.4</v>
      </c>
      <c r="E256" s="12">
        <v>1.6</v>
      </c>
      <c r="F256" s="12">
        <v>0.2</v>
      </c>
      <c r="G256" s="12">
        <v>0</v>
      </c>
      <c r="I256" s="13">
        <f>I255-('Konfigurasi Model'!$B$11*T255)</f>
        <v>0.23998554719863779</v>
      </c>
      <c r="J256" s="13">
        <f>J255-('Konfigurasi Model'!$B$11*U255)</f>
        <v>-0.49911528637653263</v>
      </c>
      <c r="K256" s="13">
        <f>K255-('Konfigurasi Model'!$B$11*V255)</f>
        <v>-0.43608382850698801</v>
      </c>
      <c r="L256" s="13">
        <f>L255-('Konfigurasi Model'!$B$11*W255)</f>
        <v>0.76434786905094665</v>
      </c>
      <c r="M256" s="13">
        <f>M255-('Konfigurasi Model'!$B$11*X255)</f>
        <v>0.6939531646269308</v>
      </c>
      <c r="N256" s="13">
        <f t="shared" si="33"/>
        <v>-2.2767056209255774</v>
      </c>
      <c r="O256" s="13">
        <f t="shared" si="34"/>
        <v>9.307065420652455E-2</v>
      </c>
      <c r="P256" s="12">
        <f t="shared" si="35"/>
        <v>0</v>
      </c>
      <c r="Q256" s="13">
        <f t="shared" si="36"/>
        <v>9.307065420652455E-2</v>
      </c>
      <c r="R256" s="13">
        <f t="shared" si="37"/>
        <v>8.6621466744304654E-3</v>
      </c>
      <c r="T256" s="14">
        <f t="shared" si="38"/>
        <v>1.5711910033216703E-2</v>
      </c>
      <c r="U256" s="14">
        <f t="shared" si="39"/>
        <v>7.5417168159440176E-2</v>
      </c>
      <c r="V256" s="14">
        <f t="shared" si="40"/>
        <v>5.3420494112936791E-2</v>
      </c>
      <c r="W256" s="14">
        <f t="shared" si="41"/>
        <v>2.5139056053146727E-2</v>
      </c>
      <c r="X256" s="14">
        <f t="shared" si="42"/>
        <v>3.1423820066433408E-3</v>
      </c>
      <c r="Y256" s="12">
        <f t="shared" si="43"/>
        <v>1</v>
      </c>
    </row>
    <row r="257" spans="1:25" x14ac:dyDescent="0.3">
      <c r="A257" s="23"/>
      <c r="B257" s="12">
        <v>13</v>
      </c>
      <c r="C257" s="12">
        <v>4.8</v>
      </c>
      <c r="D257" s="12">
        <v>3</v>
      </c>
      <c r="E257" s="12">
        <v>1.4</v>
      </c>
      <c r="F257" s="12">
        <v>0.1</v>
      </c>
      <c r="G257" s="12">
        <v>0</v>
      </c>
      <c r="I257" s="13">
        <f>I256-('Konfigurasi Model'!$B$11*T256)</f>
        <v>0.23841435619531612</v>
      </c>
      <c r="J257" s="13">
        <f>J256-('Konfigurasi Model'!$B$11*U256)</f>
        <v>-0.50665700319247664</v>
      </c>
      <c r="K257" s="13">
        <f>K256-('Konfigurasi Model'!$B$11*V256)</f>
        <v>-0.44142587791828169</v>
      </c>
      <c r="L257" s="13">
        <f>L256-('Konfigurasi Model'!$B$11*W256)</f>
        <v>0.76183396344563192</v>
      </c>
      <c r="M257" s="13">
        <f>M256-('Konfigurasi Model'!$B$11*X256)</f>
        <v>0.69363892642626646</v>
      </c>
      <c r="N257" s="13">
        <f t="shared" si="33"/>
        <v>-2.3818854514169057</v>
      </c>
      <c r="O257" s="13">
        <f t="shared" si="34"/>
        <v>8.4564492267535693E-2</v>
      </c>
      <c r="P257" s="12">
        <f t="shared" si="35"/>
        <v>0</v>
      </c>
      <c r="Q257" s="13">
        <f t="shared" si="36"/>
        <v>8.4564492267535693E-2</v>
      </c>
      <c r="R257" s="13">
        <f t="shared" si="37"/>
        <v>7.1511533524661044E-3</v>
      </c>
      <c r="T257" s="14">
        <f t="shared" si="38"/>
        <v>1.3092839400175044E-2</v>
      </c>
      <c r="U257" s="14">
        <f t="shared" si="39"/>
        <v>6.2845629120840213E-2</v>
      </c>
      <c r="V257" s="14">
        <f t="shared" si="40"/>
        <v>3.9278518200525137E-2</v>
      </c>
      <c r="W257" s="14">
        <f t="shared" si="41"/>
        <v>1.8329975160245062E-2</v>
      </c>
      <c r="X257" s="14">
        <f t="shared" si="42"/>
        <v>1.3092839400175044E-3</v>
      </c>
      <c r="Y257" s="12">
        <f t="shared" si="43"/>
        <v>1</v>
      </c>
    </row>
    <row r="258" spans="1:25" x14ac:dyDescent="0.3">
      <c r="A258" s="23"/>
      <c r="B258" s="12">
        <v>14</v>
      </c>
      <c r="C258" s="12">
        <v>4.3</v>
      </c>
      <c r="D258" s="12">
        <v>3</v>
      </c>
      <c r="E258" s="12">
        <v>1.1000000000000001</v>
      </c>
      <c r="F258" s="12">
        <v>0.1</v>
      </c>
      <c r="G258" s="12">
        <v>0</v>
      </c>
      <c r="I258" s="13">
        <f>I257-('Konfigurasi Model'!$B$11*T257)</f>
        <v>0.23710507225529862</v>
      </c>
      <c r="J258" s="13">
        <f>J257-('Konfigurasi Model'!$B$11*U257)</f>
        <v>-0.51294156610456065</v>
      </c>
      <c r="K258" s="13">
        <f>K257-('Konfigurasi Model'!$B$11*V257)</f>
        <v>-0.4453537297383342</v>
      </c>
      <c r="L258" s="13">
        <f>L257-('Konfigurasi Model'!$B$11*W257)</f>
        <v>0.76000096592960742</v>
      </c>
      <c r="M258" s="13">
        <f>M257-('Konfigurasi Model'!$B$11*X257)</f>
        <v>0.69350799803226471</v>
      </c>
      <c r="N258" s="13">
        <f t="shared" si="33"/>
        <v>-2.3992529888835206</v>
      </c>
      <c r="O258" s="13">
        <f t="shared" si="34"/>
        <v>8.3229677565711591E-2</v>
      </c>
      <c r="P258" s="12">
        <f t="shared" si="35"/>
        <v>0</v>
      </c>
      <c r="Q258" s="13">
        <f t="shared" si="36"/>
        <v>8.3229677565711591E-2</v>
      </c>
      <c r="R258" s="13">
        <f t="shared" si="37"/>
        <v>6.927179227692315E-3</v>
      </c>
      <c r="T258" s="14">
        <f t="shared" si="38"/>
        <v>1.2701264668263178E-2</v>
      </c>
      <c r="U258" s="14">
        <f t="shared" si="39"/>
        <v>5.4615438073531662E-2</v>
      </c>
      <c r="V258" s="14">
        <f t="shared" si="40"/>
        <v>3.8103794004789533E-2</v>
      </c>
      <c r="W258" s="14">
        <f t="shared" si="41"/>
        <v>1.3971391135089497E-2</v>
      </c>
      <c r="X258" s="14">
        <f t="shared" si="42"/>
        <v>1.2701264668263179E-3</v>
      </c>
      <c r="Y258" s="12">
        <f t="shared" si="43"/>
        <v>1</v>
      </c>
    </row>
    <row r="259" spans="1:25" x14ac:dyDescent="0.3">
      <c r="A259" s="23"/>
      <c r="B259" s="12">
        <v>15</v>
      </c>
      <c r="C259" s="12">
        <v>5.8</v>
      </c>
      <c r="D259" s="12">
        <v>4</v>
      </c>
      <c r="E259" s="12">
        <v>1.2</v>
      </c>
      <c r="F259" s="12">
        <v>0.2</v>
      </c>
      <c r="G259" s="12">
        <v>0</v>
      </c>
      <c r="I259" s="13">
        <f>I258-('Konfigurasi Model'!$B$11*T258)</f>
        <v>0.23583494578847231</v>
      </c>
      <c r="J259" s="13">
        <f>J258-('Konfigurasi Model'!$B$11*U258)</f>
        <v>-0.51840310991191385</v>
      </c>
      <c r="K259" s="13">
        <f>K258-('Konfigurasi Model'!$B$11*V258)</f>
        <v>-0.44916410913881316</v>
      </c>
      <c r="L259" s="13">
        <f>L258-('Konfigurasi Model'!$B$11*W258)</f>
        <v>0.7586038268160985</v>
      </c>
      <c r="M259" s="13">
        <f>M258-('Konfigurasi Model'!$B$11*X258)</f>
        <v>0.69338098538558213</v>
      </c>
      <c r="N259" s="13">
        <f t="shared" si="33"/>
        <v>-3.5185587389994462</v>
      </c>
      <c r="O259" s="13">
        <f t="shared" si="34"/>
        <v>2.8788766189337983E-2</v>
      </c>
      <c r="P259" s="12">
        <f t="shared" si="35"/>
        <v>0</v>
      </c>
      <c r="Q259" s="13">
        <f t="shared" si="36"/>
        <v>2.8788766189337983E-2</v>
      </c>
      <c r="R259" s="13">
        <f t="shared" si="37"/>
        <v>8.2879305870436979E-4</v>
      </c>
      <c r="T259" s="14">
        <f t="shared" si="38"/>
        <v>1.6098662582359668E-3</v>
      </c>
      <c r="U259" s="14">
        <f t="shared" si="39"/>
        <v>9.3372242977686083E-3</v>
      </c>
      <c r="V259" s="14">
        <f t="shared" si="40"/>
        <v>6.4394650329438674E-3</v>
      </c>
      <c r="W259" s="14">
        <f t="shared" si="41"/>
        <v>1.9318395098831601E-3</v>
      </c>
      <c r="X259" s="14">
        <f t="shared" si="42"/>
        <v>3.219732516471934E-4</v>
      </c>
      <c r="Y259" s="12">
        <f t="shared" si="43"/>
        <v>1</v>
      </c>
    </row>
    <row r="260" spans="1:25" x14ac:dyDescent="0.3">
      <c r="A260" s="23"/>
      <c r="B260" s="12">
        <v>16</v>
      </c>
      <c r="C260" s="12">
        <v>5.7</v>
      </c>
      <c r="D260" s="12">
        <v>4.4000000000000004</v>
      </c>
      <c r="E260" s="12">
        <v>1.5</v>
      </c>
      <c r="F260" s="12">
        <v>0.4</v>
      </c>
      <c r="G260" s="12">
        <v>0</v>
      </c>
      <c r="I260" s="13">
        <f>I259-('Konfigurasi Model'!$B$11*T259)</f>
        <v>0.23567395916264872</v>
      </c>
      <c r="J260" s="13">
        <f>J259-('Konfigurasi Model'!$B$11*U259)</f>
        <v>-0.5193368323416907</v>
      </c>
      <c r="K260" s="13">
        <f>K259-('Konfigurasi Model'!$B$11*V259)</f>
        <v>-0.44980805564210757</v>
      </c>
      <c r="L260" s="13">
        <f>L259-('Konfigurasi Model'!$B$11*W259)</f>
        <v>0.75841064286511017</v>
      </c>
      <c r="M260" s="13">
        <f>M259-('Konfigurasi Model'!$B$11*X259)</f>
        <v>0.69334878806041744</v>
      </c>
      <c r="N260" s="13">
        <f t="shared" si="33"/>
        <v>-3.2887459504884298</v>
      </c>
      <c r="O260" s="13">
        <f t="shared" si="34"/>
        <v>3.5959293753401053E-2</v>
      </c>
      <c r="P260" s="12">
        <f t="shared" si="35"/>
        <v>0</v>
      </c>
      <c r="Q260" s="13">
        <f t="shared" si="36"/>
        <v>3.5959293753401053E-2</v>
      </c>
      <c r="R260" s="13">
        <f t="shared" si="37"/>
        <v>1.2930708072433879E-3</v>
      </c>
      <c r="T260" s="14">
        <f t="shared" si="38"/>
        <v>2.4931457884835515E-3</v>
      </c>
      <c r="U260" s="14">
        <f t="shared" si="39"/>
        <v>1.4210930994356243E-2</v>
      </c>
      <c r="V260" s="14">
        <f t="shared" si="40"/>
        <v>1.0969841469327628E-2</v>
      </c>
      <c r="W260" s="14">
        <f t="shared" si="41"/>
        <v>3.7397186827253272E-3</v>
      </c>
      <c r="X260" s="14">
        <f t="shared" si="42"/>
        <v>9.9725831539342058E-4</v>
      </c>
      <c r="Y260" s="12">
        <f t="shared" si="43"/>
        <v>1</v>
      </c>
    </row>
    <row r="261" spans="1:25" x14ac:dyDescent="0.3">
      <c r="A261" s="23"/>
      <c r="B261" s="12">
        <v>17</v>
      </c>
      <c r="C261" s="12">
        <v>5.4</v>
      </c>
      <c r="D261" s="12">
        <v>3.9</v>
      </c>
      <c r="E261" s="12">
        <v>1.3</v>
      </c>
      <c r="F261" s="12">
        <v>0.4</v>
      </c>
      <c r="G261" s="12">
        <v>0</v>
      </c>
      <c r="I261" s="13">
        <f>I260-('Konfigurasi Model'!$B$11*T260)</f>
        <v>0.23542464458380036</v>
      </c>
      <c r="J261" s="13">
        <f>J260-('Konfigurasi Model'!$B$11*U260)</f>
        <v>-0.52075792544112631</v>
      </c>
      <c r="K261" s="13">
        <f>K260-('Konfigurasi Model'!$B$11*V260)</f>
        <v>-0.45090503978904034</v>
      </c>
      <c r="L261" s="13">
        <f>L260-('Konfigurasi Model'!$B$11*W260)</f>
        <v>0.75803667099683769</v>
      </c>
      <c r="M261" s="13">
        <f>M260-('Konfigurasi Model'!$B$11*X260)</f>
        <v>0.69324906222887805</v>
      </c>
      <c r="N261" s="13">
        <f t="shared" ref="N261:N324" si="44">I261+J261*C261+K261*D261+L261*E261+M261*F261</f>
        <v>-3.0724505107880997</v>
      </c>
      <c r="O261" s="13">
        <f t="shared" ref="O261:O324" si="45">1/(1+EXP(-N261))</f>
        <v>4.4258056904763983E-2</v>
      </c>
      <c r="P261" s="12">
        <f t="shared" ref="P261:P324" si="46">IF(O261&gt;0.5,1,0)</f>
        <v>0</v>
      </c>
      <c r="Q261" s="13">
        <f t="shared" ref="Q261:Q324" si="47">O261-G261</f>
        <v>4.4258056904763983E-2</v>
      </c>
      <c r="R261" s="13">
        <f t="shared" ref="R261:R324" si="48">Q261^2</f>
        <v>1.9587756009853269E-3</v>
      </c>
      <c r="T261" s="14">
        <f t="shared" ref="T261:T324" si="49">2*(O261-G261)*(1-O261)*O261</f>
        <v>3.7441679979465102E-3</v>
      </c>
      <c r="U261" s="14">
        <f t="shared" ref="U261:U324" si="50">2*(O261-G261)*(1-O261)*O261*C261</f>
        <v>2.0218507188911158E-2</v>
      </c>
      <c r="V261" s="14">
        <f t="shared" ref="V261:V324" si="51">2*(O261-G261)*(1-O261)*O261*D261</f>
        <v>1.460225519199139E-2</v>
      </c>
      <c r="W261" s="14">
        <f t="shared" ref="W261:W324" si="52">2*(O261-G261)*(1-O261)*O261*E261</f>
        <v>4.8674183973304638E-3</v>
      </c>
      <c r="X261" s="14">
        <f t="shared" ref="X261:X324" si="53">2*(O261-G261)*(1-O261)*O261*F261</f>
        <v>1.4976671991786042E-3</v>
      </c>
      <c r="Y261" s="12">
        <f t="shared" ref="Y261:Y324" si="54">IF(P261=G261,1,0)</f>
        <v>1</v>
      </c>
    </row>
    <row r="262" spans="1:25" x14ac:dyDescent="0.3">
      <c r="A262" s="23"/>
      <c r="B262" s="12">
        <v>18</v>
      </c>
      <c r="C262" s="12">
        <v>5.0999999999999996</v>
      </c>
      <c r="D262" s="12">
        <v>3.5</v>
      </c>
      <c r="E262" s="12">
        <v>1.4</v>
      </c>
      <c r="F262" s="12">
        <v>0.3</v>
      </c>
      <c r="G262" s="12">
        <v>0</v>
      </c>
      <c r="I262" s="13">
        <f>I261-('Konfigurasi Model'!$B$11*T261)</f>
        <v>0.23505022778400569</v>
      </c>
      <c r="J262" s="13">
        <f>J261-('Konfigurasi Model'!$B$11*U261)</f>
        <v>-0.52277977616001747</v>
      </c>
      <c r="K262" s="13">
        <f>K261-('Konfigurasi Model'!$B$11*V261)</f>
        <v>-0.45236526530823951</v>
      </c>
      <c r="L262" s="13">
        <f>L261-('Konfigurasi Model'!$B$11*W261)</f>
        <v>0.75754992915710462</v>
      </c>
      <c r="M262" s="13">
        <f>M261-('Konfigurasi Model'!$B$11*X261)</f>
        <v>0.69309929550896021</v>
      </c>
      <c r="N262" s="13">
        <f t="shared" si="44"/>
        <v>-2.7459053697382871</v>
      </c>
      <c r="O262" s="13">
        <f t="shared" si="45"/>
        <v>6.0318316487201332E-2</v>
      </c>
      <c r="P262" s="12">
        <f t="shared" si="46"/>
        <v>0</v>
      </c>
      <c r="Q262" s="13">
        <f t="shared" si="47"/>
        <v>6.0318316487201332E-2</v>
      </c>
      <c r="R262" s="13">
        <f t="shared" si="48"/>
        <v>3.6382993038501839E-3</v>
      </c>
      <c r="T262" s="14">
        <f t="shared" si="49"/>
        <v>6.837686429930768E-3</v>
      </c>
      <c r="U262" s="14">
        <f t="shared" si="50"/>
        <v>3.4872200792646912E-2</v>
      </c>
      <c r="V262" s="14">
        <f t="shared" si="51"/>
        <v>2.3931902504757688E-2</v>
      </c>
      <c r="W262" s="14">
        <f t="shared" si="52"/>
        <v>9.572761001903074E-3</v>
      </c>
      <c r="X262" s="14">
        <f t="shared" si="53"/>
        <v>2.0513059289792301E-3</v>
      </c>
      <c r="Y262" s="12">
        <f t="shared" si="54"/>
        <v>1</v>
      </c>
    </row>
    <row r="263" spans="1:25" x14ac:dyDescent="0.3">
      <c r="A263" s="23"/>
      <c r="B263" s="12">
        <v>19</v>
      </c>
      <c r="C263" s="12">
        <v>5.7</v>
      </c>
      <c r="D263" s="12">
        <v>3.8</v>
      </c>
      <c r="E263" s="12">
        <v>1.7</v>
      </c>
      <c r="F263" s="12">
        <v>0.3</v>
      </c>
      <c r="G263" s="12">
        <v>0</v>
      </c>
      <c r="I263" s="13">
        <f>I262-('Konfigurasi Model'!$B$11*T262)</f>
        <v>0.23436645914101262</v>
      </c>
      <c r="J263" s="13">
        <f>J262-('Konfigurasi Model'!$B$11*U262)</f>
        <v>-0.52626699623928219</v>
      </c>
      <c r="K263" s="13">
        <f>K262-('Konfigurasi Model'!$B$11*V262)</f>
        <v>-0.4547584555587153</v>
      </c>
      <c r="L263" s="13">
        <f>L262-('Konfigurasi Model'!$B$11*W262)</f>
        <v>0.75659265305691425</v>
      </c>
      <c r="M263" s="13">
        <f>M262-('Konfigurasi Model'!$B$11*X262)</f>
        <v>0.69289416491606226</v>
      </c>
      <c r="N263" s="13">
        <f t="shared" si="44"/>
        <v>-2.9993617908744414</v>
      </c>
      <c r="O263" s="13">
        <f t="shared" si="45"/>
        <v>4.7454713663287962E-2</v>
      </c>
      <c r="P263" s="12">
        <f t="shared" si="46"/>
        <v>0</v>
      </c>
      <c r="Q263" s="13">
        <f t="shared" si="47"/>
        <v>4.7454713663287962E-2</v>
      </c>
      <c r="R263" s="13">
        <f t="shared" si="48"/>
        <v>2.2519498488646492E-3</v>
      </c>
      <c r="T263" s="14">
        <f t="shared" si="49"/>
        <v>4.2901684272053852E-3</v>
      </c>
      <c r="U263" s="14">
        <f t="shared" si="50"/>
        <v>2.4453960035070697E-2</v>
      </c>
      <c r="V263" s="14">
        <f t="shared" si="51"/>
        <v>1.6302640023380464E-2</v>
      </c>
      <c r="W263" s="14">
        <f t="shared" si="52"/>
        <v>7.2932863262491548E-3</v>
      </c>
      <c r="X263" s="14">
        <f t="shared" si="53"/>
        <v>1.2870505281616154E-3</v>
      </c>
      <c r="Y263" s="12">
        <f t="shared" si="54"/>
        <v>1</v>
      </c>
    </row>
    <row r="264" spans="1:25" x14ac:dyDescent="0.3">
      <c r="A264" s="23"/>
      <c r="B264" s="12">
        <v>20</v>
      </c>
      <c r="C264" s="12">
        <v>5.0999999999999996</v>
      </c>
      <c r="D264" s="12">
        <v>3.8</v>
      </c>
      <c r="E264" s="12">
        <v>1.5</v>
      </c>
      <c r="F264" s="12">
        <v>0.3</v>
      </c>
      <c r="G264" s="12">
        <v>0</v>
      </c>
      <c r="I264" s="13">
        <f>I263-('Konfigurasi Model'!$B$11*T263)</f>
        <v>0.23393744229829208</v>
      </c>
      <c r="J264" s="13">
        <f>J263-('Konfigurasi Model'!$B$11*U263)</f>
        <v>-0.52871239224278921</v>
      </c>
      <c r="K264" s="13">
        <f>K263-('Konfigurasi Model'!$B$11*V263)</f>
        <v>-0.45638871956105337</v>
      </c>
      <c r="L264" s="13">
        <f>L263-('Konfigurasi Model'!$B$11*W263)</f>
        <v>0.75586332442428938</v>
      </c>
      <c r="M264" s="13">
        <f>M263-('Konfigurasi Model'!$B$11*X263)</f>
        <v>0.69276545986324611</v>
      </c>
      <c r="N264" s="13">
        <f t="shared" si="44"/>
        <v>-2.8551482678765279</v>
      </c>
      <c r="O264" s="13">
        <f t="shared" si="45"/>
        <v>5.4415806009878984E-2</v>
      </c>
      <c r="P264" s="12">
        <f t="shared" si="46"/>
        <v>0</v>
      </c>
      <c r="Q264" s="13">
        <f t="shared" si="47"/>
        <v>5.4415806009878984E-2</v>
      </c>
      <c r="R264" s="13">
        <f t="shared" si="48"/>
        <v>2.9610799437047816E-3</v>
      </c>
      <c r="T264" s="14">
        <f t="shared" si="49"/>
        <v>5.5999007838167985E-3</v>
      </c>
      <c r="U264" s="14">
        <f t="shared" si="50"/>
        <v>2.8559493997465671E-2</v>
      </c>
      <c r="V264" s="14">
        <f t="shared" si="51"/>
        <v>2.1279622978503832E-2</v>
      </c>
      <c r="W264" s="14">
        <f t="shared" si="52"/>
        <v>8.3998511757251981E-3</v>
      </c>
      <c r="X264" s="14">
        <f t="shared" si="53"/>
        <v>1.6799702351450395E-3</v>
      </c>
      <c r="Y264" s="12">
        <f t="shared" si="54"/>
        <v>1</v>
      </c>
    </row>
    <row r="265" spans="1:25" x14ac:dyDescent="0.3">
      <c r="A265" s="23"/>
      <c r="B265" s="12">
        <v>21</v>
      </c>
      <c r="C265" s="12">
        <v>5.4</v>
      </c>
      <c r="D265" s="12">
        <v>3.4</v>
      </c>
      <c r="E265" s="12">
        <v>1.7</v>
      </c>
      <c r="F265" s="12">
        <v>0.2</v>
      </c>
      <c r="G265" s="12">
        <v>0</v>
      </c>
      <c r="I265" s="13">
        <f>I264-('Konfigurasi Model'!$B$11*T264)</f>
        <v>0.23337745221991041</v>
      </c>
      <c r="J265" s="13">
        <f>J264-('Konfigurasi Model'!$B$11*U264)</f>
        <v>-0.53156834164253575</v>
      </c>
      <c r="K265" s="13">
        <f>K264-('Konfigurasi Model'!$B$11*V264)</f>
        <v>-0.45851668185890376</v>
      </c>
      <c r="L265" s="13">
        <f>L264-('Konfigurasi Model'!$B$11*W264)</f>
        <v>0.75502333930671683</v>
      </c>
      <c r="M265" s="13">
        <f>M264-('Konfigurasi Model'!$B$11*X264)</f>
        <v>0.69259746283973156</v>
      </c>
      <c r="N265" s="13">
        <f t="shared" si="44"/>
        <v>-2.773989141580691</v>
      </c>
      <c r="O265" s="13">
        <f t="shared" si="45"/>
        <v>5.874604542989155E-2</v>
      </c>
      <c r="P265" s="12">
        <f t="shared" si="46"/>
        <v>0</v>
      </c>
      <c r="Q265" s="13">
        <f t="shared" si="47"/>
        <v>5.874604542989155E-2</v>
      </c>
      <c r="R265" s="13">
        <f t="shared" si="48"/>
        <v>3.4510978536508819E-3</v>
      </c>
      <c r="T265" s="14">
        <f t="shared" si="49"/>
        <v>6.4967190047146113E-3</v>
      </c>
      <c r="U265" s="14">
        <f t="shared" si="50"/>
        <v>3.5082282625458906E-2</v>
      </c>
      <c r="V265" s="14">
        <f t="shared" si="51"/>
        <v>2.2088844616029678E-2</v>
      </c>
      <c r="W265" s="14">
        <f t="shared" si="52"/>
        <v>1.1044422308014839E-2</v>
      </c>
      <c r="X265" s="14">
        <f t="shared" si="53"/>
        <v>1.2993438009429223E-3</v>
      </c>
      <c r="Y265" s="12">
        <f t="shared" si="54"/>
        <v>1</v>
      </c>
    </row>
    <row r="266" spans="1:25" x14ac:dyDescent="0.3">
      <c r="A266" s="23"/>
      <c r="B266" s="12">
        <v>22</v>
      </c>
      <c r="C266" s="12">
        <v>5.0999999999999996</v>
      </c>
      <c r="D266" s="12">
        <v>3.7</v>
      </c>
      <c r="E266" s="12">
        <v>1.5</v>
      </c>
      <c r="F266" s="12">
        <v>0.4</v>
      </c>
      <c r="G266" s="12">
        <v>0</v>
      </c>
      <c r="I266" s="13">
        <f>I265-('Konfigurasi Model'!$B$11*T265)</f>
        <v>0.23272778031943894</v>
      </c>
      <c r="J266" s="13">
        <f>J265-('Konfigurasi Model'!$B$11*U265)</f>
        <v>-0.53507656990508168</v>
      </c>
      <c r="K266" s="13">
        <f>K265-('Konfigurasi Model'!$B$11*V265)</f>
        <v>-0.46072556632050671</v>
      </c>
      <c r="L266" s="13">
        <f>L265-('Konfigurasi Model'!$B$11*W265)</f>
        <v>0.75391889707591531</v>
      </c>
      <c r="M266" s="13">
        <f>M265-('Konfigurasi Model'!$B$11*X265)</f>
        <v>0.69246752845963722</v>
      </c>
      <c r="N266" s="13">
        <f t="shared" si="44"/>
        <v>-2.7929819645846248</v>
      </c>
      <c r="O266" s="13">
        <f t="shared" si="45"/>
        <v>5.7704597602271271E-2</v>
      </c>
      <c r="P266" s="12">
        <f t="shared" si="46"/>
        <v>0</v>
      </c>
      <c r="Q266" s="13">
        <f t="shared" si="47"/>
        <v>5.7704597602271271E-2</v>
      </c>
      <c r="R266" s="13">
        <f t="shared" si="48"/>
        <v>3.3298205844400513E-3</v>
      </c>
      <c r="T266" s="14">
        <f t="shared" si="49"/>
        <v>6.2753492550543565E-3</v>
      </c>
      <c r="U266" s="14">
        <f t="shared" si="50"/>
        <v>3.2004281200777217E-2</v>
      </c>
      <c r="V266" s="14">
        <f t="shared" si="51"/>
        <v>2.321879224370112E-2</v>
      </c>
      <c r="W266" s="14">
        <f t="shared" si="52"/>
        <v>9.4130238825815352E-3</v>
      </c>
      <c r="X266" s="14">
        <f t="shared" si="53"/>
        <v>2.5101397020217426E-3</v>
      </c>
      <c r="Y266" s="12">
        <f t="shared" si="54"/>
        <v>1</v>
      </c>
    </row>
    <row r="267" spans="1:25" x14ac:dyDescent="0.3">
      <c r="A267" s="23"/>
      <c r="B267" s="12">
        <v>23</v>
      </c>
      <c r="C267" s="12">
        <v>4.5999999999999996</v>
      </c>
      <c r="D267" s="12">
        <v>3.6</v>
      </c>
      <c r="E267" s="12">
        <v>1</v>
      </c>
      <c r="F267" s="12">
        <v>0.2</v>
      </c>
      <c r="G267" s="12">
        <v>0</v>
      </c>
      <c r="I267" s="13">
        <f>I266-('Konfigurasi Model'!$B$11*T266)</f>
        <v>0.23210024539393351</v>
      </c>
      <c r="J267" s="13">
        <f>J266-('Konfigurasi Model'!$B$11*U266)</f>
        <v>-0.53827699802515938</v>
      </c>
      <c r="K267" s="13">
        <f>K266-('Konfigurasi Model'!$B$11*V266)</f>
        <v>-0.46304744554487681</v>
      </c>
      <c r="L267" s="13">
        <f>L266-('Konfigurasi Model'!$B$11*W266)</f>
        <v>0.75297759468765713</v>
      </c>
      <c r="M267" s="13">
        <f>M266-('Konfigurasi Model'!$B$11*X266)</f>
        <v>0.692216514489435</v>
      </c>
      <c r="N267" s="13">
        <f t="shared" si="44"/>
        <v>-3.0195238518978122</v>
      </c>
      <c r="O267" s="13">
        <f t="shared" si="45"/>
        <v>4.6551603572482357E-2</v>
      </c>
      <c r="P267" s="12">
        <f t="shared" si="46"/>
        <v>0</v>
      </c>
      <c r="Q267" s="13">
        <f t="shared" si="47"/>
        <v>4.6551603572482357E-2</v>
      </c>
      <c r="R267" s="13">
        <f t="shared" si="48"/>
        <v>2.1670517951695523E-3</v>
      </c>
      <c r="T267" s="14">
        <f t="shared" si="49"/>
        <v>4.1323441181595659E-3</v>
      </c>
      <c r="U267" s="14">
        <f t="shared" si="50"/>
        <v>1.9008782943534003E-2</v>
      </c>
      <c r="V267" s="14">
        <f t="shared" si="51"/>
        <v>1.4876438825374438E-2</v>
      </c>
      <c r="W267" s="14">
        <f t="shared" si="52"/>
        <v>4.1323441181595659E-3</v>
      </c>
      <c r="X267" s="14">
        <f t="shared" si="53"/>
        <v>8.2646882363191323E-4</v>
      </c>
      <c r="Y267" s="12">
        <f t="shared" si="54"/>
        <v>1</v>
      </c>
    </row>
    <row r="268" spans="1:25" x14ac:dyDescent="0.3">
      <c r="A268" s="23"/>
      <c r="B268" s="12">
        <v>24</v>
      </c>
      <c r="C268" s="12">
        <v>5.0999999999999996</v>
      </c>
      <c r="D268" s="12">
        <v>3.3</v>
      </c>
      <c r="E268" s="12">
        <v>1.7</v>
      </c>
      <c r="F268" s="12">
        <v>0.5</v>
      </c>
      <c r="G268" s="12">
        <v>0</v>
      </c>
      <c r="I268" s="13">
        <f>I267-('Konfigurasi Model'!$B$11*T267)</f>
        <v>0.23168701098211755</v>
      </c>
      <c r="J268" s="13">
        <f>J267-('Konfigurasi Model'!$B$11*U267)</f>
        <v>-0.54017787631951275</v>
      </c>
      <c r="K268" s="13">
        <f>K267-('Konfigurasi Model'!$B$11*V267)</f>
        <v>-0.46453508942741428</v>
      </c>
      <c r="L268" s="13">
        <f>L267-('Konfigurasi Model'!$B$11*W267)</f>
        <v>0.75256436027584117</v>
      </c>
      <c r="M268" s="13">
        <f>M267-('Konfigurasi Model'!$B$11*X267)</f>
        <v>0.69213386760707185</v>
      </c>
      <c r="N268" s="13">
        <f t="shared" si="44"/>
        <v>-2.430759607085399</v>
      </c>
      <c r="O268" s="13">
        <f t="shared" si="45"/>
        <v>8.0856995891689681E-2</v>
      </c>
      <c r="P268" s="12">
        <f t="shared" si="46"/>
        <v>0</v>
      </c>
      <c r="Q268" s="13">
        <f t="shared" si="47"/>
        <v>8.0856995891689681E-2</v>
      </c>
      <c r="R268" s="13">
        <f t="shared" si="48"/>
        <v>6.537853784628722E-3</v>
      </c>
      <c r="T268" s="14">
        <f t="shared" si="49"/>
        <v>1.201844513604906E-2</v>
      </c>
      <c r="U268" s="14">
        <f t="shared" si="50"/>
        <v>6.1294070193850199E-2</v>
      </c>
      <c r="V268" s="14">
        <f t="shared" si="51"/>
        <v>3.9660868948961897E-2</v>
      </c>
      <c r="W268" s="14">
        <f t="shared" si="52"/>
        <v>2.0431356731283403E-2</v>
      </c>
      <c r="X268" s="14">
        <f t="shared" si="53"/>
        <v>6.00922256802453E-3</v>
      </c>
      <c r="Y268" s="12">
        <f t="shared" si="54"/>
        <v>1</v>
      </c>
    </row>
    <row r="269" spans="1:25" x14ac:dyDescent="0.3">
      <c r="A269" s="23"/>
      <c r="B269" s="12">
        <v>25</v>
      </c>
      <c r="C269" s="12">
        <v>4.8</v>
      </c>
      <c r="D269" s="12">
        <v>3.4</v>
      </c>
      <c r="E269" s="12">
        <v>1.9</v>
      </c>
      <c r="F269" s="12">
        <v>0.2</v>
      </c>
      <c r="G269" s="12">
        <v>0</v>
      </c>
      <c r="I269" s="13">
        <f>I268-('Konfigurasi Model'!$B$11*T268)</f>
        <v>0.23048516646851264</v>
      </c>
      <c r="J269" s="13">
        <f>J268-('Konfigurasi Model'!$B$11*U268)</f>
        <v>-0.54630728333889778</v>
      </c>
      <c r="K269" s="13">
        <f>K268-('Konfigurasi Model'!$B$11*V268)</f>
        <v>-0.46850117632231048</v>
      </c>
      <c r="L269" s="13">
        <f>L268-('Konfigurasi Model'!$B$11*W268)</f>
        <v>0.75052122460271287</v>
      </c>
      <c r="M269" s="13">
        <f>M268-('Konfigurasi Model'!$B$11*X268)</f>
        <v>0.69153294535026943</v>
      </c>
      <c r="N269" s="13">
        <f t="shared" si="44"/>
        <v>-2.4203968772388436</v>
      </c>
      <c r="O269" s="13">
        <f t="shared" si="45"/>
        <v>8.1630497841034613E-2</v>
      </c>
      <c r="P269" s="12">
        <f t="shared" si="46"/>
        <v>0</v>
      </c>
      <c r="Q269" s="13">
        <f t="shared" si="47"/>
        <v>8.1630497841034613E-2</v>
      </c>
      <c r="R269" s="13">
        <f t="shared" si="48"/>
        <v>6.6635381777751567E-3</v>
      </c>
      <c r="T269" s="14">
        <f t="shared" si="49"/>
        <v>1.2239180477881261E-2</v>
      </c>
      <c r="U269" s="14">
        <f t="shared" si="50"/>
        <v>5.8748066293830052E-2</v>
      </c>
      <c r="V269" s="14">
        <f t="shared" si="51"/>
        <v>4.1613213624796287E-2</v>
      </c>
      <c r="W269" s="14">
        <f t="shared" si="52"/>
        <v>2.3254442907974394E-2</v>
      </c>
      <c r="X269" s="14">
        <f t="shared" si="53"/>
        <v>2.4478360955762523E-3</v>
      </c>
      <c r="Y269" s="12">
        <f t="shared" si="54"/>
        <v>1</v>
      </c>
    </row>
    <row r="270" spans="1:25" x14ac:dyDescent="0.3">
      <c r="A270" s="23"/>
      <c r="B270" s="12">
        <v>26</v>
      </c>
      <c r="C270" s="12">
        <v>5</v>
      </c>
      <c r="D270" s="12">
        <v>3</v>
      </c>
      <c r="E270" s="12">
        <v>1.6</v>
      </c>
      <c r="F270" s="12">
        <v>0.2</v>
      </c>
      <c r="G270" s="12">
        <v>0</v>
      </c>
      <c r="I270" s="13">
        <f>I269-('Konfigurasi Model'!$B$11*T269)</f>
        <v>0.22926124842072451</v>
      </c>
      <c r="J270" s="13">
        <f>J269-('Konfigurasi Model'!$B$11*U269)</f>
        <v>-0.55218208996828078</v>
      </c>
      <c r="K270" s="13">
        <f>K269-('Konfigurasi Model'!$B$11*V269)</f>
        <v>-0.47266249768479013</v>
      </c>
      <c r="L270" s="13">
        <f>L269-('Konfigurasi Model'!$B$11*W269)</f>
        <v>0.74819578031191547</v>
      </c>
      <c r="M270" s="13">
        <f>M269-('Konfigurasi Model'!$B$11*X269)</f>
        <v>0.69128816174071184</v>
      </c>
      <c r="N270" s="13">
        <f t="shared" si="44"/>
        <v>-2.6142658136278429</v>
      </c>
      <c r="O270" s="13">
        <f t="shared" si="45"/>
        <v>6.8225921077108995E-2</v>
      </c>
      <c r="P270" s="12">
        <f t="shared" si="46"/>
        <v>0</v>
      </c>
      <c r="Q270" s="13">
        <f t="shared" si="47"/>
        <v>6.8225921077108995E-2</v>
      </c>
      <c r="R270" s="13">
        <f t="shared" si="48"/>
        <v>4.6547763068199056E-3</v>
      </c>
      <c r="T270" s="14">
        <f t="shared" si="49"/>
        <v>8.6743998117584271E-3</v>
      </c>
      <c r="U270" s="14">
        <f t="shared" si="50"/>
        <v>4.3371999058792132E-2</v>
      </c>
      <c r="V270" s="14">
        <f t="shared" si="51"/>
        <v>2.6023199435275281E-2</v>
      </c>
      <c r="W270" s="14">
        <f t="shared" si="52"/>
        <v>1.3879039698813484E-2</v>
      </c>
      <c r="X270" s="14">
        <f t="shared" si="53"/>
        <v>1.7348799623516855E-3</v>
      </c>
      <c r="Y270" s="12">
        <f t="shared" si="54"/>
        <v>1</v>
      </c>
    </row>
    <row r="271" spans="1:25" x14ac:dyDescent="0.3">
      <c r="A271" s="23"/>
      <c r="B271" s="12">
        <v>27</v>
      </c>
      <c r="C271" s="12">
        <v>5</v>
      </c>
      <c r="D271" s="12">
        <v>3.4</v>
      </c>
      <c r="E271" s="12">
        <v>1.6</v>
      </c>
      <c r="F271" s="12">
        <v>0.4</v>
      </c>
      <c r="G271" s="12">
        <v>0</v>
      </c>
      <c r="I271" s="13">
        <f>I270-('Konfigurasi Model'!$B$11*T270)</f>
        <v>0.22839380843954868</v>
      </c>
      <c r="J271" s="13">
        <f>J270-('Konfigurasi Model'!$B$11*U270)</f>
        <v>-0.55651928987415999</v>
      </c>
      <c r="K271" s="13">
        <f>K270-('Konfigurasi Model'!$B$11*V270)</f>
        <v>-0.47526481762831768</v>
      </c>
      <c r="L271" s="13">
        <f>L270-('Konfigurasi Model'!$B$11*W270)</f>
        <v>0.74680787634203416</v>
      </c>
      <c r="M271" s="13">
        <f>M270-('Konfigurasi Model'!$B$11*X270)</f>
        <v>0.69111467374447666</v>
      </c>
      <c r="N271" s="13">
        <f t="shared" si="44"/>
        <v>-2.6987645492224854</v>
      </c>
      <c r="O271" s="13">
        <f t="shared" si="45"/>
        <v>6.3046296554377712E-2</v>
      </c>
      <c r="P271" s="12">
        <f t="shared" si="46"/>
        <v>0</v>
      </c>
      <c r="Q271" s="13">
        <f t="shared" si="47"/>
        <v>6.3046296554377712E-2</v>
      </c>
      <c r="R271" s="13">
        <f t="shared" si="48"/>
        <v>3.9748355092225386E-3</v>
      </c>
      <c r="T271" s="14">
        <f t="shared" si="49"/>
        <v>7.4484737019064485E-3</v>
      </c>
      <c r="U271" s="14">
        <f t="shared" si="50"/>
        <v>3.7242368509532241E-2</v>
      </c>
      <c r="V271" s="14">
        <f t="shared" si="51"/>
        <v>2.5324810586481925E-2</v>
      </c>
      <c r="W271" s="14">
        <f t="shared" si="52"/>
        <v>1.1917557923050319E-2</v>
      </c>
      <c r="X271" s="14">
        <f t="shared" si="53"/>
        <v>2.9793894807625797E-3</v>
      </c>
      <c r="Y271" s="12">
        <f t="shared" si="54"/>
        <v>1</v>
      </c>
    </row>
    <row r="272" spans="1:25" x14ac:dyDescent="0.3">
      <c r="A272" s="23"/>
      <c r="B272" s="12">
        <v>28</v>
      </c>
      <c r="C272" s="12">
        <v>5.2</v>
      </c>
      <c r="D272" s="12">
        <v>3.5</v>
      </c>
      <c r="E272" s="12">
        <v>1.5</v>
      </c>
      <c r="F272" s="12">
        <v>0.2</v>
      </c>
      <c r="G272" s="12">
        <v>0</v>
      </c>
      <c r="I272" s="13">
        <f>I271-('Konfigurasi Model'!$B$11*T271)</f>
        <v>0.22764896106935803</v>
      </c>
      <c r="J272" s="13">
        <f>J271-('Konfigurasi Model'!$B$11*U271)</f>
        <v>-0.56024352672511324</v>
      </c>
      <c r="K272" s="13">
        <f>K271-('Konfigurasi Model'!$B$11*V271)</f>
        <v>-0.47779729868696585</v>
      </c>
      <c r="L272" s="13">
        <f>L271-('Konfigurasi Model'!$B$11*W271)</f>
        <v>0.74561612054972914</v>
      </c>
      <c r="M272" s="13">
        <f>M271-('Konfigurasi Model'!$B$11*X271)</f>
        <v>0.69081673479640038</v>
      </c>
      <c r="N272" s="13">
        <f t="shared" si="44"/>
        <v>-3.1013203955217379</v>
      </c>
      <c r="O272" s="13">
        <f t="shared" si="45"/>
        <v>4.3052822766149371E-2</v>
      </c>
      <c r="P272" s="12">
        <f t="shared" si="46"/>
        <v>0</v>
      </c>
      <c r="Q272" s="13">
        <f t="shared" si="47"/>
        <v>4.3052822766149371E-2</v>
      </c>
      <c r="R272" s="13">
        <f t="shared" si="48"/>
        <v>1.8535455481334694E-3</v>
      </c>
      <c r="T272" s="14">
        <f t="shared" si="49"/>
        <v>3.5474903603213877E-3</v>
      </c>
      <c r="U272" s="14">
        <f t="shared" si="50"/>
        <v>1.8446949873671216E-2</v>
      </c>
      <c r="V272" s="14">
        <f t="shared" si="51"/>
        <v>1.2416216261124857E-2</v>
      </c>
      <c r="W272" s="14">
        <f t="shared" si="52"/>
        <v>5.3212355404820815E-3</v>
      </c>
      <c r="X272" s="14">
        <f t="shared" si="53"/>
        <v>7.0949807206427754E-4</v>
      </c>
      <c r="Y272" s="12">
        <f t="shared" si="54"/>
        <v>1</v>
      </c>
    </row>
    <row r="273" spans="1:25" x14ac:dyDescent="0.3">
      <c r="A273" s="23"/>
      <c r="B273" s="12">
        <v>29</v>
      </c>
      <c r="C273" s="12">
        <v>5.2</v>
      </c>
      <c r="D273" s="12">
        <v>3.4</v>
      </c>
      <c r="E273" s="12">
        <v>1.4</v>
      </c>
      <c r="F273" s="12">
        <v>0.2</v>
      </c>
      <c r="G273" s="12">
        <v>0</v>
      </c>
      <c r="I273" s="13">
        <f>I272-('Konfigurasi Model'!$B$11*T272)</f>
        <v>0.22729421203332589</v>
      </c>
      <c r="J273" s="13">
        <f>J272-('Konfigurasi Model'!$B$11*U272)</f>
        <v>-0.56208822171248041</v>
      </c>
      <c r="K273" s="13">
        <f>K272-('Konfigurasi Model'!$B$11*V272)</f>
        <v>-0.47903892031307832</v>
      </c>
      <c r="L273" s="13">
        <f>L272-('Konfigurasi Model'!$B$11*W272)</f>
        <v>0.74508399699568095</v>
      </c>
      <c r="M273" s="13">
        <f>M272-('Konfigurasi Model'!$B$11*X272)</f>
        <v>0.69074578498919392</v>
      </c>
      <c r="N273" s="13">
        <f t="shared" si="44"/>
        <v>-3.1430301171442463</v>
      </c>
      <c r="O273" s="13">
        <f t="shared" si="45"/>
        <v>4.1366791120250962E-2</v>
      </c>
      <c r="P273" s="12">
        <f t="shared" si="46"/>
        <v>0</v>
      </c>
      <c r="Q273" s="13">
        <f t="shared" si="47"/>
        <v>4.1366791120250962E-2</v>
      </c>
      <c r="R273" s="13">
        <f t="shared" si="48"/>
        <v>1.7112114075864739E-3</v>
      </c>
      <c r="T273" s="14">
        <f t="shared" si="49"/>
        <v>3.280848165452507E-3</v>
      </c>
      <c r="U273" s="14">
        <f t="shared" si="50"/>
        <v>1.7060410460353038E-2</v>
      </c>
      <c r="V273" s="14">
        <f t="shared" si="51"/>
        <v>1.1154883762538523E-2</v>
      </c>
      <c r="W273" s="14">
        <f t="shared" si="52"/>
        <v>4.5931874316335096E-3</v>
      </c>
      <c r="X273" s="14">
        <f t="shared" si="53"/>
        <v>6.5616963309050142E-4</v>
      </c>
      <c r="Y273" s="12">
        <f t="shared" si="54"/>
        <v>1</v>
      </c>
    </row>
    <row r="274" spans="1:25" x14ac:dyDescent="0.3">
      <c r="A274" s="23"/>
      <c r="B274" s="12">
        <v>30</v>
      </c>
      <c r="C274" s="12">
        <v>4.7</v>
      </c>
      <c r="D274" s="12">
        <v>3.2</v>
      </c>
      <c r="E274" s="12">
        <v>1.6</v>
      </c>
      <c r="F274" s="12">
        <v>0.2</v>
      </c>
      <c r="G274" s="12">
        <v>0</v>
      </c>
      <c r="I274" s="13">
        <f>I273-('Konfigurasi Model'!$B$11*T273)</f>
        <v>0.22696612721678064</v>
      </c>
      <c r="J274" s="13">
        <f>J273-('Konfigurasi Model'!$B$11*U273)</f>
        <v>-0.56379426275851574</v>
      </c>
      <c r="K274" s="13">
        <f>K273-('Konfigurasi Model'!$B$11*V273)</f>
        <v>-0.48015440868933218</v>
      </c>
      <c r="L274" s="13">
        <f>L273-('Konfigurasi Model'!$B$11*W273)</f>
        <v>0.74462467825251755</v>
      </c>
      <c r="M274" s="13">
        <f>M273-('Konfigurasi Model'!$B$11*X273)</f>
        <v>0.69068016802588483</v>
      </c>
      <c r="N274" s="13">
        <f t="shared" si="44"/>
        <v>-2.6298254967449011</v>
      </c>
      <c r="O274" s="13">
        <f t="shared" si="45"/>
        <v>6.7243394905771248E-2</v>
      </c>
      <c r="P274" s="12">
        <f t="shared" si="46"/>
        <v>0</v>
      </c>
      <c r="Q274" s="13">
        <f t="shared" si="47"/>
        <v>6.7243394905771248E-2</v>
      </c>
      <c r="R274" s="13">
        <f t="shared" si="48"/>
        <v>4.5216741584535028E-3</v>
      </c>
      <c r="T274" s="14">
        <f t="shared" si="49"/>
        <v>8.4352428747627856E-3</v>
      </c>
      <c r="U274" s="14">
        <f t="shared" si="50"/>
        <v>3.9645641511385096E-2</v>
      </c>
      <c r="V274" s="14">
        <f t="shared" si="51"/>
        <v>2.6992777199240914E-2</v>
      </c>
      <c r="W274" s="14">
        <f t="shared" si="52"/>
        <v>1.3496388599620457E-2</v>
      </c>
      <c r="X274" s="14">
        <f t="shared" si="53"/>
        <v>1.6870485749525572E-3</v>
      </c>
      <c r="Y274" s="12">
        <f t="shared" si="54"/>
        <v>1</v>
      </c>
    </row>
    <row r="275" spans="1:25" x14ac:dyDescent="0.3">
      <c r="A275" s="23"/>
      <c r="B275" s="12">
        <v>31</v>
      </c>
      <c r="C275" s="12">
        <v>4.8</v>
      </c>
      <c r="D275" s="12">
        <v>3.1</v>
      </c>
      <c r="E275" s="12">
        <v>1.6</v>
      </c>
      <c r="F275" s="12">
        <v>0.2</v>
      </c>
      <c r="G275" s="12">
        <v>0</v>
      </c>
      <c r="I275" s="13">
        <f>I274-('Konfigurasi Model'!$B$11*T274)</f>
        <v>0.22612260292930436</v>
      </c>
      <c r="J275" s="13">
        <f>J274-('Konfigurasi Model'!$B$11*U274)</f>
        <v>-0.56775882690965429</v>
      </c>
      <c r="K275" s="13">
        <f>K274-('Konfigurasi Model'!$B$11*V274)</f>
        <v>-0.48285368640925624</v>
      </c>
      <c r="L275" s="13">
        <f>L274-('Konfigurasi Model'!$B$11*W274)</f>
        <v>0.74327503939255546</v>
      </c>
      <c r="M275" s="13">
        <f>M274-('Konfigurasi Model'!$B$11*X274)</f>
        <v>0.69051146316838963</v>
      </c>
      <c r="N275" s="13">
        <f t="shared" si="44"/>
        <v>-2.6686238384439633</v>
      </c>
      <c r="O275" s="13">
        <f t="shared" si="45"/>
        <v>6.4850375694921025E-2</v>
      </c>
      <c r="P275" s="12">
        <f t="shared" si="46"/>
        <v>0</v>
      </c>
      <c r="Q275" s="13">
        <f t="shared" si="47"/>
        <v>6.4850375694921025E-2</v>
      </c>
      <c r="R275" s="13">
        <f t="shared" si="48"/>
        <v>4.2055712277724033E-3</v>
      </c>
      <c r="T275" s="14">
        <f t="shared" si="49"/>
        <v>7.8656767072792268E-3</v>
      </c>
      <c r="U275" s="14">
        <f t="shared" si="50"/>
        <v>3.7755248194940284E-2</v>
      </c>
      <c r="V275" s="14">
        <f t="shared" si="51"/>
        <v>2.4383597792565603E-2</v>
      </c>
      <c r="W275" s="14">
        <f t="shared" si="52"/>
        <v>1.2585082731646763E-2</v>
      </c>
      <c r="X275" s="14">
        <f t="shared" si="53"/>
        <v>1.5731353414558454E-3</v>
      </c>
      <c r="Y275" s="12">
        <f t="shared" si="54"/>
        <v>1</v>
      </c>
    </row>
    <row r="276" spans="1:25" x14ac:dyDescent="0.3">
      <c r="A276" s="23"/>
      <c r="B276" s="12">
        <v>32</v>
      </c>
      <c r="C276" s="12">
        <v>5.4</v>
      </c>
      <c r="D276" s="12">
        <v>3.4</v>
      </c>
      <c r="E276" s="12">
        <v>1.5</v>
      </c>
      <c r="F276" s="12">
        <v>0.4</v>
      </c>
      <c r="G276" s="12">
        <v>0</v>
      </c>
      <c r="I276" s="13">
        <f>I275-('Konfigurasi Model'!$B$11*T275)</f>
        <v>0.22533603525857643</v>
      </c>
      <c r="J276" s="13">
        <f>J275-('Konfigurasi Model'!$B$11*U275)</f>
        <v>-0.57153435172914835</v>
      </c>
      <c r="K276" s="13">
        <f>K275-('Konfigurasi Model'!$B$11*V275)</f>
        <v>-0.48529204618851279</v>
      </c>
      <c r="L276" s="13">
        <f>L275-('Konfigurasi Model'!$B$11*W275)</f>
        <v>0.74201653111939081</v>
      </c>
      <c r="M276" s="13">
        <f>M275-('Konfigurasi Model'!$B$11*X275)</f>
        <v>0.69035414963424402</v>
      </c>
      <c r="N276" s="13">
        <f t="shared" si="44"/>
        <v>-3.1217759645869845</v>
      </c>
      <c r="O276" s="13">
        <f t="shared" si="45"/>
        <v>4.2217901324758299E-2</v>
      </c>
      <c r="P276" s="12">
        <f t="shared" si="46"/>
        <v>0</v>
      </c>
      <c r="Q276" s="13">
        <f t="shared" si="47"/>
        <v>4.2217901324758299E-2</v>
      </c>
      <c r="R276" s="13">
        <f t="shared" si="48"/>
        <v>1.7823511922670284E-3</v>
      </c>
      <c r="T276" s="14">
        <f t="shared" si="49"/>
        <v>3.4142081310116674E-3</v>
      </c>
      <c r="U276" s="14">
        <f t="shared" si="50"/>
        <v>1.8436723907463006E-2</v>
      </c>
      <c r="V276" s="14">
        <f t="shared" si="51"/>
        <v>1.1608307645439669E-2</v>
      </c>
      <c r="W276" s="14">
        <f t="shared" si="52"/>
        <v>5.1213121965175013E-3</v>
      </c>
      <c r="X276" s="14">
        <f t="shared" si="53"/>
        <v>1.365683252404667E-3</v>
      </c>
      <c r="Y276" s="12">
        <f t="shared" si="54"/>
        <v>1</v>
      </c>
    </row>
    <row r="277" spans="1:25" x14ac:dyDescent="0.3">
      <c r="A277" s="23"/>
      <c r="B277" s="12">
        <v>33</v>
      </c>
      <c r="C277" s="12">
        <v>5.2</v>
      </c>
      <c r="D277" s="12">
        <v>4.0999999999999996</v>
      </c>
      <c r="E277" s="12">
        <v>1.5</v>
      </c>
      <c r="F277" s="12">
        <v>0.1</v>
      </c>
      <c r="G277" s="12">
        <v>0</v>
      </c>
      <c r="I277" s="13">
        <f>I276-('Konfigurasi Model'!$B$11*T276)</f>
        <v>0.22499461444547525</v>
      </c>
      <c r="J277" s="13">
        <f>J276-('Konfigurasi Model'!$B$11*U276)</f>
        <v>-0.57337802411989469</v>
      </c>
      <c r="K277" s="13">
        <f>K276-('Konfigurasi Model'!$B$11*V276)</f>
        <v>-0.48645287695305678</v>
      </c>
      <c r="L277" s="13">
        <f>L276-('Konfigurasi Model'!$B$11*W276)</f>
        <v>0.74150439989973904</v>
      </c>
      <c r="M277" s="13">
        <f>M276-('Konfigurasi Model'!$B$11*X276)</f>
        <v>0.69021758130900357</v>
      </c>
      <c r="N277" s="13">
        <f t="shared" si="44"/>
        <v>-3.5697495485050013</v>
      </c>
      <c r="O277" s="13">
        <f t="shared" si="45"/>
        <v>2.7391482486068052E-2</v>
      </c>
      <c r="P277" s="12">
        <f t="shared" si="46"/>
        <v>0</v>
      </c>
      <c r="Q277" s="13">
        <f t="shared" si="47"/>
        <v>2.7391482486068052E-2</v>
      </c>
      <c r="R277" s="13">
        <f t="shared" si="48"/>
        <v>7.5029331278457284E-4</v>
      </c>
      <c r="T277" s="14">
        <f t="shared" si="49"/>
        <v>1.4594833332960404E-3</v>
      </c>
      <c r="U277" s="14">
        <f t="shared" si="50"/>
        <v>7.5893133331394105E-3</v>
      </c>
      <c r="V277" s="14">
        <f t="shared" si="51"/>
        <v>5.9838816665137651E-3</v>
      </c>
      <c r="W277" s="14">
        <f t="shared" si="52"/>
        <v>2.1892249999440607E-3</v>
      </c>
      <c r="X277" s="14">
        <f t="shared" si="53"/>
        <v>1.4594833332960404E-4</v>
      </c>
      <c r="Y277" s="12">
        <f t="shared" si="54"/>
        <v>1</v>
      </c>
    </row>
    <row r="278" spans="1:25" x14ac:dyDescent="0.3">
      <c r="A278" s="23"/>
      <c r="B278" s="12">
        <v>34</v>
      </c>
      <c r="C278" s="12">
        <v>5.5</v>
      </c>
      <c r="D278" s="12">
        <v>4.2</v>
      </c>
      <c r="E278" s="12">
        <v>1.4</v>
      </c>
      <c r="F278" s="12">
        <v>0.2</v>
      </c>
      <c r="G278" s="12">
        <v>0</v>
      </c>
      <c r="I278" s="13">
        <f>I277-('Konfigurasi Model'!$B$11*T277)</f>
        <v>0.22484866611214566</v>
      </c>
      <c r="J278" s="13">
        <f>J277-('Konfigurasi Model'!$B$11*U277)</f>
        <v>-0.57413695545320864</v>
      </c>
      <c r="K278" s="13">
        <f>K277-('Konfigurasi Model'!$B$11*V277)</f>
        <v>-0.48705126511970814</v>
      </c>
      <c r="L278" s="13">
        <f>L277-('Konfigurasi Model'!$B$11*W277)</f>
        <v>0.7412854773997446</v>
      </c>
      <c r="M278" s="13">
        <f>M277-('Konfigurasi Model'!$B$11*X277)</f>
        <v>0.69020298647567058</v>
      </c>
      <c r="N278" s="13">
        <f t="shared" si="44"/>
        <v>-3.8026796367284996</v>
      </c>
      <c r="O278" s="13">
        <f t="shared" si="45"/>
        <v>2.1823993479443925E-2</v>
      </c>
      <c r="P278" s="12">
        <f t="shared" si="46"/>
        <v>0</v>
      </c>
      <c r="Q278" s="13">
        <f t="shared" si="47"/>
        <v>2.1823993479443925E-2</v>
      </c>
      <c r="R278" s="13">
        <f t="shared" si="48"/>
        <v>4.7628669139081095E-4</v>
      </c>
      <c r="T278" s="14">
        <f t="shared" si="49"/>
        <v>9.3178442748710394E-4</v>
      </c>
      <c r="U278" s="14">
        <f t="shared" si="50"/>
        <v>5.124814351179072E-3</v>
      </c>
      <c r="V278" s="14">
        <f t="shared" si="51"/>
        <v>3.9134945954458367E-3</v>
      </c>
      <c r="W278" s="14">
        <f t="shared" si="52"/>
        <v>1.3044981984819454E-3</v>
      </c>
      <c r="X278" s="14">
        <f t="shared" si="53"/>
        <v>1.8635688549742079E-4</v>
      </c>
      <c r="Y278" s="12">
        <f t="shared" si="54"/>
        <v>1</v>
      </c>
    </row>
    <row r="279" spans="1:25" x14ac:dyDescent="0.3">
      <c r="A279" s="23"/>
      <c r="B279" s="12">
        <v>35</v>
      </c>
      <c r="C279" s="12">
        <v>4.9000000000000004</v>
      </c>
      <c r="D279" s="12">
        <v>3.1</v>
      </c>
      <c r="E279" s="12">
        <v>1.5</v>
      </c>
      <c r="F279" s="12">
        <v>0.1</v>
      </c>
      <c r="G279" s="12">
        <v>0</v>
      </c>
      <c r="I279" s="13">
        <f>I278-('Konfigurasi Model'!$B$11*T278)</f>
        <v>0.22475548766939696</v>
      </c>
      <c r="J279" s="13">
        <f>J278-('Konfigurasi Model'!$B$11*U278)</f>
        <v>-0.57464943688832659</v>
      </c>
      <c r="K279" s="13">
        <f>K278-('Konfigurasi Model'!$B$11*V278)</f>
        <v>-0.48744261457925275</v>
      </c>
      <c r="L279" s="13">
        <f>L278-('Konfigurasi Model'!$B$11*W278)</f>
        <v>0.74115502757989637</v>
      </c>
      <c r="M279" s="13">
        <f>M278-('Konfigurasi Model'!$B$11*X278)</f>
        <v>0.69018435078712081</v>
      </c>
      <c r="N279" s="13">
        <f t="shared" si="44"/>
        <v>-2.9213478818305303</v>
      </c>
      <c r="O279" s="13">
        <f t="shared" si="45"/>
        <v>5.1108294156512878E-2</v>
      </c>
      <c r="P279" s="12">
        <f t="shared" si="46"/>
        <v>0</v>
      </c>
      <c r="Q279" s="13">
        <f t="shared" si="47"/>
        <v>5.1108294156512878E-2</v>
      </c>
      <c r="R279" s="13">
        <f t="shared" si="48"/>
        <v>2.6120577315886483E-3</v>
      </c>
      <c r="T279" s="14">
        <f t="shared" si="49"/>
        <v>4.9571198333776441E-3</v>
      </c>
      <c r="U279" s="14">
        <f t="shared" si="50"/>
        <v>2.4289887183550459E-2</v>
      </c>
      <c r="V279" s="14">
        <f t="shared" si="51"/>
        <v>1.5367071483470697E-2</v>
      </c>
      <c r="W279" s="14">
        <f t="shared" si="52"/>
        <v>7.4356797500664661E-3</v>
      </c>
      <c r="X279" s="14">
        <f t="shared" si="53"/>
        <v>4.9571198333776443E-4</v>
      </c>
      <c r="Y279" s="12">
        <f t="shared" si="54"/>
        <v>1</v>
      </c>
    </row>
    <row r="280" spans="1:25" x14ac:dyDescent="0.3">
      <c r="A280" s="23"/>
      <c r="B280" s="12">
        <v>36</v>
      </c>
      <c r="C280" s="12">
        <v>5</v>
      </c>
      <c r="D280" s="12">
        <v>3.2</v>
      </c>
      <c r="E280" s="12">
        <v>1.2</v>
      </c>
      <c r="F280" s="12">
        <v>0.2</v>
      </c>
      <c r="G280" s="12">
        <v>0</v>
      </c>
      <c r="I280" s="13">
        <f>I279-('Konfigurasi Model'!$B$11*T279)</f>
        <v>0.2242597756860592</v>
      </c>
      <c r="J280" s="13">
        <f>J279-('Konfigurasi Model'!$B$11*U279)</f>
        <v>-0.57707842560668166</v>
      </c>
      <c r="K280" s="13">
        <f>K279-('Konfigurasi Model'!$B$11*V279)</f>
        <v>-0.48897932172759984</v>
      </c>
      <c r="L280" s="13">
        <f>L279-('Konfigurasi Model'!$B$11*W279)</f>
        <v>0.74041145960488974</v>
      </c>
      <c r="M280" s="13">
        <f>M279-('Konfigurasi Model'!$B$11*X279)</f>
        <v>0.690134779588787</v>
      </c>
      <c r="N280" s="13">
        <f t="shared" si="44"/>
        <v>-3.1993454744320431</v>
      </c>
      <c r="O280" s="13">
        <f t="shared" si="45"/>
        <v>3.9190361182455467E-2</v>
      </c>
      <c r="P280" s="12">
        <f t="shared" si="46"/>
        <v>0</v>
      </c>
      <c r="Q280" s="13">
        <f t="shared" si="47"/>
        <v>3.9190361182455467E-2</v>
      </c>
      <c r="R280" s="13">
        <f t="shared" si="48"/>
        <v>1.5358844096113123E-3</v>
      </c>
      <c r="T280" s="14">
        <f t="shared" si="49"/>
        <v>2.9513850897282851E-3</v>
      </c>
      <c r="U280" s="14">
        <f t="shared" si="50"/>
        <v>1.4756925448641425E-2</v>
      </c>
      <c r="V280" s="14">
        <f t="shared" si="51"/>
        <v>9.4444322871305129E-3</v>
      </c>
      <c r="W280" s="14">
        <f t="shared" si="52"/>
        <v>3.5416621076739419E-3</v>
      </c>
      <c r="X280" s="14">
        <f t="shared" si="53"/>
        <v>5.9027701794565706E-4</v>
      </c>
      <c r="Y280" s="12">
        <f t="shared" si="54"/>
        <v>1</v>
      </c>
    </row>
    <row r="281" spans="1:25" x14ac:dyDescent="0.3">
      <c r="A281" s="23"/>
      <c r="B281" s="12">
        <v>37</v>
      </c>
      <c r="C281" s="12">
        <v>5.5</v>
      </c>
      <c r="D281" s="12">
        <v>3.5</v>
      </c>
      <c r="E281" s="12">
        <v>1.3</v>
      </c>
      <c r="F281" s="12">
        <v>0.2</v>
      </c>
      <c r="G281" s="12">
        <v>0</v>
      </c>
      <c r="I281" s="13">
        <f>I280-('Konfigurasi Model'!$B$11*T280)</f>
        <v>0.22396463717708637</v>
      </c>
      <c r="J281" s="13">
        <f>J280-('Konfigurasi Model'!$B$11*U280)</f>
        <v>-0.57855411815154578</v>
      </c>
      <c r="K281" s="13">
        <f>K280-('Konfigurasi Model'!$B$11*V280)</f>
        <v>-0.4899237649563129</v>
      </c>
      <c r="L281" s="13">
        <f>L280-('Konfigurasi Model'!$B$11*W280)</f>
        <v>0.7400572933941223</v>
      </c>
      <c r="M281" s="13">
        <f>M280-('Konfigurasi Model'!$B$11*X280)</f>
        <v>0.69007575188699244</v>
      </c>
      <c r="N281" s="13">
        <f t="shared" si="44"/>
        <v>-3.5727265582137533</v>
      </c>
      <c r="O281" s="13">
        <f t="shared" si="45"/>
        <v>2.7312282896405412E-2</v>
      </c>
      <c r="P281" s="12">
        <f t="shared" si="46"/>
        <v>0</v>
      </c>
      <c r="Q281" s="13">
        <f t="shared" si="47"/>
        <v>2.7312282896405412E-2</v>
      </c>
      <c r="R281" s="13">
        <f t="shared" si="48"/>
        <v>7.4596079701327964E-4</v>
      </c>
      <c r="T281" s="14">
        <f t="shared" si="49"/>
        <v>1.4511738093912498E-3</v>
      </c>
      <c r="U281" s="14">
        <f t="shared" si="50"/>
        <v>7.9814559516518738E-3</v>
      </c>
      <c r="V281" s="14">
        <f t="shared" si="51"/>
        <v>5.0791083328693741E-3</v>
      </c>
      <c r="W281" s="14">
        <f t="shared" si="52"/>
        <v>1.8865259522086249E-3</v>
      </c>
      <c r="X281" s="14">
        <f t="shared" si="53"/>
        <v>2.9023476187825E-4</v>
      </c>
      <c r="Y281" s="12">
        <f t="shared" si="54"/>
        <v>1</v>
      </c>
    </row>
    <row r="282" spans="1:25" x14ac:dyDescent="0.3">
      <c r="A282" s="23"/>
      <c r="B282" s="12">
        <v>38</v>
      </c>
      <c r="C282" s="12">
        <v>4.9000000000000004</v>
      </c>
      <c r="D282" s="12">
        <v>3.1</v>
      </c>
      <c r="E282" s="12">
        <v>1.5</v>
      </c>
      <c r="F282" s="12">
        <v>0.1</v>
      </c>
      <c r="G282" s="12">
        <v>0</v>
      </c>
      <c r="I282" s="13">
        <f>I281-('Konfigurasi Model'!$B$11*T281)</f>
        <v>0.22381951979614725</v>
      </c>
      <c r="J282" s="13">
        <f>J281-('Konfigurasi Model'!$B$11*U281)</f>
        <v>-0.579352263746711</v>
      </c>
      <c r="K282" s="13">
        <f>K281-('Konfigurasi Model'!$B$11*V281)</f>
        <v>-0.49043167578959984</v>
      </c>
      <c r="L282" s="13">
        <f>L281-('Konfigurasi Model'!$B$11*W281)</f>
        <v>0.73986864079890147</v>
      </c>
      <c r="M282" s="13">
        <f>M281-('Konfigurasi Model'!$B$11*X281)</f>
        <v>0.69004672841080461</v>
      </c>
      <c r="N282" s="13">
        <f t="shared" si="44"/>
        <v>-2.9565371334710635</v>
      </c>
      <c r="O282" s="13">
        <f t="shared" si="45"/>
        <v>4.9428456222860018E-2</v>
      </c>
      <c r="P282" s="12">
        <f t="shared" si="46"/>
        <v>0</v>
      </c>
      <c r="Q282" s="13">
        <f t="shared" si="47"/>
        <v>4.9428456222860018E-2</v>
      </c>
      <c r="R282" s="13">
        <f t="shared" si="48"/>
        <v>2.4431722845751893E-3</v>
      </c>
      <c r="T282" s="14">
        <f t="shared" si="49"/>
        <v>4.6448201005243198E-3</v>
      </c>
      <c r="U282" s="14">
        <f t="shared" si="50"/>
        <v>2.2759618492569168E-2</v>
      </c>
      <c r="V282" s="14">
        <f t="shared" si="51"/>
        <v>1.4398942311625392E-2</v>
      </c>
      <c r="W282" s="14">
        <f t="shared" si="52"/>
        <v>6.9672301507864801E-3</v>
      </c>
      <c r="X282" s="14">
        <f t="shared" si="53"/>
        <v>4.6448201005243198E-4</v>
      </c>
      <c r="Y282" s="12">
        <f t="shared" si="54"/>
        <v>1</v>
      </c>
    </row>
    <row r="283" spans="1:25" x14ac:dyDescent="0.3">
      <c r="A283" s="23"/>
      <c r="B283" s="12">
        <v>39</v>
      </c>
      <c r="C283" s="12">
        <v>4.4000000000000004</v>
      </c>
      <c r="D283" s="12">
        <v>3</v>
      </c>
      <c r="E283" s="12">
        <v>1.3</v>
      </c>
      <c r="F283" s="12">
        <v>0.2</v>
      </c>
      <c r="G283" s="12">
        <v>0</v>
      </c>
      <c r="I283" s="13">
        <f>I282-('Konfigurasi Model'!$B$11*T282)</f>
        <v>0.22335503778609483</v>
      </c>
      <c r="J283" s="13">
        <f>J282-('Konfigurasi Model'!$B$11*U282)</f>
        <v>-0.58162822559596794</v>
      </c>
      <c r="K283" s="13">
        <f>K282-('Konfigurasi Model'!$B$11*V282)</f>
        <v>-0.49187157002076237</v>
      </c>
      <c r="L283" s="13">
        <f>L282-('Konfigurasi Model'!$B$11*W282)</f>
        <v>0.73917191778382285</v>
      </c>
      <c r="M283" s="13">
        <f>M282-('Konfigurasi Model'!$B$11*X282)</f>
        <v>0.69000028020979942</v>
      </c>
      <c r="N283" s="13">
        <f t="shared" si="44"/>
        <v>-2.7125003157375214</v>
      </c>
      <c r="O283" s="13">
        <f t="shared" si="45"/>
        <v>6.2239758196375734E-2</v>
      </c>
      <c r="P283" s="12">
        <f t="shared" si="46"/>
        <v>0</v>
      </c>
      <c r="Q283" s="13">
        <f t="shared" si="47"/>
        <v>6.2239758196375734E-2</v>
      </c>
      <c r="R283" s="13">
        <f t="shared" si="48"/>
        <v>3.8737875003433202E-3</v>
      </c>
      <c r="T283" s="14">
        <f t="shared" si="49"/>
        <v>7.2653678060356185E-3</v>
      </c>
      <c r="U283" s="14">
        <f t="shared" si="50"/>
        <v>3.1967618346556724E-2</v>
      </c>
      <c r="V283" s="14">
        <f t="shared" si="51"/>
        <v>2.1796103418106855E-2</v>
      </c>
      <c r="W283" s="14">
        <f t="shared" si="52"/>
        <v>9.4449781478463044E-3</v>
      </c>
      <c r="X283" s="14">
        <f t="shared" si="53"/>
        <v>1.4530735612071238E-3</v>
      </c>
      <c r="Y283" s="12">
        <f t="shared" si="54"/>
        <v>1</v>
      </c>
    </row>
    <row r="284" spans="1:25" x14ac:dyDescent="0.3">
      <c r="A284" s="23"/>
      <c r="B284" s="12">
        <v>40</v>
      </c>
      <c r="C284" s="12">
        <v>5.0999999999999996</v>
      </c>
      <c r="D284" s="12">
        <v>3.4</v>
      </c>
      <c r="E284" s="12">
        <v>1.5</v>
      </c>
      <c r="F284" s="12">
        <v>0.2</v>
      </c>
      <c r="G284" s="12">
        <v>0</v>
      </c>
      <c r="I284" s="13">
        <f>I283-('Konfigurasi Model'!$B$11*T283)</f>
        <v>0.22262850100549128</v>
      </c>
      <c r="J284" s="13">
        <f>J283-('Konfigurasi Model'!$B$11*U283)</f>
        <v>-0.58482498743062361</v>
      </c>
      <c r="K284" s="13">
        <f>K283-('Konfigurasi Model'!$B$11*V283)</f>
        <v>-0.49405118036257306</v>
      </c>
      <c r="L284" s="13">
        <f>L283-('Konfigurasi Model'!$B$11*W283)</f>
        <v>0.73822741996903818</v>
      </c>
      <c r="M284" s="13">
        <f>M283-('Konfigurasi Model'!$B$11*X283)</f>
        <v>0.68985497285367869</v>
      </c>
      <c r="N284" s="13">
        <f t="shared" si="44"/>
        <v>-3.1944408235991451</v>
      </c>
      <c r="O284" s="13">
        <f t="shared" si="45"/>
        <v>3.9375461218777399E-2</v>
      </c>
      <c r="P284" s="12">
        <f t="shared" si="46"/>
        <v>0</v>
      </c>
      <c r="Q284" s="13">
        <f t="shared" si="47"/>
        <v>3.9375461218777399E-2</v>
      </c>
      <c r="R284" s="13">
        <f t="shared" si="48"/>
        <v>1.5504269461914431E-3</v>
      </c>
      <c r="T284" s="14">
        <f t="shared" si="49"/>
        <v>2.9787563401982684E-3</v>
      </c>
      <c r="U284" s="14">
        <f t="shared" si="50"/>
        <v>1.5191657335011167E-2</v>
      </c>
      <c r="V284" s="14">
        <f t="shared" si="51"/>
        <v>1.0127771556674112E-2</v>
      </c>
      <c r="W284" s="14">
        <f t="shared" si="52"/>
        <v>4.4681345102974028E-3</v>
      </c>
      <c r="X284" s="14">
        <f t="shared" si="53"/>
        <v>5.9575126803965367E-4</v>
      </c>
      <c r="Y284" s="12">
        <f t="shared" si="54"/>
        <v>1</v>
      </c>
    </row>
    <row r="285" spans="1:25" x14ac:dyDescent="0.3">
      <c r="A285" s="23"/>
      <c r="B285" s="12">
        <v>41</v>
      </c>
      <c r="C285" s="12">
        <v>7</v>
      </c>
      <c r="D285" s="12">
        <v>3.2</v>
      </c>
      <c r="E285" s="12">
        <v>4.7</v>
      </c>
      <c r="F285" s="12">
        <v>1.4</v>
      </c>
      <c r="G285" s="12">
        <v>1</v>
      </c>
      <c r="I285" s="13">
        <f>I284-('Konfigurasi Model'!$B$11*T284)</f>
        <v>0.22233062537147144</v>
      </c>
      <c r="J285" s="13">
        <f>J284-('Konfigurasi Model'!$B$11*U284)</f>
        <v>-0.58634415316412469</v>
      </c>
      <c r="K285" s="13">
        <f>K284-('Konfigurasi Model'!$B$11*V284)</f>
        <v>-0.49506395751824045</v>
      </c>
      <c r="L285" s="13">
        <f>L284-('Konfigurasi Model'!$B$11*W284)</f>
        <v>0.73778060651800847</v>
      </c>
      <c r="M285" s="13">
        <f>M284-('Konfigurasi Model'!$B$11*X284)</f>
        <v>0.6897953977268747</v>
      </c>
      <c r="N285" s="13">
        <f t="shared" si="44"/>
        <v>-1.0330007033835069</v>
      </c>
      <c r="O285" s="13">
        <f t="shared" si="45"/>
        <v>0.26250276894185898</v>
      </c>
      <c r="P285" s="12">
        <f t="shared" si="46"/>
        <v>0</v>
      </c>
      <c r="Q285" s="13">
        <f t="shared" si="47"/>
        <v>-0.73749723105814102</v>
      </c>
      <c r="R285" s="13">
        <f t="shared" si="48"/>
        <v>0.5439021658184251</v>
      </c>
      <c r="T285" s="14">
        <f t="shared" si="49"/>
        <v>-0.2855516491216214</v>
      </c>
      <c r="U285" s="14">
        <f t="shared" si="50"/>
        <v>-1.9988615438513497</v>
      </c>
      <c r="V285" s="14">
        <f t="shared" si="51"/>
        <v>-0.91376527718918854</v>
      </c>
      <c r="W285" s="14">
        <f t="shared" si="52"/>
        <v>-1.3420927508716207</v>
      </c>
      <c r="X285" s="14">
        <f t="shared" si="53"/>
        <v>-0.39977230877026992</v>
      </c>
      <c r="Y285" s="12">
        <f t="shared" si="54"/>
        <v>0</v>
      </c>
    </row>
    <row r="286" spans="1:25" x14ac:dyDescent="0.3">
      <c r="A286" s="23"/>
      <c r="B286" s="12">
        <v>42</v>
      </c>
      <c r="C286" s="12">
        <v>6.4</v>
      </c>
      <c r="D286" s="12">
        <v>3.2</v>
      </c>
      <c r="E286" s="12">
        <v>4.5</v>
      </c>
      <c r="F286" s="12">
        <v>1.5</v>
      </c>
      <c r="G286" s="12">
        <v>1</v>
      </c>
      <c r="I286" s="13">
        <f>I285-('Konfigurasi Model'!$B$11*T285)</f>
        <v>0.25088579028363356</v>
      </c>
      <c r="J286" s="13">
        <f>J285-('Konfigurasi Model'!$B$11*U285)</f>
        <v>-0.38645799877898968</v>
      </c>
      <c r="K286" s="13">
        <f>K285-('Konfigurasi Model'!$B$11*V285)</f>
        <v>-0.4036874297993216</v>
      </c>
      <c r="L286" s="13">
        <f>L285-('Konfigurasi Model'!$B$11*W285)</f>
        <v>0.87198988160517055</v>
      </c>
      <c r="M286" s="13">
        <f>M285-('Konfigurasi Model'!$B$11*X285)</f>
        <v>0.72977262860390169</v>
      </c>
      <c r="N286" s="13">
        <f t="shared" si="44"/>
        <v>1.5043682328693899</v>
      </c>
      <c r="O286" s="13">
        <f t="shared" si="45"/>
        <v>0.81822507905156228</v>
      </c>
      <c r="P286" s="12">
        <f t="shared" si="46"/>
        <v>1</v>
      </c>
      <c r="Q286" s="13">
        <f t="shared" si="47"/>
        <v>-0.18177492094843772</v>
      </c>
      <c r="R286" s="13">
        <f t="shared" si="48"/>
        <v>3.3042121885810787E-2</v>
      </c>
      <c r="T286" s="14">
        <f t="shared" si="49"/>
        <v>-5.4071785584097774E-2</v>
      </c>
      <c r="U286" s="14">
        <f t="shared" si="50"/>
        <v>-0.34605942773822579</v>
      </c>
      <c r="V286" s="14">
        <f t="shared" si="51"/>
        <v>-0.17302971386911289</v>
      </c>
      <c r="W286" s="14">
        <f t="shared" si="52"/>
        <v>-0.24332303512843997</v>
      </c>
      <c r="X286" s="14">
        <f t="shared" si="53"/>
        <v>-8.1107678376146658E-2</v>
      </c>
      <c r="Y286" s="12">
        <f t="shared" si="54"/>
        <v>1</v>
      </c>
    </row>
    <row r="287" spans="1:25" x14ac:dyDescent="0.3">
      <c r="A287" s="23"/>
      <c r="B287" s="12">
        <v>43</v>
      </c>
      <c r="C287" s="12">
        <v>6.9</v>
      </c>
      <c r="D287" s="12">
        <v>3.1</v>
      </c>
      <c r="E287" s="12">
        <v>4.9000000000000004</v>
      </c>
      <c r="F287" s="12">
        <v>1.5</v>
      </c>
      <c r="G287" s="12">
        <v>1</v>
      </c>
      <c r="I287" s="13">
        <f>I286-('Konfigurasi Model'!$B$11*T286)</f>
        <v>0.25629296884204333</v>
      </c>
      <c r="J287" s="13">
        <f>J286-('Konfigurasi Model'!$B$11*U286)</f>
        <v>-0.35185205600516711</v>
      </c>
      <c r="K287" s="13">
        <f>K286-('Konfigurasi Model'!$B$11*V286)</f>
        <v>-0.38638445841241031</v>
      </c>
      <c r="L287" s="13">
        <f>L286-('Konfigurasi Model'!$B$11*W286)</f>
        <v>0.89632218511801454</v>
      </c>
      <c r="M287" s="13">
        <f>M286-('Konfigurasi Model'!$B$11*X286)</f>
        <v>0.73788339644151635</v>
      </c>
      <c r="N287" s="13">
        <f t="shared" si="44"/>
        <v>2.1295257630684641</v>
      </c>
      <c r="O287" s="13">
        <f t="shared" si="45"/>
        <v>0.89373997900779067</v>
      </c>
      <c r="P287" s="12">
        <f t="shared" si="46"/>
        <v>1</v>
      </c>
      <c r="Q287" s="13">
        <f t="shared" si="47"/>
        <v>-0.10626002099220933</v>
      </c>
      <c r="R287" s="13">
        <f t="shared" si="48"/>
        <v>1.1291192061264766E-2</v>
      </c>
      <c r="T287" s="14">
        <f t="shared" si="49"/>
        <v>-2.0182779511615411E-2</v>
      </c>
      <c r="U287" s="14">
        <f t="shared" si="50"/>
        <v>-0.13926117863014634</v>
      </c>
      <c r="V287" s="14">
        <f t="shared" si="51"/>
        <v>-6.2566616486007781E-2</v>
      </c>
      <c r="W287" s="14">
        <f t="shared" si="52"/>
        <v>-9.8895619606915522E-2</v>
      </c>
      <c r="X287" s="14">
        <f t="shared" si="53"/>
        <v>-3.0274169267423115E-2</v>
      </c>
      <c r="Y287" s="12">
        <f t="shared" si="54"/>
        <v>1</v>
      </c>
    </row>
    <row r="288" spans="1:25" x14ac:dyDescent="0.3">
      <c r="A288" s="23"/>
      <c r="B288" s="12">
        <v>44</v>
      </c>
      <c r="C288" s="12">
        <v>5.5</v>
      </c>
      <c r="D288" s="12">
        <v>2.2999999999999998</v>
      </c>
      <c r="E288" s="12">
        <v>4</v>
      </c>
      <c r="F288" s="12">
        <v>1.3</v>
      </c>
      <c r="G288" s="12">
        <v>1</v>
      </c>
      <c r="I288" s="13">
        <f>I287-('Konfigurasi Model'!$B$11*T287)</f>
        <v>0.25831124679320489</v>
      </c>
      <c r="J288" s="13">
        <f>J287-('Konfigurasi Model'!$B$11*U287)</f>
        <v>-0.33792593814215249</v>
      </c>
      <c r="K288" s="13">
        <f>K287-('Konfigurasi Model'!$B$11*V287)</f>
        <v>-0.38012779676380953</v>
      </c>
      <c r="L288" s="13">
        <f>L287-('Konfigurasi Model'!$B$11*W287)</f>
        <v>0.90621174707870611</v>
      </c>
      <c r="M288" s="13">
        <f>M287-('Konfigurasi Model'!$B$11*X287)</f>
        <v>0.7409108133682587</v>
      </c>
      <c r="N288" s="13">
        <f t="shared" si="44"/>
        <v>2.1134557001481653</v>
      </c>
      <c r="O288" s="13">
        <f t="shared" si="45"/>
        <v>0.89220413908962815</v>
      </c>
      <c r="P288" s="12">
        <f t="shared" si="46"/>
        <v>1</v>
      </c>
      <c r="Q288" s="13">
        <f t="shared" si="47"/>
        <v>-0.10779586091037185</v>
      </c>
      <c r="R288" s="13">
        <f t="shared" si="48"/>
        <v>1.1619947629408234E-2</v>
      </c>
      <c r="T288" s="14">
        <f t="shared" si="49"/>
        <v>-2.0734730741925479E-2</v>
      </c>
      <c r="U288" s="14">
        <f t="shared" si="50"/>
        <v>-0.11404101908059014</v>
      </c>
      <c r="V288" s="14">
        <f t="shared" si="51"/>
        <v>-4.76898807064286E-2</v>
      </c>
      <c r="W288" s="14">
        <f t="shared" si="52"/>
        <v>-8.2938922967701917E-2</v>
      </c>
      <c r="X288" s="14">
        <f t="shared" si="53"/>
        <v>-2.6955149964503124E-2</v>
      </c>
      <c r="Y288" s="12">
        <f t="shared" si="54"/>
        <v>1</v>
      </c>
    </row>
    <row r="289" spans="1:25" x14ac:dyDescent="0.3">
      <c r="A289" s="23"/>
      <c r="B289" s="12">
        <v>45</v>
      </c>
      <c r="C289" s="12">
        <v>6.5</v>
      </c>
      <c r="D289" s="12">
        <v>2.8</v>
      </c>
      <c r="E289" s="12">
        <v>4.5999999999999996</v>
      </c>
      <c r="F289" s="12">
        <v>1.5</v>
      </c>
      <c r="G289" s="12">
        <v>1</v>
      </c>
      <c r="I289" s="13">
        <f>I288-('Konfigurasi Model'!$B$11*T288)</f>
        <v>0.26038471986739742</v>
      </c>
      <c r="J289" s="13">
        <f>J288-('Konfigurasi Model'!$B$11*U288)</f>
        <v>-0.32652183623409348</v>
      </c>
      <c r="K289" s="13">
        <f>K288-('Konfigurasi Model'!$B$11*V288)</f>
        <v>-0.37535880869316668</v>
      </c>
      <c r="L289" s="13">
        <f>L288-('Konfigurasi Model'!$B$11*W288)</f>
        <v>0.91450563937547635</v>
      </c>
      <c r="M289" s="13">
        <f>M288-('Konfigurasi Model'!$B$11*X288)</f>
        <v>0.74360632836470897</v>
      </c>
      <c r="N289" s="13">
        <f t="shared" si="44"/>
        <v>2.4091235536791773</v>
      </c>
      <c r="O289" s="13">
        <f t="shared" si="45"/>
        <v>0.91752037954470456</v>
      </c>
      <c r="P289" s="12">
        <f t="shared" si="46"/>
        <v>1</v>
      </c>
      <c r="Q289" s="13">
        <f t="shared" si="47"/>
        <v>-8.2479620455295444E-2</v>
      </c>
      <c r="R289" s="13">
        <f t="shared" si="48"/>
        <v>6.8028877904495908E-3</v>
      </c>
      <c r="T289" s="14">
        <f t="shared" si="49"/>
        <v>-1.2483576374986691E-2</v>
      </c>
      <c r="U289" s="14">
        <f t="shared" si="50"/>
        <v>-8.1143246437413497E-2</v>
      </c>
      <c r="V289" s="14">
        <f t="shared" si="51"/>
        <v>-3.4954013849962731E-2</v>
      </c>
      <c r="W289" s="14">
        <f t="shared" si="52"/>
        <v>-5.7424451324938772E-2</v>
      </c>
      <c r="X289" s="14">
        <f t="shared" si="53"/>
        <v>-1.8725364562480036E-2</v>
      </c>
      <c r="Y289" s="12">
        <f t="shared" si="54"/>
        <v>1</v>
      </c>
    </row>
    <row r="290" spans="1:25" x14ac:dyDescent="0.3">
      <c r="A290" s="23"/>
      <c r="B290" s="12">
        <v>46</v>
      </c>
      <c r="C290" s="12">
        <v>5.7</v>
      </c>
      <c r="D290" s="12">
        <v>2.8</v>
      </c>
      <c r="E290" s="12">
        <v>4.5</v>
      </c>
      <c r="F290" s="12">
        <v>1.3</v>
      </c>
      <c r="G290" s="12">
        <v>1</v>
      </c>
      <c r="I290" s="13">
        <f>I289-('Konfigurasi Model'!$B$11*T289)</f>
        <v>0.26163307750489606</v>
      </c>
      <c r="J290" s="13">
        <f>J289-('Konfigurasi Model'!$B$11*U289)</f>
        <v>-0.31840751159035213</v>
      </c>
      <c r="K290" s="13">
        <f>K289-('Konfigurasi Model'!$B$11*V289)</f>
        <v>-0.37186340730817041</v>
      </c>
      <c r="L290" s="13">
        <f>L289-('Konfigurasi Model'!$B$11*W289)</f>
        <v>0.92024808450797024</v>
      </c>
      <c r="M290" s="13">
        <f>M289-('Konfigurasi Model'!$B$11*X289)</f>
        <v>0.74547886482095693</v>
      </c>
      <c r="N290" s="13">
        <f t="shared" si="44"/>
        <v>2.5157316255301216</v>
      </c>
      <c r="O290" s="13">
        <f t="shared" si="45"/>
        <v>0.92523733305671407</v>
      </c>
      <c r="P290" s="12">
        <f t="shared" si="46"/>
        <v>1</v>
      </c>
      <c r="Q290" s="13">
        <f t="shared" si="47"/>
        <v>-7.4762666943285927E-2</v>
      </c>
      <c r="R290" s="13">
        <f t="shared" si="48"/>
        <v>5.5894563684726981E-3</v>
      </c>
      <c r="T290" s="14">
        <f t="shared" si="49"/>
        <v>-1.0343147407205091E-2</v>
      </c>
      <c r="U290" s="14">
        <f t="shared" si="50"/>
        <v>-5.8955940221069023E-2</v>
      </c>
      <c r="V290" s="14">
        <f t="shared" si="51"/>
        <v>-2.8960812740174254E-2</v>
      </c>
      <c r="W290" s="14">
        <f t="shared" si="52"/>
        <v>-4.6544163332422908E-2</v>
      </c>
      <c r="X290" s="14">
        <f t="shared" si="53"/>
        <v>-1.344609162936662E-2</v>
      </c>
      <c r="Y290" s="12">
        <f t="shared" si="54"/>
        <v>1</v>
      </c>
    </row>
    <row r="291" spans="1:25" x14ac:dyDescent="0.3">
      <c r="A291" s="23"/>
      <c r="B291" s="12">
        <v>47</v>
      </c>
      <c r="C291" s="12">
        <v>6.3</v>
      </c>
      <c r="D291" s="12">
        <v>3.3</v>
      </c>
      <c r="E291" s="12">
        <v>4.7</v>
      </c>
      <c r="F291" s="12">
        <v>1.6</v>
      </c>
      <c r="G291" s="12">
        <v>1</v>
      </c>
      <c r="I291" s="13">
        <f>I290-('Konfigurasi Model'!$B$11*T290)</f>
        <v>0.26266739224561658</v>
      </c>
      <c r="J291" s="13">
        <f>J290-('Konfigurasi Model'!$B$11*U290)</f>
        <v>-0.31251191756824526</v>
      </c>
      <c r="K291" s="13">
        <f>K290-('Konfigurasi Model'!$B$11*V290)</f>
        <v>-0.368967326034153</v>
      </c>
      <c r="L291" s="13">
        <f>L290-('Konfigurasi Model'!$B$11*W290)</f>
        <v>0.9249025008412125</v>
      </c>
      <c r="M291" s="13">
        <f>M290-('Konfigurasi Model'!$B$11*X290)</f>
        <v>0.74682347398389359</v>
      </c>
      <c r="N291" s="13">
        <f t="shared" si="44"/>
        <v>2.6182094479808953</v>
      </c>
      <c r="O291" s="13">
        <f t="shared" si="45"/>
        <v>0.93202435379110171</v>
      </c>
      <c r="P291" s="12">
        <f t="shared" si="46"/>
        <v>1</v>
      </c>
      <c r="Q291" s="13">
        <f t="shared" si="47"/>
        <v>-6.7975646208898288E-2</v>
      </c>
      <c r="R291" s="13">
        <f t="shared" si="48"/>
        <v>4.6206884775173082E-3</v>
      </c>
      <c r="T291" s="14">
        <f t="shared" si="49"/>
        <v>-8.6131883846561168E-3</v>
      </c>
      <c r="U291" s="14">
        <f t="shared" si="50"/>
        <v>-5.4263086823333535E-2</v>
      </c>
      <c r="V291" s="14">
        <f t="shared" si="51"/>
        <v>-2.8423521669365185E-2</v>
      </c>
      <c r="W291" s="14">
        <f t="shared" si="52"/>
        <v>-4.0481985407883753E-2</v>
      </c>
      <c r="X291" s="14">
        <f t="shared" si="53"/>
        <v>-1.3781101415449788E-2</v>
      </c>
      <c r="Y291" s="12">
        <f t="shared" si="54"/>
        <v>1</v>
      </c>
    </row>
    <row r="292" spans="1:25" x14ac:dyDescent="0.3">
      <c r="A292" s="23"/>
      <c r="B292" s="12">
        <v>48</v>
      </c>
      <c r="C292" s="12">
        <v>4.9000000000000004</v>
      </c>
      <c r="D292" s="12">
        <v>2.4</v>
      </c>
      <c r="E292" s="12">
        <v>3.3</v>
      </c>
      <c r="F292" s="12">
        <v>1</v>
      </c>
      <c r="G292" s="12">
        <v>1</v>
      </c>
      <c r="I292" s="13">
        <f>I291-('Konfigurasi Model'!$B$11*T291)</f>
        <v>0.26352871108408221</v>
      </c>
      <c r="J292" s="13">
        <f>J291-('Konfigurasi Model'!$B$11*U291)</f>
        <v>-0.30708560888591191</v>
      </c>
      <c r="K292" s="13">
        <f>K291-('Konfigurasi Model'!$B$11*V291)</f>
        <v>-0.36612497386721649</v>
      </c>
      <c r="L292" s="13">
        <f>L291-('Konfigurasi Model'!$B$11*W291)</f>
        <v>0.92895069938200092</v>
      </c>
      <c r="M292" s="13">
        <f>M291-('Konfigurasi Model'!$B$11*X291)</f>
        <v>0.74820158412543858</v>
      </c>
      <c r="N292" s="13">
        <f t="shared" si="44"/>
        <v>1.6938481823478355</v>
      </c>
      <c r="O292" s="13">
        <f t="shared" si="45"/>
        <v>0.84472956318939063</v>
      </c>
      <c r="P292" s="12">
        <f t="shared" si="46"/>
        <v>1</v>
      </c>
      <c r="Q292" s="13">
        <f t="shared" si="47"/>
        <v>-0.15527043681060937</v>
      </c>
      <c r="R292" s="13">
        <f t="shared" si="48"/>
        <v>2.4108908547357435E-2</v>
      </c>
      <c r="T292" s="14">
        <f t="shared" si="49"/>
        <v>-4.0731015572364422E-2</v>
      </c>
      <c r="U292" s="14">
        <f t="shared" si="50"/>
        <v>-0.19958197630458568</v>
      </c>
      <c r="V292" s="14">
        <f t="shared" si="51"/>
        <v>-9.7754437373674605E-2</v>
      </c>
      <c r="W292" s="14">
        <f t="shared" si="52"/>
        <v>-0.13441235138880259</v>
      </c>
      <c r="X292" s="14">
        <f t="shared" si="53"/>
        <v>-4.0731015572364422E-2</v>
      </c>
      <c r="Y292" s="12">
        <f t="shared" si="54"/>
        <v>1</v>
      </c>
    </row>
    <row r="293" spans="1:25" x14ac:dyDescent="0.3">
      <c r="A293" s="23"/>
      <c r="B293" s="12">
        <v>49</v>
      </c>
      <c r="C293" s="12">
        <v>6.6</v>
      </c>
      <c r="D293" s="12">
        <v>2.9</v>
      </c>
      <c r="E293" s="12">
        <v>4.5999999999999996</v>
      </c>
      <c r="F293" s="12">
        <v>1.3</v>
      </c>
      <c r="G293" s="12">
        <v>1</v>
      </c>
      <c r="I293" s="13">
        <f>I292-('Konfigurasi Model'!$B$11*T292)</f>
        <v>0.26760181264131866</v>
      </c>
      <c r="J293" s="13">
        <f>J292-('Konfigurasi Model'!$B$11*U292)</f>
        <v>-0.28712741125545332</v>
      </c>
      <c r="K293" s="13">
        <f>K292-('Konfigurasi Model'!$B$11*V292)</f>
        <v>-0.35634953012984905</v>
      </c>
      <c r="L293" s="13">
        <f>L292-('Konfigurasi Model'!$B$11*W292)</f>
        <v>0.94239193452088121</v>
      </c>
      <c r="M293" s="13">
        <f>M292-('Konfigurasi Model'!$B$11*X292)</f>
        <v>0.75227468568267497</v>
      </c>
      <c r="N293" s="13">
        <f t="shared" si="44"/>
        <v>2.652107251162295</v>
      </c>
      <c r="O293" s="13">
        <f t="shared" si="45"/>
        <v>0.93414075107334371</v>
      </c>
      <c r="P293" s="12">
        <f t="shared" si="46"/>
        <v>1</v>
      </c>
      <c r="Q293" s="13">
        <f t="shared" si="47"/>
        <v>-6.5859248926656289E-2</v>
      </c>
      <c r="R293" s="13">
        <f t="shared" si="48"/>
        <v>4.3374406691832779E-3</v>
      </c>
      <c r="T293" s="14">
        <f t="shared" si="49"/>
        <v>-8.1035601688938669E-3</v>
      </c>
      <c r="U293" s="14">
        <f t="shared" si="50"/>
        <v>-5.3483497114699519E-2</v>
      </c>
      <c r="V293" s="14">
        <f t="shared" si="51"/>
        <v>-2.3500324489792213E-2</v>
      </c>
      <c r="W293" s="14">
        <f t="shared" si="52"/>
        <v>-3.7276376776911785E-2</v>
      </c>
      <c r="X293" s="14">
        <f t="shared" si="53"/>
        <v>-1.0534628219562027E-2</v>
      </c>
      <c r="Y293" s="12">
        <f t="shared" si="54"/>
        <v>1</v>
      </c>
    </row>
    <row r="294" spans="1:25" x14ac:dyDescent="0.3">
      <c r="A294" s="23"/>
      <c r="B294" s="12">
        <v>50</v>
      </c>
      <c r="C294" s="12">
        <v>5.2</v>
      </c>
      <c r="D294" s="12">
        <v>2.7</v>
      </c>
      <c r="E294" s="12">
        <v>3.9</v>
      </c>
      <c r="F294" s="12">
        <v>1.4</v>
      </c>
      <c r="G294" s="12">
        <v>1</v>
      </c>
      <c r="I294" s="13">
        <f>I293-('Konfigurasi Model'!$B$11*T293)</f>
        <v>0.26841216865820805</v>
      </c>
      <c r="J294" s="13">
        <f>J293-('Konfigurasi Model'!$B$11*U293)</f>
        <v>-0.28177906154398336</v>
      </c>
      <c r="K294" s="13">
        <f>K293-('Konfigurasi Model'!$B$11*V293)</f>
        <v>-0.3539994976808698</v>
      </c>
      <c r="L294" s="13">
        <f>L293-('Konfigurasi Model'!$B$11*W293)</f>
        <v>0.94611957219857235</v>
      </c>
      <c r="M294" s="13">
        <f>M293-('Konfigurasi Model'!$B$11*X293)</f>
        <v>0.75332814850463115</v>
      </c>
      <c r="N294" s="13">
        <f t="shared" si="44"/>
        <v>2.5918881443720618</v>
      </c>
      <c r="O294" s="13">
        <f t="shared" si="45"/>
        <v>0.93033768624503932</v>
      </c>
      <c r="P294" s="12">
        <f t="shared" si="46"/>
        <v>1</v>
      </c>
      <c r="Q294" s="13">
        <f t="shared" si="47"/>
        <v>-6.9662313754960681E-2</v>
      </c>
      <c r="R294" s="13">
        <f t="shared" si="48"/>
        <v>4.8528379576945838E-3</v>
      </c>
      <c r="T294" s="14">
        <f t="shared" si="49"/>
        <v>-9.029556074567362E-3</v>
      </c>
      <c r="U294" s="14">
        <f t="shared" si="50"/>
        <v>-4.6953691587750285E-2</v>
      </c>
      <c r="V294" s="14">
        <f t="shared" si="51"/>
        <v>-2.437980140133188E-2</v>
      </c>
      <c r="W294" s="14">
        <f t="shared" si="52"/>
        <v>-3.5215268690812714E-2</v>
      </c>
      <c r="X294" s="14">
        <f t="shared" si="53"/>
        <v>-1.2641378504394306E-2</v>
      </c>
      <c r="Y294" s="12">
        <f t="shared" si="54"/>
        <v>1</v>
      </c>
    </row>
    <row r="295" spans="1:25" x14ac:dyDescent="0.3">
      <c r="A295" s="23"/>
      <c r="B295" s="12">
        <v>51</v>
      </c>
      <c r="C295" s="12">
        <v>5</v>
      </c>
      <c r="D295" s="12">
        <v>2</v>
      </c>
      <c r="E295" s="12">
        <v>3.5</v>
      </c>
      <c r="F295" s="12">
        <v>1</v>
      </c>
      <c r="G295" s="12">
        <v>1</v>
      </c>
      <c r="I295" s="13">
        <f>I294-('Konfigurasi Model'!$B$11*T294)</f>
        <v>0.26931512426566478</v>
      </c>
      <c r="J295" s="13">
        <f>J294-('Konfigurasi Model'!$B$11*U294)</f>
        <v>-0.2770836923852083</v>
      </c>
      <c r="K295" s="13">
        <f>K294-('Konfigurasi Model'!$B$11*V294)</f>
        <v>-0.35156151754073661</v>
      </c>
      <c r="L295" s="13">
        <f>L294-('Konfigurasi Model'!$B$11*W294)</f>
        <v>0.94964109906765359</v>
      </c>
      <c r="M295" s="13">
        <f>M294-('Konfigurasi Model'!$B$11*X294)</f>
        <v>0.75459228635507059</v>
      </c>
      <c r="N295" s="13">
        <f t="shared" si="44"/>
        <v>2.2591097603500083</v>
      </c>
      <c r="O295" s="13">
        <f t="shared" si="45"/>
        <v>0.90543343291654976</v>
      </c>
      <c r="P295" s="12">
        <f t="shared" si="46"/>
        <v>1</v>
      </c>
      <c r="Q295" s="13">
        <f t="shared" si="47"/>
        <v>-9.4566567083450237E-2</v>
      </c>
      <c r="R295" s="13">
        <f t="shared" si="48"/>
        <v>8.9428356099486937E-3</v>
      </c>
      <c r="T295" s="14">
        <f t="shared" si="49"/>
        <v>-1.6194284692648424E-2</v>
      </c>
      <c r="U295" s="14">
        <f t="shared" si="50"/>
        <v>-8.0971423463242126E-2</v>
      </c>
      <c r="V295" s="14">
        <f t="shared" si="51"/>
        <v>-3.2388569385296849E-2</v>
      </c>
      <c r="W295" s="14">
        <f t="shared" si="52"/>
        <v>-5.6679996424269484E-2</v>
      </c>
      <c r="X295" s="14">
        <f t="shared" si="53"/>
        <v>-1.6194284692648424E-2</v>
      </c>
      <c r="Y295" s="12">
        <f t="shared" si="54"/>
        <v>1</v>
      </c>
    </row>
    <row r="296" spans="1:25" x14ac:dyDescent="0.3">
      <c r="A296" s="23"/>
      <c r="B296" s="12">
        <v>52</v>
      </c>
      <c r="C296" s="12">
        <v>5.9</v>
      </c>
      <c r="D296" s="12">
        <v>3</v>
      </c>
      <c r="E296" s="12">
        <v>4.2</v>
      </c>
      <c r="F296" s="12">
        <v>1.5</v>
      </c>
      <c r="G296" s="12">
        <v>1</v>
      </c>
      <c r="I296" s="13">
        <f>I295-('Konfigurasi Model'!$B$11*T295)</f>
        <v>0.27093455273492961</v>
      </c>
      <c r="J296" s="13">
        <f>J295-('Konfigurasi Model'!$B$11*U295)</f>
        <v>-0.26898655003888411</v>
      </c>
      <c r="K296" s="13">
        <f>K295-('Konfigurasi Model'!$B$11*V295)</f>
        <v>-0.3483226606022069</v>
      </c>
      <c r="L296" s="13">
        <f>L295-('Konfigurasi Model'!$B$11*W295)</f>
        <v>0.95530909871008052</v>
      </c>
      <c r="M296" s="13">
        <f>M295-('Konfigurasi Model'!$B$11*X295)</f>
        <v>0.75621171482433547</v>
      </c>
      <c r="N296" s="13">
        <f t="shared" si="44"/>
        <v>2.7855617125177337</v>
      </c>
      <c r="O296" s="13">
        <f t="shared" si="45"/>
        <v>0.94189060116883061</v>
      </c>
      <c r="P296" s="12">
        <f t="shared" si="46"/>
        <v>1</v>
      </c>
      <c r="Q296" s="13">
        <f t="shared" si="47"/>
        <v>-5.810939883116939E-2</v>
      </c>
      <c r="R296" s="13">
        <f t="shared" si="48"/>
        <v>3.3767022325199105E-3</v>
      </c>
      <c r="T296" s="14">
        <f t="shared" si="49"/>
        <v>-6.3609681915126216E-3</v>
      </c>
      <c r="U296" s="14">
        <f t="shared" si="50"/>
        <v>-3.7529712329924469E-2</v>
      </c>
      <c r="V296" s="14">
        <f t="shared" si="51"/>
        <v>-1.9082904574537866E-2</v>
      </c>
      <c r="W296" s="14">
        <f t="shared" si="52"/>
        <v>-2.6716066404353013E-2</v>
      </c>
      <c r="X296" s="14">
        <f t="shared" si="53"/>
        <v>-9.5414522872689332E-3</v>
      </c>
      <c r="Y296" s="12">
        <f t="shared" si="54"/>
        <v>1</v>
      </c>
    </row>
    <row r="297" spans="1:25" x14ac:dyDescent="0.3">
      <c r="A297" s="23"/>
      <c r="B297" s="12">
        <v>53</v>
      </c>
      <c r="C297" s="12">
        <v>6</v>
      </c>
      <c r="D297" s="12">
        <v>2.2000000000000002</v>
      </c>
      <c r="E297" s="12">
        <v>4</v>
      </c>
      <c r="F297" s="12">
        <v>1</v>
      </c>
      <c r="G297" s="12">
        <v>1</v>
      </c>
      <c r="I297" s="13">
        <f>I296-('Konfigurasi Model'!$B$11*T296)</f>
        <v>0.27157064955408089</v>
      </c>
      <c r="J297" s="13">
        <f>J296-('Konfigurasi Model'!$B$11*U296)</f>
        <v>-0.26523357880589166</v>
      </c>
      <c r="K297" s="13">
        <f>K296-('Konfigurasi Model'!$B$11*V296)</f>
        <v>-0.34641437014475313</v>
      </c>
      <c r="L297" s="13">
        <f>L296-('Konfigurasi Model'!$B$11*W296)</f>
        <v>0.95798070535051583</v>
      </c>
      <c r="M297" s="13">
        <f>M296-('Konfigurasi Model'!$B$11*X296)</f>
        <v>0.75716586005306241</v>
      </c>
      <c r="N297" s="13">
        <f t="shared" si="44"/>
        <v>2.5071462438553995</v>
      </c>
      <c r="O297" s="13">
        <f t="shared" si="45"/>
        <v>0.92464128222628272</v>
      </c>
      <c r="P297" s="12">
        <f t="shared" si="46"/>
        <v>1</v>
      </c>
      <c r="Q297" s="13">
        <f t="shared" si="47"/>
        <v>-7.5358717773717276E-2</v>
      </c>
      <c r="R297" s="13">
        <f t="shared" si="48"/>
        <v>5.6789363444987723E-3</v>
      </c>
      <c r="T297" s="14">
        <f t="shared" si="49"/>
        <v>-1.0501957966517567E-2</v>
      </c>
      <c r="U297" s="14">
        <f t="shared" si="50"/>
        <v>-6.30117477991054E-2</v>
      </c>
      <c r="V297" s="14">
        <f t="shared" si="51"/>
        <v>-2.3104307526338647E-2</v>
      </c>
      <c r="W297" s="14">
        <f t="shared" si="52"/>
        <v>-4.2007831866070267E-2</v>
      </c>
      <c r="X297" s="14">
        <f t="shared" si="53"/>
        <v>-1.0501957966517567E-2</v>
      </c>
      <c r="Y297" s="12">
        <f t="shared" si="54"/>
        <v>1</v>
      </c>
    </row>
    <row r="298" spans="1:25" x14ac:dyDescent="0.3">
      <c r="A298" s="23"/>
      <c r="B298" s="12">
        <v>54</v>
      </c>
      <c r="C298" s="12">
        <v>6.1</v>
      </c>
      <c r="D298" s="12">
        <v>2.9</v>
      </c>
      <c r="E298" s="12">
        <v>4.7</v>
      </c>
      <c r="F298" s="12">
        <v>1.4</v>
      </c>
      <c r="G298" s="12">
        <v>1</v>
      </c>
      <c r="I298" s="13">
        <f>I297-('Konfigurasi Model'!$B$11*T297)</f>
        <v>0.27262084535073267</v>
      </c>
      <c r="J298" s="13">
        <f>J297-('Konfigurasi Model'!$B$11*U297)</f>
        <v>-0.25893240402598111</v>
      </c>
      <c r="K298" s="13">
        <f>K297-('Konfigurasi Model'!$B$11*V297)</f>
        <v>-0.34410393939211925</v>
      </c>
      <c r="L298" s="13">
        <f>L297-('Konfigurasi Model'!$B$11*W297)</f>
        <v>0.96218148853712282</v>
      </c>
      <c r="M298" s="13">
        <f>M297-('Konfigurasi Model'!$B$11*X297)</f>
        <v>0.75821605584971419</v>
      </c>
      <c r="N298" s="13">
        <f t="shared" si="44"/>
        <v>3.2789872308691788</v>
      </c>
      <c r="O298" s="13">
        <f t="shared" si="45"/>
        <v>0.96370087207381605</v>
      </c>
      <c r="P298" s="12">
        <f t="shared" si="46"/>
        <v>1</v>
      </c>
      <c r="Q298" s="13">
        <f t="shared" si="47"/>
        <v>-3.6299127926183949E-2</v>
      </c>
      <c r="R298" s="13">
        <f t="shared" si="48"/>
        <v>1.3176266882014675E-3</v>
      </c>
      <c r="T298" s="14">
        <f t="shared" si="49"/>
        <v>-2.5395959769749766E-3</v>
      </c>
      <c r="U298" s="14">
        <f t="shared" si="50"/>
        <v>-1.5491535459547356E-2</v>
      </c>
      <c r="V298" s="14">
        <f t="shared" si="51"/>
        <v>-7.3648283332274321E-3</v>
      </c>
      <c r="W298" s="14">
        <f t="shared" si="52"/>
        <v>-1.193610109178239E-2</v>
      </c>
      <c r="X298" s="14">
        <f t="shared" si="53"/>
        <v>-3.555434367764967E-3</v>
      </c>
      <c r="Y298" s="12">
        <f t="shared" si="54"/>
        <v>1</v>
      </c>
    </row>
    <row r="299" spans="1:25" x14ac:dyDescent="0.3">
      <c r="A299" s="23"/>
      <c r="B299" s="12">
        <v>55</v>
      </c>
      <c r="C299" s="12">
        <v>5.6</v>
      </c>
      <c r="D299" s="12">
        <v>2.9</v>
      </c>
      <c r="E299" s="12">
        <v>3.6</v>
      </c>
      <c r="F299" s="12">
        <v>1.3</v>
      </c>
      <c r="G299" s="12">
        <v>1</v>
      </c>
      <c r="I299" s="13">
        <f>I298-('Konfigurasi Model'!$B$11*T298)</f>
        <v>0.27287480494843014</v>
      </c>
      <c r="J299" s="13">
        <f>J298-('Konfigurasi Model'!$B$11*U298)</f>
        <v>-0.25738325048002636</v>
      </c>
      <c r="K299" s="13">
        <f>K298-('Konfigurasi Model'!$B$11*V298)</f>
        <v>-0.34336745655879652</v>
      </c>
      <c r="L299" s="13">
        <f>L298-('Konfigurasi Model'!$B$11*W298)</f>
        <v>0.96337509864630111</v>
      </c>
      <c r="M299" s="13">
        <f>M298-('Konfigurasi Model'!$B$11*X298)</f>
        <v>0.75857159928649065</v>
      </c>
      <c r="N299" s="13">
        <f t="shared" si="44"/>
        <v>2.2900564124388945</v>
      </c>
      <c r="O299" s="13">
        <f t="shared" si="45"/>
        <v>0.90805016033776575</v>
      </c>
      <c r="P299" s="12">
        <f t="shared" si="46"/>
        <v>1</v>
      </c>
      <c r="Q299" s="13">
        <f t="shared" si="47"/>
        <v>-9.1949839662234245E-2</v>
      </c>
      <c r="R299" s="13">
        <f t="shared" si="48"/>
        <v>8.4547730139105867E-3</v>
      </c>
      <c r="T299" s="14">
        <f t="shared" si="49"/>
        <v>-1.5354715981801846E-2</v>
      </c>
      <c r="U299" s="14">
        <f t="shared" si="50"/>
        <v>-8.5986409498090333E-2</v>
      </c>
      <c r="V299" s="14">
        <f t="shared" si="51"/>
        <v>-4.4528676347225356E-2</v>
      </c>
      <c r="W299" s="14">
        <f t="shared" si="52"/>
        <v>-5.5276977534486647E-2</v>
      </c>
      <c r="X299" s="14">
        <f t="shared" si="53"/>
        <v>-1.9961130776342401E-2</v>
      </c>
      <c r="Y299" s="12">
        <f t="shared" si="54"/>
        <v>1</v>
      </c>
    </row>
    <row r="300" spans="1:25" x14ac:dyDescent="0.3">
      <c r="A300" s="23"/>
      <c r="B300" s="12">
        <v>56</v>
      </c>
      <c r="C300" s="12">
        <v>6.7</v>
      </c>
      <c r="D300" s="12">
        <v>3.1</v>
      </c>
      <c r="E300" s="12">
        <v>4.4000000000000004</v>
      </c>
      <c r="F300" s="12">
        <v>1.4</v>
      </c>
      <c r="G300" s="12">
        <v>1</v>
      </c>
      <c r="I300" s="13">
        <f>I299-('Konfigurasi Model'!$B$11*T299)</f>
        <v>0.27441027654661032</v>
      </c>
      <c r="J300" s="13">
        <f>J299-('Konfigurasi Model'!$B$11*U299)</f>
        <v>-0.24878460953021733</v>
      </c>
      <c r="K300" s="13">
        <f>K299-('Konfigurasi Model'!$B$11*V299)</f>
        <v>-0.338914588924074</v>
      </c>
      <c r="L300" s="13">
        <f>L299-('Konfigurasi Model'!$B$11*W299)</f>
        <v>0.96890279639974974</v>
      </c>
      <c r="M300" s="13">
        <f>M299-('Konfigurasi Model'!$B$11*X299)</f>
        <v>0.7605677123641249</v>
      </c>
      <c r="N300" s="13">
        <f t="shared" si="44"/>
        <v>2.8848852684981985</v>
      </c>
      <c r="O300" s="13">
        <f t="shared" si="45"/>
        <v>0.94709418406244184</v>
      </c>
      <c r="P300" s="12">
        <f t="shared" si="46"/>
        <v>1</v>
      </c>
      <c r="Q300" s="13">
        <f t="shared" si="47"/>
        <v>-5.2905815937558165E-2</v>
      </c>
      <c r="R300" s="13">
        <f t="shared" si="48"/>
        <v>2.7990253600187836E-3</v>
      </c>
      <c r="T300" s="14">
        <f t="shared" si="49"/>
        <v>-5.3018812790341444E-3</v>
      </c>
      <c r="U300" s="14">
        <f t="shared" si="50"/>
        <v>-3.5522604569528771E-2</v>
      </c>
      <c r="V300" s="14">
        <f t="shared" si="51"/>
        <v>-1.6435831965005848E-2</v>
      </c>
      <c r="W300" s="14">
        <f t="shared" si="52"/>
        <v>-2.3328277627750239E-2</v>
      </c>
      <c r="X300" s="14">
        <f t="shared" si="53"/>
        <v>-7.4226337906478012E-3</v>
      </c>
      <c r="Y300" s="12">
        <f t="shared" si="54"/>
        <v>1</v>
      </c>
    </row>
    <row r="301" spans="1:25" x14ac:dyDescent="0.3">
      <c r="A301" s="23"/>
      <c r="B301" s="12">
        <v>57</v>
      </c>
      <c r="C301" s="12">
        <v>5.6</v>
      </c>
      <c r="D301" s="12">
        <v>3</v>
      </c>
      <c r="E301" s="12">
        <v>4.5</v>
      </c>
      <c r="F301" s="12">
        <v>1.5</v>
      </c>
      <c r="G301" s="12">
        <v>1</v>
      </c>
      <c r="I301" s="13">
        <f>I300-('Konfigurasi Model'!$B$11*T300)</f>
        <v>0.27494046467451372</v>
      </c>
      <c r="J301" s="13">
        <f>J300-('Konfigurasi Model'!$B$11*U300)</f>
        <v>-0.24523234907326447</v>
      </c>
      <c r="K301" s="13">
        <f>K300-('Konfigurasi Model'!$B$11*V300)</f>
        <v>-0.3372710057275734</v>
      </c>
      <c r="L301" s="13">
        <f>L300-('Konfigurasi Model'!$B$11*W300)</f>
        <v>0.97123562416252474</v>
      </c>
      <c r="M301" s="13">
        <f>M300-('Konfigurasi Model'!$B$11*X300)</f>
        <v>0.7613099757431897</v>
      </c>
      <c r="N301" s="13">
        <f t="shared" si="44"/>
        <v>3.4023515650276588</v>
      </c>
      <c r="O301" s="13">
        <f t="shared" si="45"/>
        <v>0.96777794673703432</v>
      </c>
      <c r="P301" s="12">
        <f t="shared" si="46"/>
        <v>1</v>
      </c>
      <c r="Q301" s="13">
        <f t="shared" si="47"/>
        <v>-3.2222053262965678E-2</v>
      </c>
      <c r="R301" s="13">
        <f t="shared" si="48"/>
        <v>1.038260716481397E-3</v>
      </c>
      <c r="T301" s="14">
        <f t="shared" si="49"/>
        <v>-2.0096116487481773E-3</v>
      </c>
      <c r="U301" s="14">
        <f t="shared" si="50"/>
        <v>-1.1253825232989793E-2</v>
      </c>
      <c r="V301" s="14">
        <f t="shared" si="51"/>
        <v>-6.0288349462445318E-3</v>
      </c>
      <c r="W301" s="14">
        <f t="shared" si="52"/>
        <v>-9.0432524193667981E-3</v>
      </c>
      <c r="X301" s="14">
        <f t="shared" si="53"/>
        <v>-3.0144174731222659E-3</v>
      </c>
      <c r="Y301" s="12">
        <f t="shared" si="54"/>
        <v>1</v>
      </c>
    </row>
    <row r="302" spans="1:25" x14ac:dyDescent="0.3">
      <c r="A302" s="23"/>
      <c r="B302" s="12">
        <v>58</v>
      </c>
      <c r="C302" s="12">
        <v>5.8</v>
      </c>
      <c r="D302" s="12">
        <v>2.7</v>
      </c>
      <c r="E302" s="12">
        <v>4.0999999999999996</v>
      </c>
      <c r="F302" s="12">
        <v>1</v>
      </c>
      <c r="G302" s="12">
        <v>1</v>
      </c>
      <c r="I302" s="13">
        <f>I301-('Konfigurasi Model'!$B$11*T301)</f>
        <v>0.27514142583938855</v>
      </c>
      <c r="J302" s="13">
        <f>J301-('Konfigurasi Model'!$B$11*U301)</f>
        <v>-0.2441069665499655</v>
      </c>
      <c r="K302" s="13">
        <f>K301-('Konfigurasi Model'!$B$11*V301)</f>
        <v>-0.33666812223294895</v>
      </c>
      <c r="L302" s="13">
        <f>L301-('Konfigurasi Model'!$B$11*W301)</f>
        <v>0.97213994940446147</v>
      </c>
      <c r="M302" s="13">
        <f>M301-('Konfigurasi Model'!$B$11*X301)</f>
        <v>0.76161141749050199</v>
      </c>
      <c r="N302" s="13">
        <f t="shared" si="44"/>
        <v>2.69770229986942</v>
      </c>
      <c r="O302" s="13">
        <f t="shared" si="45"/>
        <v>0.93689092569171306</v>
      </c>
      <c r="P302" s="12">
        <f t="shared" si="46"/>
        <v>1</v>
      </c>
      <c r="Q302" s="13">
        <f t="shared" si="47"/>
        <v>-6.3109074308286939E-2</v>
      </c>
      <c r="R302" s="13">
        <f t="shared" si="48"/>
        <v>3.9827552600488828E-3</v>
      </c>
      <c r="T302" s="14">
        <f t="shared" si="49"/>
        <v>-7.4628145247814743E-3</v>
      </c>
      <c r="U302" s="14">
        <f t="shared" si="50"/>
        <v>-4.3284324243732547E-2</v>
      </c>
      <c r="V302" s="14">
        <f t="shared" si="51"/>
        <v>-2.014959921690998E-2</v>
      </c>
      <c r="W302" s="14">
        <f t="shared" si="52"/>
        <v>-3.059753955160404E-2</v>
      </c>
      <c r="X302" s="14">
        <f t="shared" si="53"/>
        <v>-7.4628145247814743E-3</v>
      </c>
      <c r="Y302" s="12">
        <f t="shared" si="54"/>
        <v>1</v>
      </c>
    </row>
    <row r="303" spans="1:25" x14ac:dyDescent="0.3">
      <c r="A303" s="23"/>
      <c r="B303" s="12">
        <v>59</v>
      </c>
      <c r="C303" s="12">
        <v>6.2</v>
      </c>
      <c r="D303" s="12">
        <v>2.2000000000000002</v>
      </c>
      <c r="E303" s="12">
        <v>4.5</v>
      </c>
      <c r="F303" s="12">
        <v>1.5</v>
      </c>
      <c r="G303" s="12">
        <v>1</v>
      </c>
      <c r="I303" s="13">
        <f>I302-('Konfigurasi Model'!$B$11*T302)</f>
        <v>0.27588770729186668</v>
      </c>
      <c r="J303" s="13">
        <f>J302-('Konfigurasi Model'!$B$11*U302)</f>
        <v>-0.23977853412559225</v>
      </c>
      <c r="K303" s="13">
        <f>K302-('Konfigurasi Model'!$B$11*V302)</f>
        <v>-0.33465316231125797</v>
      </c>
      <c r="L303" s="13">
        <f>L302-('Konfigurasi Model'!$B$11*W302)</f>
        <v>0.97519970335962192</v>
      </c>
      <c r="M303" s="13">
        <f>M302-('Konfigurasi Model'!$B$11*X302)</f>
        <v>0.76235769894298011</v>
      </c>
      <c r="N303" s="13">
        <f t="shared" si="44"/>
        <v>3.5849590521611958</v>
      </c>
      <c r="O303" s="13">
        <f t="shared" si="45"/>
        <v>0.97301081723568461</v>
      </c>
      <c r="P303" s="12">
        <f t="shared" si="46"/>
        <v>1</v>
      </c>
      <c r="Q303" s="13">
        <f t="shared" si="47"/>
        <v>-2.6989182764315389E-2</v>
      </c>
      <c r="R303" s="13">
        <f t="shared" si="48"/>
        <v>7.2841598628561887E-4</v>
      </c>
      <c r="T303" s="14">
        <f t="shared" si="49"/>
        <v>-1.4175132682066145E-3</v>
      </c>
      <c r="U303" s="14">
        <f t="shared" si="50"/>
        <v>-8.78858226288101E-3</v>
      </c>
      <c r="V303" s="14">
        <f t="shared" si="51"/>
        <v>-3.118529190054552E-3</v>
      </c>
      <c r="W303" s="14">
        <f t="shared" si="52"/>
        <v>-6.3788097069297656E-3</v>
      </c>
      <c r="X303" s="14">
        <f t="shared" si="53"/>
        <v>-2.1262699023099217E-3</v>
      </c>
      <c r="Y303" s="12">
        <f t="shared" si="54"/>
        <v>1</v>
      </c>
    </row>
    <row r="304" spans="1:25" x14ac:dyDescent="0.3">
      <c r="A304" s="23"/>
      <c r="B304" s="12">
        <v>60</v>
      </c>
      <c r="C304" s="12">
        <v>5.6</v>
      </c>
      <c r="D304" s="12">
        <v>2.5</v>
      </c>
      <c r="E304" s="12">
        <v>3.9</v>
      </c>
      <c r="F304" s="12">
        <v>1.1000000000000001</v>
      </c>
      <c r="G304" s="12">
        <v>1</v>
      </c>
      <c r="I304" s="13">
        <f>I303-('Konfigurasi Model'!$B$11*T303)</f>
        <v>0.27602945861868733</v>
      </c>
      <c r="J304" s="13">
        <f>J303-('Konfigurasi Model'!$B$11*U303)</f>
        <v>-0.23889967589930414</v>
      </c>
      <c r="K304" s="13">
        <f>K303-('Konfigurasi Model'!$B$11*V303)</f>
        <v>-0.33434130939225254</v>
      </c>
      <c r="L304" s="13">
        <f>L303-('Konfigurasi Model'!$B$11*W303)</f>
        <v>0.97583758433031487</v>
      </c>
      <c r="M304" s="13">
        <f>M303-('Konfigurasi Model'!$B$11*X303)</f>
        <v>0.76257032593321106</v>
      </c>
      <c r="N304" s="13">
        <f t="shared" si="44"/>
        <v>2.7469319375167127</v>
      </c>
      <c r="O304" s="13">
        <f t="shared" si="45"/>
        <v>0.9397398431359073</v>
      </c>
      <c r="P304" s="12">
        <f t="shared" si="46"/>
        <v>1</v>
      </c>
      <c r="Q304" s="13">
        <f t="shared" si="47"/>
        <v>-6.0260156864092695E-2</v>
      </c>
      <c r="R304" s="13">
        <f t="shared" si="48"/>
        <v>3.6312865052850582E-3</v>
      </c>
      <c r="T304" s="14">
        <f t="shared" si="49"/>
        <v>-6.8249292217162352E-3</v>
      </c>
      <c r="U304" s="14">
        <f t="shared" si="50"/>
        <v>-3.8219603641610915E-2</v>
      </c>
      <c r="V304" s="14">
        <f t="shared" si="51"/>
        <v>-1.7062323054290587E-2</v>
      </c>
      <c r="W304" s="14">
        <f t="shared" si="52"/>
        <v>-2.6617223964693317E-2</v>
      </c>
      <c r="X304" s="14">
        <f t="shared" si="53"/>
        <v>-7.5074221438878597E-3</v>
      </c>
      <c r="Y304" s="12">
        <f t="shared" si="54"/>
        <v>1</v>
      </c>
    </row>
    <row r="305" spans="1:25" x14ac:dyDescent="0.3">
      <c r="A305" s="23"/>
      <c r="B305" s="12">
        <v>61</v>
      </c>
      <c r="C305" s="12">
        <v>5.9</v>
      </c>
      <c r="D305" s="12">
        <v>3.2</v>
      </c>
      <c r="E305" s="12">
        <v>4.8</v>
      </c>
      <c r="F305" s="12">
        <v>1.8</v>
      </c>
      <c r="G305" s="12">
        <v>1</v>
      </c>
      <c r="I305" s="13">
        <f>I304-('Konfigurasi Model'!$B$11*T304)</f>
        <v>0.27671195154085892</v>
      </c>
      <c r="J305" s="13">
        <f>J304-('Konfigurasi Model'!$B$11*U304)</f>
        <v>-0.23507771553514303</v>
      </c>
      <c r="K305" s="13">
        <f>K304-('Konfigurasi Model'!$B$11*V304)</f>
        <v>-0.33263507708682349</v>
      </c>
      <c r="L305" s="13">
        <f>L304-('Konfigurasi Model'!$B$11*W304)</f>
        <v>0.9784993067267842</v>
      </c>
      <c r="M305" s="13">
        <f>M304-('Konfigurasi Model'!$B$11*X304)</f>
        <v>0.76332106814759981</v>
      </c>
      <c r="N305" s="13">
        <f t="shared" si="44"/>
        <v>3.8960957781599239</v>
      </c>
      <c r="O305" s="13">
        <f t="shared" si="45"/>
        <v>0.98008362765835066</v>
      </c>
      <c r="P305" s="12">
        <f t="shared" si="46"/>
        <v>1</v>
      </c>
      <c r="Q305" s="13">
        <f t="shared" si="47"/>
        <v>-1.9916372341649335E-2</v>
      </c>
      <c r="R305" s="13">
        <f t="shared" si="48"/>
        <v>3.9666188725121464E-4</v>
      </c>
      <c r="T305" s="14">
        <f t="shared" si="49"/>
        <v>-7.7752364282195627E-4</v>
      </c>
      <c r="U305" s="14">
        <f t="shared" si="50"/>
        <v>-4.5873894926495426E-3</v>
      </c>
      <c r="V305" s="14">
        <f t="shared" si="51"/>
        <v>-2.4880756570302602E-3</v>
      </c>
      <c r="W305" s="14">
        <f t="shared" si="52"/>
        <v>-3.7321134855453899E-3</v>
      </c>
      <c r="X305" s="14">
        <f t="shared" si="53"/>
        <v>-1.3995425570795213E-3</v>
      </c>
      <c r="Y305" s="12">
        <f t="shared" si="54"/>
        <v>1</v>
      </c>
    </row>
    <row r="306" spans="1:25" x14ac:dyDescent="0.3">
      <c r="A306" s="23"/>
      <c r="B306" s="12">
        <v>62</v>
      </c>
      <c r="C306" s="12">
        <v>6.1</v>
      </c>
      <c r="D306" s="12">
        <v>2.8</v>
      </c>
      <c r="E306" s="12">
        <v>4</v>
      </c>
      <c r="F306" s="12">
        <v>1.3</v>
      </c>
      <c r="G306" s="12">
        <v>1</v>
      </c>
      <c r="I306" s="13">
        <f>I305-('Konfigurasi Model'!$B$11*T305)</f>
        <v>0.27678970390514113</v>
      </c>
      <c r="J306" s="13">
        <f>J305-('Konfigurasi Model'!$B$11*U305)</f>
        <v>-0.23461897658587808</v>
      </c>
      <c r="K306" s="13">
        <f>K305-('Konfigurasi Model'!$B$11*V305)</f>
        <v>-0.33238626952112049</v>
      </c>
      <c r="L306" s="13">
        <f>L305-('Konfigurasi Model'!$B$11*W305)</f>
        <v>0.9788725180753387</v>
      </c>
      <c r="M306" s="13">
        <f>M305-('Konfigurasi Model'!$B$11*X305)</f>
        <v>0.76346102240330771</v>
      </c>
      <c r="N306" s="13">
        <f t="shared" si="44"/>
        <v>2.8229217934978026</v>
      </c>
      <c r="O306" s="13">
        <f t="shared" si="45"/>
        <v>0.94390197922042407</v>
      </c>
      <c r="P306" s="12">
        <f t="shared" si="46"/>
        <v>1</v>
      </c>
      <c r="Q306" s="13">
        <f t="shared" si="47"/>
        <v>-5.609802077957593E-2</v>
      </c>
      <c r="R306" s="13">
        <f t="shared" si="48"/>
        <v>3.1469879353857328E-3</v>
      </c>
      <c r="T306" s="14">
        <f t="shared" si="49"/>
        <v>-5.9408962815867784E-3</v>
      </c>
      <c r="U306" s="14">
        <f t="shared" si="50"/>
        <v>-3.6239467317679346E-2</v>
      </c>
      <c r="V306" s="14">
        <f t="shared" si="51"/>
        <v>-1.6634509588442977E-2</v>
      </c>
      <c r="W306" s="14">
        <f t="shared" si="52"/>
        <v>-2.3763585126347114E-2</v>
      </c>
      <c r="X306" s="14">
        <f t="shared" si="53"/>
        <v>-7.7231651660628125E-3</v>
      </c>
      <c r="Y306" s="12">
        <f t="shared" si="54"/>
        <v>1</v>
      </c>
    </row>
    <row r="307" spans="1:25" x14ac:dyDescent="0.3">
      <c r="A307" s="23"/>
      <c r="B307" s="12">
        <v>63</v>
      </c>
      <c r="C307" s="12">
        <v>6.3</v>
      </c>
      <c r="D307" s="12">
        <v>2.5</v>
      </c>
      <c r="E307" s="12">
        <v>4.9000000000000004</v>
      </c>
      <c r="F307" s="12">
        <v>1.5</v>
      </c>
      <c r="G307" s="12">
        <v>1</v>
      </c>
      <c r="I307" s="13">
        <f>I306-('Konfigurasi Model'!$B$11*T306)</f>
        <v>0.27738379353329978</v>
      </c>
      <c r="J307" s="13">
        <f>J306-('Konfigurasi Model'!$B$11*U306)</f>
        <v>-0.23099502985411013</v>
      </c>
      <c r="K307" s="13">
        <f>K306-('Konfigurasi Model'!$B$11*V306)</f>
        <v>-0.3307228185622762</v>
      </c>
      <c r="L307" s="13">
        <f>L306-('Konfigurasi Model'!$B$11*W306)</f>
        <v>0.98124887658797344</v>
      </c>
      <c r="M307" s="13">
        <f>M306-('Konfigurasi Model'!$B$11*X306)</f>
        <v>0.76423333891991396</v>
      </c>
      <c r="N307" s="13">
        <f t="shared" si="44"/>
        <v>3.9497775627076566</v>
      </c>
      <c r="O307" s="13">
        <f t="shared" si="45"/>
        <v>0.98110491494816343</v>
      </c>
      <c r="P307" s="12">
        <f t="shared" si="46"/>
        <v>1</v>
      </c>
      <c r="Q307" s="13">
        <f t="shared" si="47"/>
        <v>-1.8895085051836569E-2</v>
      </c>
      <c r="R307" s="13">
        <f t="shared" si="48"/>
        <v>3.5702423911613775E-4</v>
      </c>
      <c r="T307" s="14">
        <f t="shared" si="49"/>
        <v>-7.0055647150494215E-4</v>
      </c>
      <c r="U307" s="14">
        <f t="shared" si="50"/>
        <v>-4.4135057704811353E-3</v>
      </c>
      <c r="V307" s="14">
        <f t="shared" si="51"/>
        <v>-1.7513911787623553E-3</v>
      </c>
      <c r="W307" s="14">
        <f t="shared" si="52"/>
        <v>-3.4327267103742166E-3</v>
      </c>
      <c r="X307" s="14">
        <f t="shared" si="53"/>
        <v>-1.0508347072574133E-3</v>
      </c>
      <c r="Y307" s="12">
        <f t="shared" si="54"/>
        <v>1</v>
      </c>
    </row>
    <row r="308" spans="1:25" x14ac:dyDescent="0.3">
      <c r="A308" s="23"/>
      <c r="B308" s="12">
        <v>64</v>
      </c>
      <c r="C308" s="12">
        <v>6.1</v>
      </c>
      <c r="D308" s="12">
        <v>2.8</v>
      </c>
      <c r="E308" s="12">
        <v>4.7</v>
      </c>
      <c r="F308" s="12">
        <v>1.2</v>
      </c>
      <c r="G308" s="12">
        <v>1</v>
      </c>
      <c r="I308" s="13">
        <f>I307-('Konfigurasi Model'!$B$11*T307)</f>
        <v>0.2774538491804503</v>
      </c>
      <c r="J308" s="13">
        <f>J307-('Konfigurasi Model'!$B$11*U307)</f>
        <v>-0.23055367927706202</v>
      </c>
      <c r="K308" s="13">
        <f>K307-('Konfigurasi Model'!$B$11*V307)</f>
        <v>-0.33054767944439994</v>
      </c>
      <c r="L308" s="13">
        <f>L307-('Konfigurasi Model'!$B$11*W307)</f>
        <v>0.98159214925901084</v>
      </c>
      <c r="M308" s="13">
        <f>M307-('Konfigurasi Model'!$B$11*X307)</f>
        <v>0.76433842239063965</v>
      </c>
      <c r="N308" s="13">
        <f t="shared" si="44"/>
        <v>3.4762321115321715</v>
      </c>
      <c r="O308" s="13">
        <f t="shared" si="45"/>
        <v>0.97000388232792034</v>
      </c>
      <c r="P308" s="12">
        <f t="shared" si="46"/>
        <v>1</v>
      </c>
      <c r="Q308" s="13">
        <f t="shared" si="47"/>
        <v>-2.9996117672079659E-2</v>
      </c>
      <c r="R308" s="13">
        <f t="shared" si="48"/>
        <v>8.9976707539724963E-4</v>
      </c>
      <c r="T308" s="14">
        <f t="shared" si="49"/>
        <v>-1.7455551126523414E-3</v>
      </c>
      <c r="U308" s="14">
        <f t="shared" si="50"/>
        <v>-1.0647886187179281E-2</v>
      </c>
      <c r="V308" s="14">
        <f t="shared" si="51"/>
        <v>-4.8875543154265561E-3</v>
      </c>
      <c r="W308" s="14">
        <f t="shared" si="52"/>
        <v>-8.2041090294660054E-3</v>
      </c>
      <c r="X308" s="14">
        <f t="shared" si="53"/>
        <v>-2.0946661351828096E-3</v>
      </c>
      <c r="Y308" s="12">
        <f t="shared" si="54"/>
        <v>1</v>
      </c>
    </row>
    <row r="309" spans="1:25" x14ac:dyDescent="0.3">
      <c r="A309" s="23"/>
      <c r="B309" s="12">
        <v>65</v>
      </c>
      <c r="C309" s="12">
        <v>6.4</v>
      </c>
      <c r="D309" s="12">
        <v>2.9</v>
      </c>
      <c r="E309" s="12">
        <v>4.3</v>
      </c>
      <c r="F309" s="12">
        <v>1.3</v>
      </c>
      <c r="G309" s="12">
        <v>1</v>
      </c>
      <c r="I309" s="13">
        <f>I308-('Konfigurasi Model'!$B$11*T308)</f>
        <v>0.27762840469171551</v>
      </c>
      <c r="J309" s="13">
        <f>J308-('Konfigurasi Model'!$B$11*U308)</f>
        <v>-0.2294888906583441</v>
      </c>
      <c r="K309" s="13">
        <f>K308-('Konfigurasi Model'!$B$11*V308)</f>
        <v>-0.3300589240128573</v>
      </c>
      <c r="L309" s="13">
        <f>L308-('Konfigurasi Model'!$B$11*W308)</f>
        <v>0.98241256016195744</v>
      </c>
      <c r="M309" s="13">
        <f>M308-('Konfigurasi Model'!$B$11*X308)</f>
        <v>0.76454788900415793</v>
      </c>
      <c r="N309" s="13">
        <f t="shared" si="44"/>
        <v>3.0700148892428492</v>
      </c>
      <c r="O309" s="13">
        <f t="shared" si="45"/>
        <v>0.95563880361897646</v>
      </c>
      <c r="P309" s="12">
        <f t="shared" si="46"/>
        <v>1</v>
      </c>
      <c r="Q309" s="13">
        <f t="shared" si="47"/>
        <v>-4.4361196381023538E-2</v>
      </c>
      <c r="R309" s="13">
        <f t="shared" si="48"/>
        <v>1.9679157443557357E-3</v>
      </c>
      <c r="T309" s="14">
        <f t="shared" si="49"/>
        <v>-3.7612332951181254E-3</v>
      </c>
      <c r="U309" s="14">
        <f t="shared" si="50"/>
        <v>-2.4071893088756003E-2</v>
      </c>
      <c r="V309" s="14">
        <f t="shared" si="51"/>
        <v>-1.0907576555842563E-2</v>
      </c>
      <c r="W309" s="14">
        <f t="shared" si="52"/>
        <v>-1.617330316900794E-2</v>
      </c>
      <c r="X309" s="14">
        <f t="shared" si="53"/>
        <v>-4.8896032836535635E-3</v>
      </c>
      <c r="Y309" s="12">
        <f t="shared" si="54"/>
        <v>1</v>
      </c>
    </row>
    <row r="310" spans="1:25" x14ac:dyDescent="0.3">
      <c r="A310" s="23"/>
      <c r="B310" s="12">
        <v>66</v>
      </c>
      <c r="C310" s="12">
        <v>6.6</v>
      </c>
      <c r="D310" s="12">
        <v>3</v>
      </c>
      <c r="E310" s="12">
        <v>4.4000000000000004</v>
      </c>
      <c r="F310" s="12">
        <v>1.4</v>
      </c>
      <c r="G310" s="12">
        <v>1</v>
      </c>
      <c r="I310" s="13">
        <f>I309-('Konfigurasi Model'!$B$11*T309)</f>
        <v>0.27800452802122733</v>
      </c>
      <c r="J310" s="13">
        <f>J309-('Konfigurasi Model'!$B$11*U309)</f>
        <v>-0.22708170134946851</v>
      </c>
      <c r="K310" s="13">
        <f>K309-('Konfigurasi Model'!$B$11*V309)</f>
        <v>-0.32896816635727305</v>
      </c>
      <c r="L310" s="13">
        <f>L309-('Konfigurasi Model'!$B$11*W309)</f>
        <v>0.98402989047885825</v>
      </c>
      <c r="M310" s="13">
        <f>M309-('Konfigurasi Model'!$B$11*X309)</f>
        <v>0.76503684933252325</v>
      </c>
      <c r="N310" s="13">
        <f t="shared" si="44"/>
        <v>3.1931439072154251</v>
      </c>
      <c r="O310" s="13">
        <f t="shared" si="45"/>
        <v>0.96057545355834428</v>
      </c>
      <c r="P310" s="12">
        <f t="shared" si="46"/>
        <v>1</v>
      </c>
      <c r="Q310" s="13">
        <f t="shared" si="47"/>
        <v>-3.9424546441655717E-2</v>
      </c>
      <c r="R310" s="13">
        <f t="shared" si="48"/>
        <v>1.5542948621302683E-3</v>
      </c>
      <c r="T310" s="14">
        <f t="shared" si="49"/>
        <v>-2.9860349843083733E-3</v>
      </c>
      <c r="U310" s="14">
        <f t="shared" si="50"/>
        <v>-1.9707830896435262E-2</v>
      </c>
      <c r="V310" s="14">
        <f t="shared" si="51"/>
        <v>-8.9581049529251205E-3</v>
      </c>
      <c r="W310" s="14">
        <f t="shared" si="52"/>
        <v>-1.3138553930956844E-2</v>
      </c>
      <c r="X310" s="14">
        <f t="shared" si="53"/>
        <v>-4.1804489780317223E-3</v>
      </c>
      <c r="Y310" s="12">
        <f t="shared" si="54"/>
        <v>1</v>
      </c>
    </row>
    <row r="311" spans="1:25" x14ac:dyDescent="0.3">
      <c r="A311" s="23"/>
      <c r="B311" s="12">
        <v>67</v>
      </c>
      <c r="C311" s="12">
        <v>6.8</v>
      </c>
      <c r="D311" s="12">
        <v>2.8</v>
      </c>
      <c r="E311" s="12">
        <v>4.8</v>
      </c>
      <c r="F311" s="12">
        <v>1.4</v>
      </c>
      <c r="G311" s="12">
        <v>1</v>
      </c>
      <c r="I311" s="13">
        <f>I310-('Konfigurasi Model'!$B$11*T310)</f>
        <v>0.27830313151965819</v>
      </c>
      <c r="J311" s="13">
        <f>J310-('Konfigurasi Model'!$B$11*U310)</f>
        <v>-0.22511091825982499</v>
      </c>
      <c r="K311" s="13">
        <f>K310-('Konfigurasi Model'!$B$11*V310)</f>
        <v>-0.32807235586198052</v>
      </c>
      <c r="L311" s="13">
        <f>L310-('Konfigurasi Model'!$B$11*W310)</f>
        <v>0.98534374587195395</v>
      </c>
      <c r="M311" s="13">
        <f>M310-('Konfigurasi Model'!$B$11*X310)</f>
        <v>0.76545489423032642</v>
      </c>
      <c r="N311" s="13">
        <f t="shared" si="44"/>
        <v>3.6302331230471383</v>
      </c>
      <c r="O311" s="13">
        <f t="shared" si="45"/>
        <v>0.97417462713193237</v>
      </c>
      <c r="P311" s="12">
        <f t="shared" si="46"/>
        <v>1</v>
      </c>
      <c r="Q311" s="13">
        <f t="shared" si="47"/>
        <v>-2.5825372868067631E-2</v>
      </c>
      <c r="R311" s="13">
        <f t="shared" si="48"/>
        <v>6.6694988377472377E-4</v>
      </c>
      <c r="T311" s="14">
        <f t="shared" si="49"/>
        <v>-1.2994513086838544E-3</v>
      </c>
      <c r="U311" s="14">
        <f t="shared" si="50"/>
        <v>-8.8362688990502088E-3</v>
      </c>
      <c r="V311" s="14">
        <f t="shared" si="51"/>
        <v>-3.6384636643147922E-3</v>
      </c>
      <c r="W311" s="14">
        <f t="shared" si="52"/>
        <v>-6.2373662816825005E-3</v>
      </c>
      <c r="X311" s="14">
        <f t="shared" si="53"/>
        <v>-1.8192318321573961E-3</v>
      </c>
      <c r="Y311" s="12">
        <f t="shared" si="54"/>
        <v>1</v>
      </c>
    </row>
    <row r="312" spans="1:25" x14ac:dyDescent="0.3">
      <c r="A312" s="23"/>
      <c r="B312" s="12">
        <v>68</v>
      </c>
      <c r="C312" s="12">
        <v>6.7</v>
      </c>
      <c r="D312" s="12">
        <v>3</v>
      </c>
      <c r="E312" s="12">
        <v>5</v>
      </c>
      <c r="F312" s="12">
        <v>1.7</v>
      </c>
      <c r="G312" s="12">
        <v>1</v>
      </c>
      <c r="I312" s="13">
        <f>I311-('Konfigurasi Model'!$B$11*T311)</f>
        <v>0.27843307665052658</v>
      </c>
      <c r="J312" s="13">
        <f>J311-('Konfigurasi Model'!$B$11*U311)</f>
        <v>-0.22422729136991998</v>
      </c>
      <c r="K312" s="13">
        <f>K311-('Konfigurasi Model'!$B$11*V311)</f>
        <v>-0.32770850949554903</v>
      </c>
      <c r="L312" s="13">
        <f>L311-('Konfigurasi Model'!$B$11*W311)</f>
        <v>0.98596748250012223</v>
      </c>
      <c r="M312" s="13">
        <f>M311-('Konfigurasi Model'!$B$11*X311)</f>
        <v>0.76563681741354217</v>
      </c>
      <c r="N312" s="13">
        <f t="shared" si="44"/>
        <v>4.0244046980890484</v>
      </c>
      <c r="O312" s="13">
        <f t="shared" si="45"/>
        <v>0.98243981045722073</v>
      </c>
      <c r="P312" s="12">
        <f t="shared" si="46"/>
        <v>1</v>
      </c>
      <c r="Q312" s="13">
        <f t="shared" si="47"/>
        <v>-1.756018954277927E-2</v>
      </c>
      <c r="R312" s="13">
        <f t="shared" si="48"/>
        <v>3.0836025677833442E-4</v>
      </c>
      <c r="T312" s="14">
        <f t="shared" si="49"/>
        <v>-6.0589078444369358E-4</v>
      </c>
      <c r="U312" s="14">
        <f t="shared" si="50"/>
        <v>-4.0594682557727468E-3</v>
      </c>
      <c r="V312" s="14">
        <f t="shared" si="51"/>
        <v>-1.8176723533310808E-3</v>
      </c>
      <c r="W312" s="14">
        <f t="shared" si="52"/>
        <v>-3.0294539222184679E-3</v>
      </c>
      <c r="X312" s="14">
        <f t="shared" si="53"/>
        <v>-1.0300143335542791E-3</v>
      </c>
      <c r="Y312" s="12">
        <f t="shared" si="54"/>
        <v>1</v>
      </c>
    </row>
    <row r="313" spans="1:25" x14ac:dyDescent="0.3">
      <c r="A313" s="23"/>
      <c r="B313" s="12">
        <v>69</v>
      </c>
      <c r="C313" s="12">
        <v>6</v>
      </c>
      <c r="D313" s="12">
        <v>2.9</v>
      </c>
      <c r="E313" s="12">
        <v>4.5</v>
      </c>
      <c r="F313" s="12">
        <v>1.5</v>
      </c>
      <c r="G313" s="12">
        <v>1</v>
      </c>
      <c r="I313" s="13">
        <f>I312-('Konfigurasi Model'!$B$11*T312)</f>
        <v>0.27849366572897094</v>
      </c>
      <c r="J313" s="13">
        <f>J312-('Konfigurasi Model'!$B$11*U312)</f>
        <v>-0.22382134454434272</v>
      </c>
      <c r="K313" s="13">
        <f>K312-('Konfigurasi Model'!$B$11*V312)</f>
        <v>-0.32752674226021594</v>
      </c>
      <c r="L313" s="13">
        <f>L312-('Konfigurasi Model'!$B$11*W312)</f>
        <v>0.98627042789234409</v>
      </c>
      <c r="M313" s="13">
        <f>M312-('Konfigurasi Model'!$B$11*X312)</f>
        <v>0.76573981884689757</v>
      </c>
      <c r="N313" s="13">
        <f t="shared" si="44"/>
        <v>3.5725646996941829</v>
      </c>
      <c r="O313" s="13">
        <f t="shared" si="45"/>
        <v>0.97268341678902781</v>
      </c>
      <c r="P313" s="12">
        <f t="shared" si="46"/>
        <v>1</v>
      </c>
      <c r="Q313" s="13">
        <f t="shared" si="47"/>
        <v>-2.731658321097219E-2</v>
      </c>
      <c r="R313" s="13">
        <f t="shared" si="48"/>
        <v>7.4619571832196772E-4</v>
      </c>
      <c r="T313" s="14">
        <f t="shared" si="49"/>
        <v>-1.451624401781509E-3</v>
      </c>
      <c r="U313" s="14">
        <f t="shared" si="50"/>
        <v>-8.7097464106890531E-3</v>
      </c>
      <c r="V313" s="14">
        <f t="shared" si="51"/>
        <v>-4.2097107651663758E-3</v>
      </c>
      <c r="W313" s="14">
        <f t="shared" si="52"/>
        <v>-6.5323098080167907E-3</v>
      </c>
      <c r="X313" s="14">
        <f t="shared" si="53"/>
        <v>-2.1774366026722633E-3</v>
      </c>
      <c r="Y313" s="12">
        <f t="shared" si="54"/>
        <v>1</v>
      </c>
    </row>
    <row r="314" spans="1:25" x14ac:dyDescent="0.3">
      <c r="A314" s="23"/>
      <c r="B314" s="12">
        <v>70</v>
      </c>
      <c r="C314" s="12">
        <v>5.7</v>
      </c>
      <c r="D314" s="12">
        <v>2.6</v>
      </c>
      <c r="E314" s="12">
        <v>3.5</v>
      </c>
      <c r="F314" s="12">
        <v>1</v>
      </c>
      <c r="G314" s="12">
        <v>1</v>
      </c>
      <c r="I314" s="13">
        <f>I313-('Konfigurasi Model'!$B$11*T313)</f>
        <v>0.27863882816914909</v>
      </c>
      <c r="J314" s="13">
        <f>J313-('Konfigurasi Model'!$B$11*U313)</f>
        <v>-0.2229503699032738</v>
      </c>
      <c r="K314" s="13">
        <f>K313-('Konfigurasi Model'!$B$11*V313)</f>
        <v>-0.32710577118369932</v>
      </c>
      <c r="L314" s="13">
        <f>L313-('Konfigurasi Model'!$B$11*W313)</f>
        <v>0.98692365887314581</v>
      </c>
      <c r="M314" s="13">
        <f>M313-('Konfigurasi Model'!$B$11*X313)</f>
        <v>0.76595756250716485</v>
      </c>
      <c r="N314" s="13">
        <f t="shared" si="44"/>
        <v>2.3775370832060458</v>
      </c>
      <c r="O314" s="13">
        <f t="shared" si="45"/>
        <v>0.9150982773664228</v>
      </c>
      <c r="P314" s="12">
        <f t="shared" si="46"/>
        <v>1</v>
      </c>
      <c r="Q314" s="13">
        <f t="shared" si="47"/>
        <v>-8.4901722633577204E-2</v>
      </c>
      <c r="R314" s="13">
        <f t="shared" si="48"/>
        <v>7.2083025061488752E-3</v>
      </c>
      <c r="T314" s="14">
        <f t="shared" si="49"/>
        <v>-1.3192610412225808E-2</v>
      </c>
      <c r="U314" s="14">
        <f t="shared" si="50"/>
        <v>-7.5197879349687108E-2</v>
      </c>
      <c r="V314" s="14">
        <f t="shared" si="51"/>
        <v>-3.4300787071787103E-2</v>
      </c>
      <c r="W314" s="14">
        <f t="shared" si="52"/>
        <v>-4.617413644279033E-2</v>
      </c>
      <c r="X314" s="14">
        <f t="shared" si="53"/>
        <v>-1.3192610412225808E-2</v>
      </c>
      <c r="Y314" s="12">
        <f t="shared" si="54"/>
        <v>1</v>
      </c>
    </row>
    <row r="315" spans="1:25" x14ac:dyDescent="0.3">
      <c r="A315" s="23"/>
      <c r="B315" s="12">
        <v>71</v>
      </c>
      <c r="C315" s="12">
        <v>5.5</v>
      </c>
      <c r="D315" s="12">
        <v>2.4</v>
      </c>
      <c r="E315" s="12">
        <v>3.8</v>
      </c>
      <c r="F315" s="12">
        <v>1.1000000000000001</v>
      </c>
      <c r="G315" s="12">
        <v>1</v>
      </c>
      <c r="I315" s="13">
        <f>I314-('Konfigurasi Model'!$B$11*T314)</f>
        <v>0.27995808921037169</v>
      </c>
      <c r="J315" s="13">
        <f>J314-('Konfigurasi Model'!$B$11*U314)</f>
        <v>-0.21543058196830508</v>
      </c>
      <c r="K315" s="13">
        <f>K314-('Konfigurasi Model'!$B$11*V314)</f>
        <v>-0.32367569247652062</v>
      </c>
      <c r="L315" s="13">
        <f>L314-('Konfigurasi Model'!$B$11*W314)</f>
        <v>0.99154107251742485</v>
      </c>
      <c r="M315" s="13">
        <f>M314-('Konfigurasi Model'!$B$11*X314)</f>
        <v>0.76727682354838744</v>
      </c>
      <c r="N315" s="13">
        <f t="shared" si="44"/>
        <v>2.930128807910485</v>
      </c>
      <c r="O315" s="13">
        <f t="shared" si="45"/>
        <v>0.94931587305178022</v>
      </c>
      <c r="P315" s="12">
        <f t="shared" si="46"/>
        <v>1</v>
      </c>
      <c r="Q315" s="13">
        <f t="shared" si="47"/>
        <v>-5.0684126948219776E-2</v>
      </c>
      <c r="R315" s="13">
        <f t="shared" si="48"/>
        <v>2.5688807245032581E-3</v>
      </c>
      <c r="T315" s="14">
        <f t="shared" si="49"/>
        <v>-4.8773584954954E-3</v>
      </c>
      <c r="U315" s="14">
        <f t="shared" si="50"/>
        <v>-2.68254717252247E-2</v>
      </c>
      <c r="V315" s="14">
        <f t="shared" si="51"/>
        <v>-1.170566038918896E-2</v>
      </c>
      <c r="W315" s="14">
        <f t="shared" si="52"/>
        <v>-1.8533962282882521E-2</v>
      </c>
      <c r="X315" s="14">
        <f t="shared" si="53"/>
        <v>-5.3650943450449405E-3</v>
      </c>
      <c r="Y315" s="12">
        <f t="shared" si="54"/>
        <v>1</v>
      </c>
    </row>
    <row r="316" spans="1:25" x14ac:dyDescent="0.3">
      <c r="A316" s="23"/>
      <c r="B316" s="12">
        <v>72</v>
      </c>
      <c r="C316" s="12">
        <v>5.5</v>
      </c>
      <c r="D316" s="12">
        <v>2.4</v>
      </c>
      <c r="E316" s="12">
        <v>3.7</v>
      </c>
      <c r="F316" s="12">
        <v>1</v>
      </c>
      <c r="G316" s="12">
        <v>1</v>
      </c>
      <c r="I316" s="13">
        <f>I315-('Konfigurasi Model'!$B$11*T315)</f>
        <v>0.28044582505992122</v>
      </c>
      <c r="J316" s="13">
        <f>J315-('Konfigurasi Model'!$B$11*U315)</f>
        <v>-0.21274803479578261</v>
      </c>
      <c r="K316" s="13">
        <f>K315-('Konfigurasi Model'!$B$11*V315)</f>
        <v>-0.32250512643760171</v>
      </c>
      <c r="L316" s="13">
        <f>L315-('Konfigurasi Model'!$B$11*W315)</f>
        <v>0.99339446874571313</v>
      </c>
      <c r="M316" s="13">
        <f>M315-('Konfigurasi Model'!$B$11*X315)</f>
        <v>0.76781333298289189</v>
      </c>
      <c r="N316" s="13">
        <f t="shared" si="44"/>
        <v>2.7796921975749034</v>
      </c>
      <c r="O316" s="13">
        <f t="shared" si="45"/>
        <v>0.94156851231644101</v>
      </c>
      <c r="P316" s="12">
        <f t="shared" si="46"/>
        <v>1</v>
      </c>
      <c r="Q316" s="13">
        <f t="shared" si="47"/>
        <v>-5.8431487683558991E-2</v>
      </c>
      <c r="R316" s="13">
        <f t="shared" si="48"/>
        <v>3.4142387529139061E-3</v>
      </c>
      <c r="T316" s="14">
        <f t="shared" si="49"/>
        <v>-6.4294794065485744E-3</v>
      </c>
      <c r="U316" s="14">
        <f t="shared" si="50"/>
        <v>-3.5362136736017159E-2</v>
      </c>
      <c r="V316" s="14">
        <f t="shared" si="51"/>
        <v>-1.5430750575716579E-2</v>
      </c>
      <c r="W316" s="14">
        <f t="shared" si="52"/>
        <v>-2.3789073804229725E-2</v>
      </c>
      <c r="X316" s="14">
        <f t="shared" si="53"/>
        <v>-6.4294794065485744E-3</v>
      </c>
      <c r="Y316" s="12">
        <f t="shared" si="54"/>
        <v>1</v>
      </c>
    </row>
    <row r="317" spans="1:25" x14ac:dyDescent="0.3">
      <c r="A317" s="23"/>
      <c r="B317" s="12">
        <v>73</v>
      </c>
      <c r="C317" s="12">
        <v>5.8</v>
      </c>
      <c r="D317" s="12">
        <v>2.7</v>
      </c>
      <c r="E317" s="12">
        <v>3.9</v>
      </c>
      <c r="F317" s="12">
        <v>1.2</v>
      </c>
      <c r="G317" s="12">
        <v>1</v>
      </c>
      <c r="I317" s="13">
        <f>I316-('Konfigurasi Model'!$B$11*T316)</f>
        <v>0.28108877300057605</v>
      </c>
      <c r="J317" s="13">
        <f>J316-('Konfigurasi Model'!$B$11*U316)</f>
        <v>-0.2092118211221809</v>
      </c>
      <c r="K317" s="13">
        <f>K316-('Konfigurasi Model'!$B$11*V316)</f>
        <v>-0.32096205138003003</v>
      </c>
      <c r="L317" s="13">
        <f>L316-('Konfigurasi Model'!$B$11*W316)</f>
        <v>0.99577337612613614</v>
      </c>
      <c r="M317" s="13">
        <f>M316-('Konfigurasi Model'!$B$11*X316)</f>
        <v>0.76845628092354679</v>
      </c>
      <c r="N317" s="13">
        <f t="shared" si="44"/>
        <v>3.006726375766033</v>
      </c>
      <c r="O317" s="13">
        <f t="shared" si="45"/>
        <v>0.95287707862847448</v>
      </c>
      <c r="P317" s="12">
        <f t="shared" si="46"/>
        <v>1</v>
      </c>
      <c r="Q317" s="13">
        <f t="shared" si="47"/>
        <v>-4.7122921371525517E-2</v>
      </c>
      <c r="R317" s="13">
        <f t="shared" si="48"/>
        <v>2.2205697185869763E-3</v>
      </c>
      <c r="T317" s="14">
        <f t="shared" si="49"/>
        <v>-4.2318599726760232E-3</v>
      </c>
      <c r="U317" s="14">
        <f t="shared" si="50"/>
        <v>-2.4544787841520935E-2</v>
      </c>
      <c r="V317" s="14">
        <f t="shared" si="51"/>
        <v>-1.1426021926225263E-2</v>
      </c>
      <c r="W317" s="14">
        <f t="shared" si="52"/>
        <v>-1.6504253893436491E-2</v>
      </c>
      <c r="X317" s="14">
        <f t="shared" si="53"/>
        <v>-5.0782319672112277E-3</v>
      </c>
      <c r="Y317" s="12">
        <f t="shared" si="54"/>
        <v>1</v>
      </c>
    </row>
    <row r="318" spans="1:25" x14ac:dyDescent="0.3">
      <c r="A318" s="23"/>
      <c r="B318" s="12">
        <v>74</v>
      </c>
      <c r="C318" s="12">
        <v>6</v>
      </c>
      <c r="D318" s="12">
        <v>2.7</v>
      </c>
      <c r="E318" s="12">
        <v>5.0999999999999996</v>
      </c>
      <c r="F318" s="12">
        <v>1.6</v>
      </c>
      <c r="G318" s="12">
        <v>1</v>
      </c>
      <c r="I318" s="13">
        <f>I317-('Konfigurasi Model'!$B$11*T317)</f>
        <v>0.28151195899784365</v>
      </c>
      <c r="J318" s="13">
        <f>J317-('Konfigurasi Model'!$B$11*U317)</f>
        <v>-0.20675734233802881</v>
      </c>
      <c r="K318" s="13">
        <f>K317-('Konfigurasi Model'!$B$11*V317)</f>
        <v>-0.31981944918740751</v>
      </c>
      <c r="L318" s="13">
        <f>L317-('Konfigurasi Model'!$B$11*W317)</f>
        <v>0.99742380151547982</v>
      </c>
      <c r="M318" s="13">
        <f>M317-('Konfigurasi Model'!$B$11*X317)</f>
        <v>0.76896410412026794</v>
      </c>
      <c r="N318" s="13">
        <f t="shared" si="44"/>
        <v>4.4946593464850455</v>
      </c>
      <c r="O318" s="13">
        <f t="shared" si="45"/>
        <v>0.98895487278200711</v>
      </c>
      <c r="P318" s="12">
        <f t="shared" si="46"/>
        <v>1</v>
      </c>
      <c r="Q318" s="13">
        <f t="shared" si="47"/>
        <v>-1.1045127217992889E-2</v>
      </c>
      <c r="R318" s="13">
        <f t="shared" si="48"/>
        <v>1.2199483526164735E-4</v>
      </c>
      <c r="T318" s="14">
        <f t="shared" si="49"/>
        <v>-2.4129477357248872E-4</v>
      </c>
      <c r="U318" s="14">
        <f t="shared" si="50"/>
        <v>-1.4477686414349324E-3</v>
      </c>
      <c r="V318" s="14">
        <f t="shared" si="51"/>
        <v>-6.514958886457196E-4</v>
      </c>
      <c r="W318" s="14">
        <f t="shared" si="52"/>
        <v>-1.2306033452196925E-3</v>
      </c>
      <c r="X318" s="14">
        <f t="shared" si="53"/>
        <v>-3.86071637715982E-4</v>
      </c>
      <c r="Y318" s="12">
        <f t="shared" si="54"/>
        <v>1</v>
      </c>
    </row>
    <row r="319" spans="1:25" x14ac:dyDescent="0.3">
      <c r="A319" s="23"/>
      <c r="B319" s="12">
        <v>75</v>
      </c>
      <c r="C319" s="12">
        <v>5.4</v>
      </c>
      <c r="D319" s="12">
        <v>3</v>
      </c>
      <c r="E319" s="12">
        <v>4.5</v>
      </c>
      <c r="F319" s="12">
        <v>1.5</v>
      </c>
      <c r="G319" s="12">
        <v>1</v>
      </c>
      <c r="I319" s="13">
        <f>I318-('Konfigurasi Model'!$B$11*T318)</f>
        <v>0.2815360884752009</v>
      </c>
      <c r="J319" s="13">
        <f>J318-('Konfigurasi Model'!$B$11*U318)</f>
        <v>-0.20661256547388532</v>
      </c>
      <c r="K319" s="13">
        <f>K318-('Konfigurasi Model'!$B$11*V318)</f>
        <v>-0.31975429959854296</v>
      </c>
      <c r="L319" s="13">
        <f>L318-('Konfigurasi Model'!$B$11*W318)</f>
        <v>0.99754686185000174</v>
      </c>
      <c r="M319" s="13">
        <f>M318-('Konfigurasi Model'!$B$11*X318)</f>
        <v>0.76900271128403952</v>
      </c>
      <c r="N319" s="13">
        <f t="shared" si="44"/>
        <v>3.8490302813716584</v>
      </c>
      <c r="O319" s="13">
        <f t="shared" si="45"/>
        <v>0.97914386190077651</v>
      </c>
      <c r="P319" s="12">
        <f t="shared" si="46"/>
        <v>1</v>
      </c>
      <c r="Q319" s="13">
        <f t="shared" si="47"/>
        <v>-2.0856138099223487E-2</v>
      </c>
      <c r="R319" s="13">
        <f t="shared" si="48"/>
        <v>4.349784964138815E-4</v>
      </c>
      <c r="T319" s="14">
        <f t="shared" si="49"/>
        <v>-8.5181304964496195E-4</v>
      </c>
      <c r="U319" s="14">
        <f t="shared" si="50"/>
        <v>-4.599790468082795E-3</v>
      </c>
      <c r="V319" s="14">
        <f t="shared" si="51"/>
        <v>-2.5554391489348858E-3</v>
      </c>
      <c r="W319" s="14">
        <f t="shared" si="52"/>
        <v>-3.8331587234023286E-3</v>
      </c>
      <c r="X319" s="14">
        <f t="shared" si="53"/>
        <v>-1.2777195744674429E-3</v>
      </c>
      <c r="Y319" s="12">
        <f t="shared" si="54"/>
        <v>1</v>
      </c>
    </row>
    <row r="320" spans="1:25" x14ac:dyDescent="0.3">
      <c r="A320" s="23"/>
      <c r="B320" s="12">
        <v>76</v>
      </c>
      <c r="C320" s="12">
        <v>6</v>
      </c>
      <c r="D320" s="12">
        <v>3.4</v>
      </c>
      <c r="E320" s="12">
        <v>4.5</v>
      </c>
      <c r="F320" s="12">
        <v>1.6</v>
      </c>
      <c r="G320" s="12">
        <v>1</v>
      </c>
      <c r="I320" s="13">
        <f>I319-('Konfigurasi Model'!$B$11*T319)</f>
        <v>0.28162126978016538</v>
      </c>
      <c r="J320" s="13">
        <f>J319-('Konfigurasi Model'!$B$11*U319)</f>
        <v>-0.20615258642707704</v>
      </c>
      <c r="K320" s="13">
        <f>K319-('Konfigurasi Model'!$B$11*V319)</f>
        <v>-0.31949875568364949</v>
      </c>
      <c r="L320" s="13">
        <f>L319-('Konfigurasi Model'!$B$11*W319)</f>
        <v>0.99793017772234194</v>
      </c>
      <c r="M320" s="13">
        <f>M319-('Konfigurasi Model'!$B$11*X319)</f>
        <v>0.76913048324148625</v>
      </c>
      <c r="N320" s="13">
        <f t="shared" si="44"/>
        <v>3.6797045548302121</v>
      </c>
      <c r="O320" s="13">
        <f t="shared" si="45"/>
        <v>0.9753904807596393</v>
      </c>
      <c r="P320" s="12">
        <f t="shared" si="46"/>
        <v>1</v>
      </c>
      <c r="Q320" s="13">
        <f t="shared" si="47"/>
        <v>-2.46095192403607E-2</v>
      </c>
      <c r="R320" s="13">
        <f t="shared" si="48"/>
        <v>6.0562843724168349E-4</v>
      </c>
      <c r="T320" s="14">
        <f t="shared" si="49"/>
        <v>-1.1814484251257494E-3</v>
      </c>
      <c r="U320" s="14">
        <f t="shared" si="50"/>
        <v>-7.0886905507544958E-3</v>
      </c>
      <c r="V320" s="14">
        <f t="shared" si="51"/>
        <v>-4.0169246454275481E-3</v>
      </c>
      <c r="W320" s="14">
        <f t="shared" si="52"/>
        <v>-5.3165179130658718E-3</v>
      </c>
      <c r="X320" s="14">
        <f t="shared" si="53"/>
        <v>-1.890317480201199E-3</v>
      </c>
      <c r="Y320" s="12">
        <f t="shared" si="54"/>
        <v>1</v>
      </c>
    </row>
    <row r="321" spans="1:28" x14ac:dyDescent="0.3">
      <c r="A321" s="23"/>
      <c r="B321" s="12">
        <v>77</v>
      </c>
      <c r="C321" s="12">
        <v>6.7</v>
      </c>
      <c r="D321" s="12">
        <v>3.1</v>
      </c>
      <c r="E321" s="12">
        <v>4.7</v>
      </c>
      <c r="F321" s="12">
        <v>1.5</v>
      </c>
      <c r="G321" s="12">
        <v>1</v>
      </c>
      <c r="I321" s="13">
        <f>I320-('Konfigurasi Model'!$B$11*T320)</f>
        <v>0.28173941462267799</v>
      </c>
      <c r="J321" s="13">
        <f>J320-('Konfigurasi Model'!$B$11*U320)</f>
        <v>-0.20544371737200159</v>
      </c>
      <c r="K321" s="13">
        <f>K320-('Konfigurasi Model'!$B$11*V320)</f>
        <v>-0.31909706321910675</v>
      </c>
      <c r="L321" s="13">
        <f>L320-('Konfigurasi Model'!$B$11*W320)</f>
        <v>0.99846182951364848</v>
      </c>
      <c r="M321" s="13">
        <f>M320-('Konfigurasi Model'!$B$11*X320)</f>
        <v>0.76931951498950635</v>
      </c>
      <c r="N321" s="13">
        <f t="shared" si="44"/>
        <v>3.7628154834494438</v>
      </c>
      <c r="O321" s="13">
        <f t="shared" si="45"/>
        <v>0.97730857814432137</v>
      </c>
      <c r="P321" s="12">
        <f t="shared" si="46"/>
        <v>1</v>
      </c>
      <c r="Q321" s="13">
        <f t="shared" si="47"/>
        <v>-2.2691421855678628E-2</v>
      </c>
      <c r="R321" s="13">
        <f t="shared" si="48"/>
        <v>5.1490062583236975E-4</v>
      </c>
      <c r="T321" s="14">
        <f t="shared" si="49"/>
        <v>-1.006433597035709E-3</v>
      </c>
      <c r="U321" s="14">
        <f t="shared" si="50"/>
        <v>-6.7431051001392503E-3</v>
      </c>
      <c r="V321" s="14">
        <f t="shared" si="51"/>
        <v>-3.1199441508106981E-3</v>
      </c>
      <c r="W321" s="14">
        <f t="shared" si="52"/>
        <v>-4.7302379060678327E-3</v>
      </c>
      <c r="X321" s="14">
        <f t="shared" si="53"/>
        <v>-1.5096503955535634E-3</v>
      </c>
      <c r="Y321" s="12">
        <f t="shared" si="54"/>
        <v>1</v>
      </c>
    </row>
    <row r="322" spans="1:28" x14ac:dyDescent="0.3">
      <c r="A322" s="23"/>
      <c r="B322" s="12">
        <v>78</v>
      </c>
      <c r="C322" s="12">
        <v>6.3</v>
      </c>
      <c r="D322" s="12">
        <v>2.2999999999999998</v>
      </c>
      <c r="E322" s="12">
        <v>4.4000000000000004</v>
      </c>
      <c r="F322" s="12">
        <v>1.3</v>
      </c>
      <c r="G322" s="12">
        <v>1</v>
      </c>
      <c r="I322" s="13">
        <f>I321-('Konfigurasi Model'!$B$11*T321)</f>
        <v>0.28184005798238154</v>
      </c>
      <c r="J322" s="13">
        <f>J321-('Konfigurasi Model'!$B$11*U321)</f>
        <v>-0.20476940686198766</v>
      </c>
      <c r="K322" s="13">
        <f>K321-('Konfigurasi Model'!$B$11*V321)</f>
        <v>-0.31878506880402568</v>
      </c>
      <c r="L322" s="13">
        <f>L321-('Konfigurasi Model'!$B$11*W321)</f>
        <v>0.99893485330425524</v>
      </c>
      <c r="M322" s="13">
        <f>M321-('Konfigurasi Model'!$B$11*X321)</f>
        <v>0.76947048002906171</v>
      </c>
      <c r="N322" s="13">
        <f t="shared" si="44"/>
        <v>3.6542121150791038</v>
      </c>
      <c r="O322" s="13">
        <f t="shared" si="45"/>
        <v>0.97477109025370756</v>
      </c>
      <c r="P322" s="12">
        <f t="shared" si="46"/>
        <v>1</v>
      </c>
      <c r="Q322" s="13">
        <f t="shared" si="47"/>
        <v>-2.5228909746292438E-2</v>
      </c>
      <c r="R322" s="13">
        <f t="shared" si="48"/>
        <v>6.3649788698656956E-4</v>
      </c>
      <c r="T322" s="14">
        <f t="shared" si="49"/>
        <v>-1.240879478484159E-3</v>
      </c>
      <c r="U322" s="14">
        <f t="shared" si="50"/>
        <v>-7.8175407144502017E-3</v>
      </c>
      <c r="V322" s="14">
        <f t="shared" si="51"/>
        <v>-2.8540228005135655E-3</v>
      </c>
      <c r="W322" s="14">
        <f t="shared" si="52"/>
        <v>-5.4598697053303002E-3</v>
      </c>
      <c r="X322" s="14">
        <f t="shared" si="53"/>
        <v>-1.6131433220294069E-3</v>
      </c>
      <c r="Y322" s="12">
        <f t="shared" si="54"/>
        <v>1</v>
      </c>
    </row>
    <row r="323" spans="1:28" x14ac:dyDescent="0.3">
      <c r="A323" s="23"/>
      <c r="B323" s="12">
        <v>79</v>
      </c>
      <c r="C323" s="12">
        <v>5.6</v>
      </c>
      <c r="D323" s="12">
        <v>3</v>
      </c>
      <c r="E323" s="12">
        <v>4.0999999999999996</v>
      </c>
      <c r="F323" s="12">
        <v>1.3</v>
      </c>
      <c r="G323" s="12">
        <v>1</v>
      </c>
      <c r="I323" s="13">
        <f>I322-('Konfigurasi Model'!$B$11*T322)</f>
        <v>0.28196414593022995</v>
      </c>
      <c r="J323" s="13">
        <f>J322-('Konfigurasi Model'!$B$11*U322)</f>
        <v>-0.20398765279054265</v>
      </c>
      <c r="K323" s="13">
        <f>K322-('Konfigurasi Model'!$B$11*V322)</f>
        <v>-0.31849966652397432</v>
      </c>
      <c r="L323" s="13">
        <f>L322-('Konfigurasi Model'!$B$11*W322)</f>
        <v>0.99948084027478823</v>
      </c>
      <c r="M323" s="13">
        <f>M322-('Konfigurasi Model'!$B$11*X322)</f>
        <v>0.76963179436126461</v>
      </c>
      <c r="N323" s="13">
        <f t="shared" si="44"/>
        <v>3.2825270685275436</v>
      </c>
      <c r="O323" s="13">
        <f t="shared" si="45"/>
        <v>0.96382449785760171</v>
      </c>
      <c r="P323" s="12">
        <f t="shared" si="46"/>
        <v>1</v>
      </c>
      <c r="Q323" s="13">
        <f t="shared" si="47"/>
        <v>-3.6175502142398286E-2</v>
      </c>
      <c r="R323" s="13">
        <f t="shared" si="48"/>
        <v>1.3086669552546629E-3</v>
      </c>
      <c r="T323" s="14">
        <f t="shared" si="49"/>
        <v>-2.5226505420223241E-3</v>
      </c>
      <c r="U323" s="14">
        <f t="shared" si="50"/>
        <v>-1.4126843035325014E-2</v>
      </c>
      <c r="V323" s="14">
        <f t="shared" si="51"/>
        <v>-7.5679516260669724E-3</v>
      </c>
      <c r="W323" s="14">
        <f t="shared" si="52"/>
        <v>-1.0342867222291528E-2</v>
      </c>
      <c r="X323" s="14">
        <f t="shared" si="53"/>
        <v>-3.2794457046290216E-3</v>
      </c>
      <c r="Y323" s="12">
        <f t="shared" si="54"/>
        <v>1</v>
      </c>
    </row>
    <row r="324" spans="1:28" x14ac:dyDescent="0.3">
      <c r="A324" s="23"/>
      <c r="B324" s="12">
        <v>80</v>
      </c>
      <c r="C324" s="12">
        <v>5.5</v>
      </c>
      <c r="D324" s="12">
        <v>2.5</v>
      </c>
      <c r="E324" s="12">
        <v>4</v>
      </c>
      <c r="F324" s="12">
        <v>1.3</v>
      </c>
      <c r="G324" s="12">
        <v>1</v>
      </c>
      <c r="I324" s="13">
        <f>I323-('Konfigurasi Model'!$B$11*T323)</f>
        <v>0.28221641098443218</v>
      </c>
      <c r="J324" s="13">
        <f>J323-('Konfigurasi Model'!$B$11*U323)</f>
        <v>-0.20257496848701015</v>
      </c>
      <c r="K324" s="13">
        <f>K323-('Konfigurasi Model'!$B$11*V323)</f>
        <v>-0.31774287136136764</v>
      </c>
      <c r="L324" s="13">
        <f>L323-('Konfigurasi Model'!$B$11*W323)</f>
        <v>1.0005151269970174</v>
      </c>
      <c r="M324" s="13">
        <f>M323-('Konfigurasi Model'!$B$11*X323)</f>
        <v>0.76995973893172753</v>
      </c>
      <c r="N324" s="13">
        <f t="shared" si="44"/>
        <v>3.3767050745017726</v>
      </c>
      <c r="O324" s="13">
        <f t="shared" si="45"/>
        <v>0.96696852574989123</v>
      </c>
      <c r="P324" s="12">
        <f t="shared" si="46"/>
        <v>1</v>
      </c>
      <c r="Q324" s="13">
        <f t="shared" si="47"/>
        <v>-3.3031474250108772E-2</v>
      </c>
      <c r="R324" s="13">
        <f t="shared" si="48"/>
        <v>1.0910782911355988E-3</v>
      </c>
      <c r="T324" s="14">
        <f t="shared" si="49"/>
        <v>-2.1100767333142013E-3</v>
      </c>
      <c r="U324" s="14">
        <f t="shared" si="50"/>
        <v>-1.1605422033228107E-2</v>
      </c>
      <c r="V324" s="14">
        <f t="shared" si="51"/>
        <v>-5.2751918332855034E-3</v>
      </c>
      <c r="W324" s="14">
        <f t="shared" si="52"/>
        <v>-8.440306933256805E-3</v>
      </c>
      <c r="X324" s="14">
        <f t="shared" si="53"/>
        <v>-2.7430997533084618E-3</v>
      </c>
      <c r="Y324" s="12">
        <f t="shared" si="54"/>
        <v>1</v>
      </c>
      <c r="AA324" s="17">
        <f>AVERAGE(Y245:Y324)</f>
        <v>0.97499999999999998</v>
      </c>
      <c r="AB324" s="16">
        <f>AVERAGE(R245:R324)</f>
        <v>1.735241069643615E-2</v>
      </c>
    </row>
    <row r="325" spans="1:28" x14ac:dyDescent="0.3">
      <c r="A325" s="23" t="s">
        <v>99</v>
      </c>
      <c r="B325" s="12">
        <v>1</v>
      </c>
      <c r="C325" s="12">
        <v>5.0999999999999996</v>
      </c>
      <c r="D325" s="12">
        <v>3.5</v>
      </c>
      <c r="E325" s="12">
        <v>1.4</v>
      </c>
      <c r="F325" s="12">
        <v>0.2</v>
      </c>
      <c r="G325" s="12">
        <v>0</v>
      </c>
      <c r="I325" s="13">
        <f>I324</f>
        <v>0.28221641098443218</v>
      </c>
      <c r="J325" s="13">
        <f>J324</f>
        <v>-0.20257496848701015</v>
      </c>
      <c r="K325" s="13">
        <f>K324</f>
        <v>-0.31774287136136764</v>
      </c>
      <c r="L325" s="13">
        <f>L324</f>
        <v>1.0005151269970174</v>
      </c>
      <c r="M325" s="13">
        <f>M324</f>
        <v>0.76995973893172753</v>
      </c>
      <c r="N325" s="13">
        <f t="shared" ref="N325:N388" si="55">I325+J325*C325+K325*D325+L325*E325+M325*F325</f>
        <v>-0.30830285248193678</v>
      </c>
      <c r="O325" s="13">
        <f t="shared" ref="O325:O388" si="56">1/(1+EXP(-N325))</f>
        <v>0.42352904728757529</v>
      </c>
      <c r="P325" s="12">
        <f t="shared" ref="P325:P388" si="57">IF(O325&gt;0.5,1,0)</f>
        <v>0</v>
      </c>
      <c r="Q325" s="13">
        <f t="shared" ref="Q325:Q388" si="58">O325-G325</f>
        <v>0.42352904728757529</v>
      </c>
      <c r="R325" s="13">
        <f t="shared" ref="R325:R388" si="59">Q325^2</f>
        <v>0.17937685389632119</v>
      </c>
      <c r="T325" s="14">
        <f t="shared" ref="T325:T388" si="60">2*(O325-G325)*(1-O325)*O325</f>
        <v>0.2068110917203394</v>
      </c>
      <c r="U325" s="14">
        <f t="shared" ref="U325:U388" si="61">2*(O325-G325)*(1-O325)*O325*C325</f>
        <v>1.0547365677737308</v>
      </c>
      <c r="V325" s="14">
        <f t="shared" ref="V325:V388" si="62">2*(O325-G325)*(1-O325)*O325*D325</f>
        <v>0.72383882102118791</v>
      </c>
      <c r="W325" s="14">
        <f t="shared" ref="W325:W388" si="63">2*(O325-G325)*(1-O325)*O325*E325</f>
        <v>0.28953552840847513</v>
      </c>
      <c r="X325" s="14">
        <f t="shared" ref="X325:X388" si="64">2*(O325-G325)*(1-O325)*O325*F325</f>
        <v>4.1362218344067885E-2</v>
      </c>
      <c r="Y325" s="12">
        <f t="shared" ref="Y325:Y388" si="65">IF(P325=G325,1,0)</f>
        <v>1</v>
      </c>
    </row>
    <row r="326" spans="1:28" x14ac:dyDescent="0.3">
      <c r="A326" s="23"/>
      <c r="B326" s="12">
        <v>2</v>
      </c>
      <c r="C326" s="12">
        <v>4.9000000000000004</v>
      </c>
      <c r="D326" s="12">
        <v>3</v>
      </c>
      <c r="E326" s="12">
        <v>1.4</v>
      </c>
      <c r="F326" s="12">
        <v>0.2</v>
      </c>
      <c r="G326" s="12">
        <v>0</v>
      </c>
      <c r="I326" s="13">
        <f>I325-('Konfigurasi Model'!$B$11*T325)</f>
        <v>0.26153530181239826</v>
      </c>
      <c r="J326" s="13">
        <f>J325-('Konfigurasi Model'!$B$11*U325)</f>
        <v>-0.30804862526438326</v>
      </c>
      <c r="K326" s="13">
        <f>K325-('Konfigurasi Model'!$B$11*V325)</f>
        <v>-0.39012675346348646</v>
      </c>
      <c r="L326" s="13">
        <f>L325-('Konfigurasi Model'!$B$11*W325)</f>
        <v>0.97156157415616984</v>
      </c>
      <c r="M326" s="13">
        <f>M325-('Konfigurasi Model'!$B$11*X325)</f>
        <v>0.76582351709732077</v>
      </c>
      <c r="N326" s="13">
        <f t="shared" si="55"/>
        <v>-0.90493231513543704</v>
      </c>
      <c r="O326" s="13">
        <f t="shared" si="56"/>
        <v>0.28803796066496895</v>
      </c>
      <c r="P326" s="12">
        <f t="shared" si="57"/>
        <v>0</v>
      </c>
      <c r="Q326" s="13">
        <f t="shared" si="58"/>
        <v>0.28803796066496895</v>
      </c>
      <c r="R326" s="13">
        <f t="shared" si="59"/>
        <v>8.2965866784034198E-2</v>
      </c>
      <c r="T326" s="14">
        <f t="shared" si="60"/>
        <v>0.118137095421519</v>
      </c>
      <c r="U326" s="14">
        <f t="shared" si="61"/>
        <v>0.57887176756544312</v>
      </c>
      <c r="V326" s="14">
        <f t="shared" si="62"/>
        <v>0.35441128626455698</v>
      </c>
      <c r="W326" s="14">
        <f t="shared" si="63"/>
        <v>0.16539193359012658</v>
      </c>
      <c r="X326" s="14">
        <f t="shared" si="64"/>
        <v>2.36274190843038E-2</v>
      </c>
      <c r="Y326" s="12">
        <f t="shared" si="65"/>
        <v>1</v>
      </c>
    </row>
    <row r="327" spans="1:28" x14ac:dyDescent="0.3">
      <c r="A327" s="23"/>
      <c r="B327" s="12">
        <v>3</v>
      </c>
      <c r="C327" s="12">
        <v>4.7</v>
      </c>
      <c r="D327" s="12">
        <v>3.2</v>
      </c>
      <c r="E327" s="12">
        <v>1.3</v>
      </c>
      <c r="F327" s="12">
        <v>0.2</v>
      </c>
      <c r="G327" s="12">
        <v>0</v>
      </c>
      <c r="I327" s="13">
        <f>I326-('Konfigurasi Model'!$B$11*T326)</f>
        <v>0.24972159227024635</v>
      </c>
      <c r="J327" s="13">
        <f>J326-('Konfigurasi Model'!$B$11*U326)</f>
        <v>-0.36593580202092757</v>
      </c>
      <c r="K327" s="13">
        <f>K326-('Konfigurasi Model'!$B$11*V326)</f>
        <v>-0.42556788208994217</v>
      </c>
      <c r="L327" s="13">
        <f>L326-('Konfigurasi Model'!$B$11*W326)</f>
        <v>0.95502238079715718</v>
      </c>
      <c r="M327" s="13">
        <f>M326-('Konfigurasi Model'!$B$11*X326)</f>
        <v>0.76346077518889044</v>
      </c>
      <c r="N327" s="13">
        <f t="shared" si="55"/>
        <v>-1.4377726498418459</v>
      </c>
      <c r="O327" s="13">
        <f t="shared" si="56"/>
        <v>0.19189050348307229</v>
      </c>
      <c r="P327" s="12">
        <f t="shared" si="57"/>
        <v>0</v>
      </c>
      <c r="Q327" s="13">
        <f t="shared" si="58"/>
        <v>0.19189050348307229</v>
      </c>
      <c r="R327" s="13">
        <f t="shared" si="59"/>
        <v>3.6821965326986977E-2</v>
      </c>
      <c r="T327" s="14">
        <f t="shared" si="60"/>
        <v>5.9512359722310434E-2</v>
      </c>
      <c r="U327" s="14">
        <f t="shared" si="61"/>
        <v>0.27970809069485908</v>
      </c>
      <c r="V327" s="14">
        <f t="shared" si="62"/>
        <v>0.19043955111139341</v>
      </c>
      <c r="W327" s="14">
        <f t="shared" si="63"/>
        <v>7.7366067639003569E-2</v>
      </c>
      <c r="X327" s="14">
        <f t="shared" si="64"/>
        <v>1.1902471944462088E-2</v>
      </c>
      <c r="Y327" s="12">
        <f t="shared" si="65"/>
        <v>1</v>
      </c>
    </row>
    <row r="328" spans="1:28" x14ac:dyDescent="0.3">
      <c r="A328" s="23"/>
      <c r="B328" s="12">
        <v>4</v>
      </c>
      <c r="C328" s="12">
        <v>4.5999999999999996</v>
      </c>
      <c r="D328" s="12">
        <v>3.1</v>
      </c>
      <c r="E328" s="12">
        <v>1.5</v>
      </c>
      <c r="F328" s="12">
        <v>0.2</v>
      </c>
      <c r="G328" s="12">
        <v>0</v>
      </c>
      <c r="I328" s="13">
        <f>I327-('Konfigurasi Model'!$B$11*T327)</f>
        <v>0.2437703562980153</v>
      </c>
      <c r="J328" s="13">
        <f>J327-('Konfigurasi Model'!$B$11*U327)</f>
        <v>-0.39390661109041347</v>
      </c>
      <c r="K328" s="13">
        <f>K327-('Konfigurasi Model'!$B$11*V327)</f>
        <v>-0.44461183720108149</v>
      </c>
      <c r="L328" s="13">
        <f>L327-('Konfigurasi Model'!$B$11*W327)</f>
        <v>0.94728577403325687</v>
      </c>
      <c r="M328" s="13">
        <f>M327-('Konfigurasi Model'!$B$11*X327)</f>
        <v>0.76227052799444428</v>
      </c>
      <c r="N328" s="13">
        <f t="shared" si="55"/>
        <v>-1.373113983392465</v>
      </c>
      <c r="O328" s="13">
        <f t="shared" si="56"/>
        <v>0.2021172014404545</v>
      </c>
      <c r="P328" s="12">
        <f t="shared" si="57"/>
        <v>0</v>
      </c>
      <c r="Q328" s="13">
        <f t="shared" si="58"/>
        <v>0.2021172014404545</v>
      </c>
      <c r="R328" s="13">
        <f t="shared" si="59"/>
        <v>4.0851363118121264E-2</v>
      </c>
      <c r="T328" s="14">
        <f t="shared" si="60"/>
        <v>6.5189199859317593E-2</v>
      </c>
      <c r="U328" s="14">
        <f t="shared" si="61"/>
        <v>0.2998703193528609</v>
      </c>
      <c r="V328" s="14">
        <f t="shared" si="62"/>
        <v>0.20208651956388454</v>
      </c>
      <c r="W328" s="14">
        <f t="shared" si="63"/>
        <v>9.7783799788976389E-2</v>
      </c>
      <c r="X328" s="14">
        <f t="shared" si="64"/>
        <v>1.3037839971863519E-2</v>
      </c>
      <c r="Y328" s="12">
        <f t="shared" si="65"/>
        <v>1</v>
      </c>
    </row>
    <row r="329" spans="1:28" x14ac:dyDescent="0.3">
      <c r="A329" s="23"/>
      <c r="B329" s="12">
        <v>5</v>
      </c>
      <c r="C329" s="12">
        <v>5</v>
      </c>
      <c r="D329" s="12">
        <v>3.6</v>
      </c>
      <c r="E329" s="12">
        <v>1.4</v>
      </c>
      <c r="F329" s="12">
        <v>0.2</v>
      </c>
      <c r="G329" s="12">
        <v>0</v>
      </c>
      <c r="I329" s="13">
        <f>I328-('Konfigurasi Model'!$B$11*T328)</f>
        <v>0.23725143631208354</v>
      </c>
      <c r="J329" s="13">
        <f>J328-('Konfigurasi Model'!$B$11*U328)</f>
        <v>-0.42389364302569954</v>
      </c>
      <c r="K329" s="13">
        <f>K328-('Konfigurasi Model'!$B$11*V328)</f>
        <v>-0.46482048915746993</v>
      </c>
      <c r="L329" s="13">
        <f>L328-('Konfigurasi Model'!$B$11*W328)</f>
        <v>0.93750739405435923</v>
      </c>
      <c r="M329" s="13">
        <f>M328-('Konfigurasi Model'!$B$11*X328)</f>
        <v>0.76096674399725794</v>
      </c>
      <c r="N329" s="13">
        <f t="shared" si="55"/>
        <v>-2.0908668393077519</v>
      </c>
      <c r="O329" s="13">
        <f t="shared" si="56"/>
        <v>0.10998769042525904</v>
      </c>
      <c r="P329" s="12">
        <f t="shared" si="57"/>
        <v>0</v>
      </c>
      <c r="Q329" s="13">
        <f t="shared" si="58"/>
        <v>0.10998769042525904</v>
      </c>
      <c r="R329" s="13">
        <f t="shared" si="59"/>
        <v>1.2097292045082617E-2</v>
      </c>
      <c r="T329" s="14">
        <f t="shared" si="60"/>
        <v>2.1533477665288247E-2</v>
      </c>
      <c r="U329" s="14">
        <f t="shared" si="61"/>
        <v>0.10766738832644124</v>
      </c>
      <c r="V329" s="14">
        <f t="shared" si="62"/>
        <v>7.7520519595037696E-2</v>
      </c>
      <c r="W329" s="14">
        <f t="shared" si="63"/>
        <v>3.0146868731403542E-2</v>
      </c>
      <c r="X329" s="14">
        <f t="shared" si="64"/>
        <v>4.3066955330576494E-3</v>
      </c>
      <c r="Y329" s="12">
        <f t="shared" si="65"/>
        <v>1</v>
      </c>
    </row>
    <row r="330" spans="1:28" x14ac:dyDescent="0.3">
      <c r="A330" s="23"/>
      <c r="B330" s="12">
        <v>6</v>
      </c>
      <c r="C330" s="12">
        <v>5.4</v>
      </c>
      <c r="D330" s="12">
        <v>3.9</v>
      </c>
      <c r="E330" s="12">
        <v>1.7</v>
      </c>
      <c r="F330" s="12">
        <v>0.4</v>
      </c>
      <c r="G330" s="12">
        <v>0</v>
      </c>
      <c r="I330" s="13">
        <f>I329-('Konfigurasi Model'!$B$11*T329)</f>
        <v>0.23509808854555472</v>
      </c>
      <c r="J330" s="13">
        <f>J329-('Konfigurasi Model'!$B$11*U329)</f>
        <v>-0.43466038185834366</v>
      </c>
      <c r="K330" s="13">
        <f>K329-('Konfigurasi Model'!$B$11*V329)</f>
        <v>-0.47257254111697372</v>
      </c>
      <c r="L330" s="13">
        <f>L329-('Konfigurasi Model'!$B$11*W329)</f>
        <v>0.93449270718121891</v>
      </c>
      <c r="M330" s="13">
        <f>M329-('Konfigurasi Model'!$B$11*X329)</f>
        <v>0.76053607444395221</v>
      </c>
      <c r="N330" s="13">
        <f t="shared" si="55"/>
        <v>-2.0622488518600455</v>
      </c>
      <c r="O330" s="13">
        <f t="shared" si="56"/>
        <v>0.11282054177508445</v>
      </c>
      <c r="P330" s="12">
        <f t="shared" si="57"/>
        <v>0</v>
      </c>
      <c r="Q330" s="13">
        <f t="shared" si="58"/>
        <v>0.11282054177508445</v>
      </c>
      <c r="R330" s="13">
        <f t="shared" si="59"/>
        <v>1.2728474646423576E-2</v>
      </c>
      <c r="T330" s="14">
        <f t="shared" si="60"/>
        <v>2.2584882481687281E-2</v>
      </c>
      <c r="U330" s="14">
        <f t="shared" si="61"/>
        <v>0.12195836540111132</v>
      </c>
      <c r="V330" s="14">
        <f t="shared" si="62"/>
        <v>8.8081041678580399E-2</v>
      </c>
      <c r="W330" s="14">
        <f t="shared" si="63"/>
        <v>3.8394300218868374E-2</v>
      </c>
      <c r="X330" s="14">
        <f t="shared" si="64"/>
        <v>9.0339529926749124E-3</v>
      </c>
      <c r="Y330" s="12">
        <f t="shared" si="65"/>
        <v>1</v>
      </c>
    </row>
    <row r="331" spans="1:28" x14ac:dyDescent="0.3">
      <c r="A331" s="23"/>
      <c r="B331" s="12">
        <v>7</v>
      </c>
      <c r="C331" s="12">
        <v>4.5999999999999996</v>
      </c>
      <c r="D331" s="12">
        <v>3.4</v>
      </c>
      <c r="E331" s="12">
        <v>1.4</v>
      </c>
      <c r="F331" s="12">
        <v>0.3</v>
      </c>
      <c r="G331" s="12">
        <v>0</v>
      </c>
      <c r="I331" s="13">
        <f>I330-('Konfigurasi Model'!$B$11*T330)</f>
        <v>0.23283960029738598</v>
      </c>
      <c r="J331" s="13">
        <f>J330-('Konfigurasi Model'!$B$11*U330)</f>
        <v>-0.4468562183984548</v>
      </c>
      <c r="K331" s="13">
        <f>K330-('Konfigurasi Model'!$B$11*V330)</f>
        <v>-0.48138064528483177</v>
      </c>
      <c r="L331" s="13">
        <f>L330-('Konfigurasi Model'!$B$11*W330)</f>
        <v>0.9306532771593321</v>
      </c>
      <c r="M331" s="13">
        <f>M330-('Konfigurasi Model'!$B$11*X330)</f>
        <v>0.75963267914468469</v>
      </c>
      <c r="N331" s="13">
        <f t="shared" si="55"/>
        <v>-1.9285888065374635</v>
      </c>
      <c r="O331" s="13">
        <f t="shared" si="56"/>
        <v>0.12690686017888994</v>
      </c>
      <c r="P331" s="12">
        <f t="shared" si="57"/>
        <v>0</v>
      </c>
      <c r="Q331" s="13">
        <f t="shared" si="58"/>
        <v>0.12690686017888994</v>
      </c>
      <c r="R331" s="13">
        <f t="shared" si="59"/>
        <v>1.6105351160464323E-2</v>
      </c>
      <c r="T331" s="14">
        <f t="shared" si="60"/>
        <v>2.8122943225222706E-2</v>
      </c>
      <c r="U331" s="14">
        <f t="shared" si="61"/>
        <v>0.12936553883602445</v>
      </c>
      <c r="V331" s="14">
        <f t="shared" si="62"/>
        <v>9.5618006965757202E-2</v>
      </c>
      <c r="W331" s="14">
        <f t="shared" si="63"/>
        <v>3.9372120515311783E-2</v>
      </c>
      <c r="X331" s="14">
        <f t="shared" si="64"/>
        <v>8.4368829675668111E-3</v>
      </c>
      <c r="Y331" s="12">
        <f t="shared" si="65"/>
        <v>1</v>
      </c>
    </row>
    <row r="332" spans="1:28" x14ac:dyDescent="0.3">
      <c r="A332" s="23"/>
      <c r="B332" s="12">
        <v>8</v>
      </c>
      <c r="C332" s="12">
        <v>5</v>
      </c>
      <c r="D332" s="12">
        <v>3.4</v>
      </c>
      <c r="E332" s="12">
        <v>1.5</v>
      </c>
      <c r="F332" s="12">
        <v>0.2</v>
      </c>
      <c r="G332" s="12">
        <v>0</v>
      </c>
      <c r="I332" s="13">
        <f>I331-('Konfigurasi Model'!$B$11*T331)</f>
        <v>0.23002730597486371</v>
      </c>
      <c r="J332" s="13">
        <f>J331-('Konfigurasi Model'!$B$11*U331)</f>
        <v>-0.45979277228205723</v>
      </c>
      <c r="K332" s="13">
        <f>K331-('Konfigurasi Model'!$B$11*V331)</f>
        <v>-0.49094244598140746</v>
      </c>
      <c r="L332" s="13">
        <f>L331-('Konfigurasi Model'!$B$11*W331)</f>
        <v>0.92671606510780091</v>
      </c>
      <c r="M332" s="13">
        <f>M331-('Konfigurasi Model'!$B$11*X331)</f>
        <v>0.75878899084792806</v>
      </c>
      <c r="N332" s="13">
        <f t="shared" si="55"/>
        <v>-2.1963089759409211</v>
      </c>
      <c r="O332" s="13">
        <f t="shared" si="56"/>
        <v>0.10008243431060587</v>
      </c>
      <c r="P332" s="12">
        <f t="shared" si="57"/>
        <v>0</v>
      </c>
      <c r="Q332" s="13">
        <f t="shared" si="58"/>
        <v>0.10008243431060587</v>
      </c>
      <c r="R332" s="13">
        <f t="shared" si="59"/>
        <v>1.001649365753674E-2</v>
      </c>
      <c r="T332" s="14">
        <f t="shared" si="60"/>
        <v>1.8028037178067436E-2</v>
      </c>
      <c r="U332" s="14">
        <f t="shared" si="61"/>
        <v>9.0140185890337177E-2</v>
      </c>
      <c r="V332" s="14">
        <f t="shared" si="62"/>
        <v>6.1295326405429278E-2</v>
      </c>
      <c r="W332" s="14">
        <f t="shared" si="63"/>
        <v>2.7042055767101156E-2</v>
      </c>
      <c r="X332" s="14">
        <f t="shared" si="64"/>
        <v>3.6056074356134874E-3</v>
      </c>
      <c r="Y332" s="12">
        <f t="shared" si="65"/>
        <v>1</v>
      </c>
    </row>
    <row r="333" spans="1:28" x14ac:dyDescent="0.3">
      <c r="A333" s="23"/>
      <c r="B333" s="12">
        <v>9</v>
      </c>
      <c r="C333" s="12">
        <v>4.4000000000000004</v>
      </c>
      <c r="D333" s="12">
        <v>2.9</v>
      </c>
      <c r="E333" s="12">
        <v>1.4</v>
      </c>
      <c r="F333" s="12">
        <v>0.2</v>
      </c>
      <c r="G333" s="12">
        <v>0</v>
      </c>
      <c r="I333" s="13">
        <f>I332-('Konfigurasi Model'!$B$11*T332)</f>
        <v>0.22822450225705695</v>
      </c>
      <c r="J333" s="13">
        <f>J332-('Konfigurasi Model'!$B$11*U332)</f>
        <v>-0.46880679087109095</v>
      </c>
      <c r="K333" s="13">
        <f>K332-('Konfigurasi Model'!$B$11*V332)</f>
        <v>-0.49707197862195041</v>
      </c>
      <c r="L333" s="13">
        <f>L332-('Konfigurasi Model'!$B$11*W332)</f>
        <v>0.92401185953109077</v>
      </c>
      <c r="M333" s="13">
        <f>M332-('Konfigurasi Model'!$B$11*X332)</f>
        <v>0.75842843010436667</v>
      </c>
      <c r="N333" s="13">
        <f t="shared" si="55"/>
        <v>-1.8307318262149992</v>
      </c>
      <c r="O333" s="13">
        <f t="shared" si="56"/>
        <v>0.13815111492638363</v>
      </c>
      <c r="P333" s="12">
        <f t="shared" si="57"/>
        <v>0</v>
      </c>
      <c r="Q333" s="13">
        <f t="shared" si="58"/>
        <v>0.13815111492638363</v>
      </c>
      <c r="R333" s="13">
        <f t="shared" si="59"/>
        <v>1.9085730555402858E-2</v>
      </c>
      <c r="T333" s="14">
        <f t="shared" si="60"/>
        <v>3.2898031199978812E-2</v>
      </c>
      <c r="U333" s="14">
        <f t="shared" si="61"/>
        <v>0.1447513372799068</v>
      </c>
      <c r="V333" s="14">
        <f t="shared" si="62"/>
        <v>9.540429047993855E-2</v>
      </c>
      <c r="W333" s="14">
        <f t="shared" si="63"/>
        <v>4.6057243679970335E-2</v>
      </c>
      <c r="X333" s="14">
        <f t="shared" si="64"/>
        <v>6.5796062399957628E-3</v>
      </c>
      <c r="Y333" s="12">
        <f t="shared" si="65"/>
        <v>1</v>
      </c>
    </row>
    <row r="334" spans="1:28" x14ac:dyDescent="0.3">
      <c r="A334" s="23"/>
      <c r="B334" s="12">
        <v>10</v>
      </c>
      <c r="C334" s="12">
        <v>4.9000000000000004</v>
      </c>
      <c r="D334" s="12">
        <v>3.1</v>
      </c>
      <c r="E334" s="12">
        <v>1.5</v>
      </c>
      <c r="F334" s="12">
        <v>0.1</v>
      </c>
      <c r="G334" s="12">
        <v>0</v>
      </c>
      <c r="I334" s="13">
        <f>I333-('Konfigurasi Model'!$B$11*T333)</f>
        <v>0.22493469913705907</v>
      </c>
      <c r="J334" s="13">
        <f>J333-('Konfigurasi Model'!$B$11*U333)</f>
        <v>-0.48328192459908165</v>
      </c>
      <c r="K334" s="13">
        <f>K333-('Konfigurasi Model'!$B$11*V333)</f>
        <v>-0.50661240766994431</v>
      </c>
      <c r="L334" s="13">
        <f>L333-('Konfigurasi Model'!$B$11*W333)</f>
        <v>0.91940613516309377</v>
      </c>
      <c r="M334" s="13">
        <f>M333-('Konfigurasi Model'!$B$11*X333)</f>
        <v>0.75777046948036708</v>
      </c>
      <c r="N334" s="13">
        <f t="shared" si="55"/>
        <v>-2.2587589454825912</v>
      </c>
      <c r="O334" s="13">
        <f t="shared" si="56"/>
        <v>9.45966094341327E-2</v>
      </c>
      <c r="P334" s="12">
        <f t="shared" si="57"/>
        <v>0</v>
      </c>
      <c r="Q334" s="13">
        <f t="shared" si="58"/>
        <v>9.45966094341327E-2</v>
      </c>
      <c r="R334" s="13">
        <f t="shared" si="59"/>
        <v>8.9485185164338444E-3</v>
      </c>
      <c r="T334" s="14">
        <f t="shared" si="60"/>
        <v>1.6204038010641294E-2</v>
      </c>
      <c r="U334" s="14">
        <f t="shared" si="61"/>
        <v>7.9399786252142349E-2</v>
      </c>
      <c r="V334" s="14">
        <f t="shared" si="62"/>
        <v>5.0232517832988009E-2</v>
      </c>
      <c r="W334" s="14">
        <f t="shared" si="63"/>
        <v>2.4306057015961939E-2</v>
      </c>
      <c r="X334" s="14">
        <f t="shared" si="64"/>
        <v>1.6204038010641294E-3</v>
      </c>
      <c r="Y334" s="12">
        <f t="shared" si="65"/>
        <v>1</v>
      </c>
    </row>
    <row r="335" spans="1:28" x14ac:dyDescent="0.3">
      <c r="A335" s="23"/>
      <c r="B335" s="12">
        <v>11</v>
      </c>
      <c r="C335" s="12">
        <v>5.4</v>
      </c>
      <c r="D335" s="12">
        <v>3.7</v>
      </c>
      <c r="E335" s="12">
        <v>1.5</v>
      </c>
      <c r="F335" s="12">
        <v>0.2</v>
      </c>
      <c r="G335" s="12">
        <v>0</v>
      </c>
      <c r="I335" s="13">
        <f>I334-('Konfigurasi Model'!$B$11*T334)</f>
        <v>0.22331429533599495</v>
      </c>
      <c r="J335" s="13">
        <f>J334-('Konfigurasi Model'!$B$11*U334)</f>
        <v>-0.49122190322429587</v>
      </c>
      <c r="K335" s="13">
        <f>K334-('Konfigurasi Model'!$B$11*V334)</f>
        <v>-0.51163565945324307</v>
      </c>
      <c r="L335" s="13">
        <f>L334-('Konfigurasi Model'!$B$11*W334)</f>
        <v>0.91697552946149763</v>
      </c>
      <c r="M335" s="13">
        <f>M334-('Konfigurasi Model'!$B$11*X334)</f>
        <v>0.75760842910026072</v>
      </c>
      <c r="N335" s="13">
        <f t="shared" si="55"/>
        <v>-2.7953509420399039</v>
      </c>
      <c r="O335" s="13">
        <f t="shared" si="56"/>
        <v>5.7575919868523347E-2</v>
      </c>
      <c r="P335" s="12">
        <f t="shared" si="57"/>
        <v>0</v>
      </c>
      <c r="Q335" s="13">
        <f t="shared" si="58"/>
        <v>5.7575919868523347E-2</v>
      </c>
      <c r="R335" s="13">
        <f t="shared" si="59"/>
        <v>3.3149865487066216E-3</v>
      </c>
      <c r="T335" s="14">
        <f t="shared" si="60"/>
        <v>6.248246297626112E-3</v>
      </c>
      <c r="U335" s="14">
        <f t="shared" si="61"/>
        <v>3.3740530007181004E-2</v>
      </c>
      <c r="V335" s="14">
        <f t="shared" si="62"/>
        <v>2.3118511301216615E-2</v>
      </c>
      <c r="W335" s="14">
        <f t="shared" si="63"/>
        <v>9.3723694464391688E-3</v>
      </c>
      <c r="X335" s="14">
        <f t="shared" si="64"/>
        <v>1.2496492595252225E-3</v>
      </c>
      <c r="Y335" s="12">
        <f t="shared" si="65"/>
        <v>1</v>
      </c>
    </row>
    <row r="336" spans="1:28" x14ac:dyDescent="0.3">
      <c r="A336" s="23"/>
      <c r="B336" s="12">
        <v>12</v>
      </c>
      <c r="C336" s="12">
        <v>4.8</v>
      </c>
      <c r="D336" s="12">
        <v>3.4</v>
      </c>
      <c r="E336" s="12">
        <v>1.6</v>
      </c>
      <c r="F336" s="12">
        <v>0.2</v>
      </c>
      <c r="G336" s="12">
        <v>0</v>
      </c>
      <c r="I336" s="13">
        <f>I335-('Konfigurasi Model'!$B$11*T335)</f>
        <v>0.22268947070623235</v>
      </c>
      <c r="J336" s="13">
        <f>J335-('Konfigurasi Model'!$B$11*U335)</f>
        <v>-0.49459595622501396</v>
      </c>
      <c r="K336" s="13">
        <f>K335-('Konfigurasi Model'!$B$11*V335)</f>
        <v>-0.51394751058336474</v>
      </c>
      <c r="L336" s="13">
        <f>L335-('Konfigurasi Model'!$B$11*W335)</f>
        <v>0.91603829251685376</v>
      </c>
      <c r="M336" s="13">
        <f>M335-('Konfigurasi Model'!$B$11*X335)</f>
        <v>0.75748346417430823</v>
      </c>
      <c r="N336" s="13">
        <f t="shared" si="55"/>
        <v>-2.2816346942954469</v>
      </c>
      <c r="O336" s="13">
        <f t="shared" si="56"/>
        <v>9.265543216650958E-2</v>
      </c>
      <c r="P336" s="12">
        <f t="shared" si="57"/>
        <v>0</v>
      </c>
      <c r="Q336" s="13">
        <f t="shared" si="58"/>
        <v>9.265543216650958E-2</v>
      </c>
      <c r="R336" s="13">
        <f t="shared" si="59"/>
        <v>8.585029109962658E-3</v>
      </c>
      <c r="T336" s="14">
        <f t="shared" si="60"/>
        <v>1.5579159055234005E-2</v>
      </c>
      <c r="U336" s="14">
        <f t="shared" si="61"/>
        <v>7.4779963465123223E-2</v>
      </c>
      <c r="V336" s="14">
        <f t="shared" si="62"/>
        <v>5.2969140787795618E-2</v>
      </c>
      <c r="W336" s="14">
        <f t="shared" si="63"/>
        <v>2.492665448837441E-2</v>
      </c>
      <c r="X336" s="14">
        <f t="shared" si="64"/>
        <v>3.1158318110468012E-3</v>
      </c>
      <c r="Y336" s="12">
        <f t="shared" si="65"/>
        <v>1</v>
      </c>
    </row>
    <row r="337" spans="1:25" x14ac:dyDescent="0.3">
      <c r="A337" s="23"/>
      <c r="B337" s="12">
        <v>13</v>
      </c>
      <c r="C337" s="12">
        <v>4.8</v>
      </c>
      <c r="D337" s="12">
        <v>3</v>
      </c>
      <c r="E337" s="12">
        <v>1.4</v>
      </c>
      <c r="F337" s="12">
        <v>0.1</v>
      </c>
      <c r="G337" s="12">
        <v>0</v>
      </c>
      <c r="I337" s="13">
        <f>I336-('Konfigurasi Model'!$B$11*T336)</f>
        <v>0.22113155480070895</v>
      </c>
      <c r="J337" s="13">
        <f>J336-('Konfigurasi Model'!$B$11*U336)</f>
        <v>-0.50207395257152632</v>
      </c>
      <c r="K337" s="13">
        <f>K336-('Konfigurasi Model'!$B$11*V336)</f>
        <v>-0.51924442466214427</v>
      </c>
      <c r="L337" s="13">
        <f>L336-('Konfigurasi Model'!$B$11*W336)</f>
        <v>0.91354562706801634</v>
      </c>
      <c r="M337" s="13">
        <f>M336-('Konfigurasi Model'!$B$11*X336)</f>
        <v>0.75717188099320354</v>
      </c>
      <c r="N337" s="13">
        <f t="shared" si="55"/>
        <v>-2.3918756255345071</v>
      </c>
      <c r="O337" s="13">
        <f t="shared" si="56"/>
        <v>8.3794322353657538E-2</v>
      </c>
      <c r="P337" s="12">
        <f t="shared" si="57"/>
        <v>0</v>
      </c>
      <c r="Q337" s="13">
        <f t="shared" si="58"/>
        <v>8.3794322353657538E-2</v>
      </c>
      <c r="R337" s="13">
        <f t="shared" si="59"/>
        <v>7.0214884587086711E-3</v>
      </c>
      <c r="T337" s="14">
        <f t="shared" si="60"/>
        <v>1.2866255182794301E-2</v>
      </c>
      <c r="U337" s="14">
        <f t="shared" si="61"/>
        <v>6.1758024877412637E-2</v>
      </c>
      <c r="V337" s="14">
        <f t="shared" si="62"/>
        <v>3.8598765548382902E-2</v>
      </c>
      <c r="W337" s="14">
        <f t="shared" si="63"/>
        <v>1.8012757255912018E-2</v>
      </c>
      <c r="X337" s="14">
        <f t="shared" si="64"/>
        <v>1.2866255182794302E-3</v>
      </c>
      <c r="Y337" s="12">
        <f t="shared" si="65"/>
        <v>1</v>
      </c>
    </row>
    <row r="338" spans="1:25" x14ac:dyDescent="0.3">
      <c r="A338" s="23"/>
      <c r="B338" s="12">
        <v>14</v>
      </c>
      <c r="C338" s="12">
        <v>4.3</v>
      </c>
      <c r="D338" s="12">
        <v>3</v>
      </c>
      <c r="E338" s="12">
        <v>1.1000000000000001</v>
      </c>
      <c r="F338" s="12">
        <v>0.1</v>
      </c>
      <c r="G338" s="12">
        <v>0</v>
      </c>
      <c r="I338" s="13">
        <f>I337-('Konfigurasi Model'!$B$11*T337)</f>
        <v>0.21984492928242952</v>
      </c>
      <c r="J338" s="13">
        <f>J337-('Konfigurasi Model'!$B$11*U337)</f>
        <v>-0.50824975505926762</v>
      </c>
      <c r="K338" s="13">
        <f>K337-('Konfigurasi Model'!$B$11*V337)</f>
        <v>-0.52310430121698259</v>
      </c>
      <c r="L338" s="13">
        <f>L337-('Konfigurasi Model'!$B$11*W337)</f>
        <v>0.91174435134242515</v>
      </c>
      <c r="M338" s="13">
        <f>M337-('Konfigurasi Model'!$B$11*X337)</f>
        <v>0.75704321844137556</v>
      </c>
      <c r="N338" s="13">
        <f t="shared" si="55"/>
        <v>-2.456318812802563</v>
      </c>
      <c r="O338" s="13">
        <f t="shared" si="56"/>
        <v>7.8977692859371909E-2</v>
      </c>
      <c r="P338" s="12">
        <f t="shared" si="57"/>
        <v>0</v>
      </c>
      <c r="Q338" s="13">
        <f t="shared" si="58"/>
        <v>7.8977692859371909E-2</v>
      </c>
      <c r="R338" s="13">
        <f t="shared" si="59"/>
        <v>6.2374759693892843E-3</v>
      </c>
      <c r="T338" s="14">
        <f t="shared" si="60"/>
        <v>1.148970901612229E-2</v>
      </c>
      <c r="U338" s="14">
        <f t="shared" si="61"/>
        <v>4.9405748769325845E-2</v>
      </c>
      <c r="V338" s="14">
        <f t="shared" si="62"/>
        <v>3.4469127048366868E-2</v>
      </c>
      <c r="W338" s="14">
        <f t="shared" si="63"/>
        <v>1.263867991773452E-2</v>
      </c>
      <c r="X338" s="14">
        <f t="shared" si="64"/>
        <v>1.1489709016122291E-3</v>
      </c>
      <c r="Y338" s="12">
        <f t="shared" si="65"/>
        <v>1</v>
      </c>
    </row>
    <row r="339" spans="1:25" x14ac:dyDescent="0.3">
      <c r="A339" s="23"/>
      <c r="B339" s="12">
        <v>15</v>
      </c>
      <c r="C339" s="12">
        <v>5.8</v>
      </c>
      <c r="D339" s="12">
        <v>4</v>
      </c>
      <c r="E339" s="12">
        <v>1.2</v>
      </c>
      <c r="F339" s="12">
        <v>0.2</v>
      </c>
      <c r="G339" s="12">
        <v>0</v>
      </c>
      <c r="I339" s="13">
        <f>I338-('Konfigurasi Model'!$B$11*T338)</f>
        <v>0.21869595838081729</v>
      </c>
      <c r="J339" s="13">
        <f>J338-('Konfigurasi Model'!$B$11*U338)</f>
        <v>-0.51319032993620017</v>
      </c>
      <c r="K339" s="13">
        <f>K338-('Konfigurasi Model'!$B$11*V338)</f>
        <v>-0.52655121392181925</v>
      </c>
      <c r="L339" s="13">
        <f>L338-('Konfigurasi Model'!$B$11*W338)</f>
        <v>0.91048048335065168</v>
      </c>
      <c r="M339" s="13">
        <f>M338-('Konfigurasi Model'!$B$11*X338)</f>
        <v>0.75692832135121435</v>
      </c>
      <c r="N339" s="13">
        <f t="shared" si="55"/>
        <v>-3.6200505666453964</v>
      </c>
      <c r="O339" s="13">
        <f t="shared" si="56"/>
        <v>2.6082790597470585E-2</v>
      </c>
      <c r="P339" s="12">
        <f t="shared" si="57"/>
        <v>0</v>
      </c>
      <c r="Q339" s="13">
        <f t="shared" si="58"/>
        <v>2.6082790597470585E-2</v>
      </c>
      <c r="R339" s="13">
        <f t="shared" si="59"/>
        <v>6.8031196535149998E-4</v>
      </c>
      <c r="T339" s="14">
        <f t="shared" si="60"/>
        <v>1.3251350616365661E-3</v>
      </c>
      <c r="U339" s="14">
        <f t="shared" si="61"/>
        <v>7.6857833574920835E-3</v>
      </c>
      <c r="V339" s="14">
        <f t="shared" si="62"/>
        <v>5.3005402465462646E-3</v>
      </c>
      <c r="W339" s="14">
        <f t="shared" si="63"/>
        <v>1.5901620739638793E-3</v>
      </c>
      <c r="X339" s="14">
        <f t="shared" si="64"/>
        <v>2.6502701232731325E-4</v>
      </c>
      <c r="Y339" s="12">
        <f t="shared" si="65"/>
        <v>1</v>
      </c>
    </row>
    <row r="340" spans="1:25" x14ac:dyDescent="0.3">
      <c r="A340" s="23"/>
      <c r="B340" s="12">
        <v>16</v>
      </c>
      <c r="C340" s="12">
        <v>5.7</v>
      </c>
      <c r="D340" s="12">
        <v>4.4000000000000004</v>
      </c>
      <c r="E340" s="12">
        <v>1.5</v>
      </c>
      <c r="F340" s="12">
        <v>0.4</v>
      </c>
      <c r="G340" s="12">
        <v>0</v>
      </c>
      <c r="I340" s="13">
        <f>I339-('Konfigurasi Model'!$B$11*T339)</f>
        <v>0.21856344487465362</v>
      </c>
      <c r="J340" s="13">
        <f>J339-('Konfigurasi Model'!$B$11*U339)</f>
        <v>-0.51395890827194934</v>
      </c>
      <c r="K340" s="13">
        <f>K339-('Konfigurasi Model'!$B$11*V339)</f>
        <v>-0.52708126794647392</v>
      </c>
      <c r="L340" s="13">
        <f>L339-('Konfigurasi Model'!$B$11*W339)</f>
        <v>0.91032146714325535</v>
      </c>
      <c r="M340" s="13">
        <f>M339-('Konfigurasi Model'!$B$11*X339)</f>
        <v>0.75690181864998163</v>
      </c>
      <c r="N340" s="13">
        <f t="shared" si="55"/>
        <v>-3.3619169830650675</v>
      </c>
      <c r="O340" s="13">
        <f t="shared" si="56"/>
        <v>3.3507087460410666E-2</v>
      </c>
      <c r="P340" s="12">
        <f t="shared" si="57"/>
        <v>0</v>
      </c>
      <c r="Q340" s="13">
        <f t="shared" si="58"/>
        <v>3.3507087460410666E-2</v>
      </c>
      <c r="R340" s="13">
        <f t="shared" si="59"/>
        <v>1.1227249100796096E-3</v>
      </c>
      <c r="T340" s="14">
        <f t="shared" si="60"/>
        <v>2.1702113366471811E-3</v>
      </c>
      <c r="U340" s="14">
        <f t="shared" si="61"/>
        <v>1.2370204618888932E-2</v>
      </c>
      <c r="V340" s="14">
        <f t="shared" si="62"/>
        <v>9.5489298812475969E-3</v>
      </c>
      <c r="W340" s="14">
        <f t="shared" si="63"/>
        <v>3.2553170049707718E-3</v>
      </c>
      <c r="X340" s="14">
        <f t="shared" si="64"/>
        <v>8.6808453465887249E-4</v>
      </c>
      <c r="Y340" s="12">
        <f t="shared" si="65"/>
        <v>1</v>
      </c>
    </row>
    <row r="341" spans="1:25" x14ac:dyDescent="0.3">
      <c r="A341" s="23"/>
      <c r="B341" s="12">
        <v>17</v>
      </c>
      <c r="C341" s="12">
        <v>5.4</v>
      </c>
      <c r="D341" s="12">
        <v>3.9</v>
      </c>
      <c r="E341" s="12">
        <v>1.3</v>
      </c>
      <c r="F341" s="12">
        <v>0.4</v>
      </c>
      <c r="G341" s="12">
        <v>0</v>
      </c>
      <c r="I341" s="13">
        <f>I340-('Konfigurasi Model'!$B$11*T340)</f>
        <v>0.21834642374098889</v>
      </c>
      <c r="J341" s="13">
        <f>J340-('Konfigurasi Model'!$B$11*U340)</f>
        <v>-0.51519592873383824</v>
      </c>
      <c r="K341" s="13">
        <f>K340-('Konfigurasi Model'!$B$11*V340)</f>
        <v>-0.52803616093459871</v>
      </c>
      <c r="L341" s="13">
        <f>L340-('Konfigurasi Model'!$B$11*W340)</f>
        <v>0.90999593544275825</v>
      </c>
      <c r="M341" s="13">
        <f>M340-('Konfigurasi Model'!$B$11*X340)</f>
        <v>0.75681501019651576</v>
      </c>
      <c r="N341" s="13">
        <f t="shared" si="55"/>
        <v>-3.137331898912481</v>
      </c>
      <c r="O341" s="13">
        <f t="shared" si="56"/>
        <v>4.159334873843229E-2</v>
      </c>
      <c r="P341" s="12">
        <f t="shared" si="57"/>
        <v>0</v>
      </c>
      <c r="Q341" s="13">
        <f t="shared" si="58"/>
        <v>4.159334873843229E-2</v>
      </c>
      <c r="R341" s="13">
        <f t="shared" si="59"/>
        <v>1.730006659276847E-3</v>
      </c>
      <c r="T341" s="14">
        <f t="shared" si="60"/>
        <v>3.3160997779554694E-3</v>
      </c>
      <c r="U341" s="14">
        <f t="shared" si="61"/>
        <v>1.7906938800959536E-2</v>
      </c>
      <c r="V341" s="14">
        <f t="shared" si="62"/>
        <v>1.293278913402633E-2</v>
      </c>
      <c r="W341" s="14">
        <f t="shared" si="63"/>
        <v>4.31092971134211E-3</v>
      </c>
      <c r="X341" s="14">
        <f t="shared" si="64"/>
        <v>1.3264399111821879E-3</v>
      </c>
      <c r="Y341" s="12">
        <f t="shared" si="65"/>
        <v>1</v>
      </c>
    </row>
    <row r="342" spans="1:25" x14ac:dyDescent="0.3">
      <c r="A342" s="23"/>
      <c r="B342" s="12">
        <v>18</v>
      </c>
      <c r="C342" s="12">
        <v>5.0999999999999996</v>
      </c>
      <c r="D342" s="12">
        <v>3.5</v>
      </c>
      <c r="E342" s="12">
        <v>1.4</v>
      </c>
      <c r="F342" s="12">
        <v>0.3</v>
      </c>
      <c r="G342" s="12">
        <v>0</v>
      </c>
      <c r="I342" s="13">
        <f>I341-('Konfigurasi Model'!$B$11*T341)</f>
        <v>0.21801481376319334</v>
      </c>
      <c r="J342" s="13">
        <f>J341-('Konfigurasi Model'!$B$11*U341)</f>
        <v>-0.51698662261393424</v>
      </c>
      <c r="K342" s="13">
        <f>K341-('Konfigurasi Model'!$B$11*V341)</f>
        <v>-0.52932943984800129</v>
      </c>
      <c r="L342" s="13">
        <f>L341-('Konfigurasi Model'!$B$11*W341)</f>
        <v>0.90956484247162406</v>
      </c>
      <c r="M342" s="13">
        <f>M341-('Konfigurasi Model'!$B$11*X341)</f>
        <v>0.75668236620539753</v>
      </c>
      <c r="N342" s="13">
        <f t="shared" si="55"/>
        <v>-2.7708745117139828</v>
      </c>
      <c r="O342" s="13">
        <f t="shared" si="56"/>
        <v>5.8918505605062753E-2</v>
      </c>
      <c r="P342" s="12">
        <f t="shared" si="57"/>
        <v>0</v>
      </c>
      <c r="Q342" s="13">
        <f t="shared" si="58"/>
        <v>5.8918505605062753E-2</v>
      </c>
      <c r="R342" s="13">
        <f t="shared" si="59"/>
        <v>3.4713903027338111E-3</v>
      </c>
      <c r="T342" s="14">
        <f t="shared" si="60"/>
        <v>6.5337223474496572E-3</v>
      </c>
      <c r="U342" s="14">
        <f t="shared" si="61"/>
        <v>3.3321983971993249E-2</v>
      </c>
      <c r="V342" s="14">
        <f t="shared" si="62"/>
        <v>2.28680282160738E-2</v>
      </c>
      <c r="W342" s="14">
        <f t="shared" si="63"/>
        <v>9.1472112864295196E-3</v>
      </c>
      <c r="X342" s="14">
        <f t="shared" si="64"/>
        <v>1.960116704234897E-3</v>
      </c>
      <c r="Y342" s="12">
        <f t="shared" si="65"/>
        <v>1</v>
      </c>
    </row>
    <row r="343" spans="1:25" x14ac:dyDescent="0.3">
      <c r="A343" s="23"/>
      <c r="B343" s="12">
        <v>19</v>
      </c>
      <c r="C343" s="12">
        <v>5.7</v>
      </c>
      <c r="D343" s="12">
        <v>3.8</v>
      </c>
      <c r="E343" s="12">
        <v>1.7</v>
      </c>
      <c r="F343" s="12">
        <v>0.3</v>
      </c>
      <c r="G343" s="12">
        <v>0</v>
      </c>
      <c r="I343" s="13">
        <f>I342-('Konfigurasi Model'!$B$11*T342)</f>
        <v>0.21736144152844838</v>
      </c>
      <c r="J343" s="13">
        <f>J342-('Konfigurasi Model'!$B$11*U342)</f>
        <v>-0.52031882101113358</v>
      </c>
      <c r="K343" s="13">
        <f>K342-('Konfigurasi Model'!$B$11*V342)</f>
        <v>-0.53161624266960872</v>
      </c>
      <c r="L343" s="13">
        <f>L342-('Konfigurasi Model'!$B$11*W342)</f>
        <v>0.90865012134298107</v>
      </c>
      <c r="M343" s="13">
        <f>M342-('Konfigurasi Model'!$B$11*X342)</f>
        <v>0.75648635453497404</v>
      </c>
      <c r="N343" s="13">
        <f t="shared" si="55"/>
        <v>-2.996946447735966</v>
      </c>
      <c r="O343" s="13">
        <f t="shared" si="56"/>
        <v>4.7564013265736199E-2</v>
      </c>
      <c r="P343" s="12">
        <f t="shared" si="57"/>
        <v>0</v>
      </c>
      <c r="Q343" s="13">
        <f t="shared" si="58"/>
        <v>4.7564013265736199E-2</v>
      </c>
      <c r="R343" s="13">
        <f t="shared" si="59"/>
        <v>2.262335357943129E-3</v>
      </c>
      <c r="T343" s="14">
        <f t="shared" si="60"/>
        <v>4.3094592179327559E-3</v>
      </c>
      <c r="U343" s="14">
        <f t="shared" si="61"/>
        <v>2.456391754221671E-2</v>
      </c>
      <c r="V343" s="14">
        <f t="shared" si="62"/>
        <v>1.6375945028144472E-2</v>
      </c>
      <c r="W343" s="14">
        <f t="shared" si="63"/>
        <v>7.3260806704856848E-3</v>
      </c>
      <c r="X343" s="14">
        <f t="shared" si="64"/>
        <v>1.2928377653798268E-3</v>
      </c>
      <c r="Y343" s="12">
        <f t="shared" si="65"/>
        <v>1</v>
      </c>
    </row>
    <row r="344" spans="1:25" x14ac:dyDescent="0.3">
      <c r="A344" s="23"/>
      <c r="B344" s="12">
        <v>20</v>
      </c>
      <c r="C344" s="12">
        <v>5.0999999999999996</v>
      </c>
      <c r="D344" s="12">
        <v>3.8</v>
      </c>
      <c r="E344" s="12">
        <v>1.5</v>
      </c>
      <c r="F344" s="12">
        <v>0.3</v>
      </c>
      <c r="G344" s="12">
        <v>0</v>
      </c>
      <c r="I344" s="13">
        <f>I343-('Konfigurasi Model'!$B$11*T343)</f>
        <v>0.21693049560665512</v>
      </c>
      <c r="J344" s="13">
        <f>J343-('Konfigurasi Model'!$B$11*U343)</f>
        <v>-0.52277521276535521</v>
      </c>
      <c r="K344" s="13">
        <f>K343-('Konfigurasi Model'!$B$11*V343)</f>
        <v>-0.53325383717242314</v>
      </c>
      <c r="L344" s="13">
        <f>L343-('Konfigurasi Model'!$B$11*W343)</f>
        <v>0.90791751327593251</v>
      </c>
      <c r="M344" s="13">
        <f>M343-('Konfigurasi Model'!$B$11*X343)</f>
        <v>0.75635707075843606</v>
      </c>
      <c r="N344" s="13">
        <f t="shared" si="55"/>
        <v>-2.8868042796104341</v>
      </c>
      <c r="O344" s="13">
        <f t="shared" si="56"/>
        <v>5.2809742907738592E-2</v>
      </c>
      <c r="P344" s="12">
        <f t="shared" si="57"/>
        <v>0</v>
      </c>
      <c r="Q344" s="13">
        <f t="shared" si="58"/>
        <v>5.2809742907738592E-2</v>
      </c>
      <c r="R344" s="13">
        <f t="shared" si="59"/>
        <v>2.7888689459814467E-3</v>
      </c>
      <c r="T344" s="14">
        <f t="shared" si="60"/>
        <v>5.2831789878815807E-3</v>
      </c>
      <c r="U344" s="14">
        <f t="shared" si="61"/>
        <v>2.694421283819606E-2</v>
      </c>
      <c r="V344" s="14">
        <f t="shared" si="62"/>
        <v>2.0076080153950005E-2</v>
      </c>
      <c r="W344" s="14">
        <f t="shared" si="63"/>
        <v>7.9247684818223706E-3</v>
      </c>
      <c r="X344" s="14">
        <f t="shared" si="64"/>
        <v>1.5849536963644742E-3</v>
      </c>
      <c r="Y344" s="12">
        <f t="shared" si="65"/>
        <v>1</v>
      </c>
    </row>
    <row r="345" spans="1:25" x14ac:dyDescent="0.3">
      <c r="A345" s="23"/>
      <c r="B345" s="12">
        <v>21</v>
      </c>
      <c r="C345" s="12">
        <v>5.4</v>
      </c>
      <c r="D345" s="12">
        <v>3.4</v>
      </c>
      <c r="E345" s="12">
        <v>1.7</v>
      </c>
      <c r="F345" s="12">
        <v>0.2</v>
      </c>
      <c r="G345" s="12">
        <v>0</v>
      </c>
      <c r="I345" s="13">
        <f>I344-('Konfigurasi Model'!$B$11*T344)</f>
        <v>0.21640217770786696</v>
      </c>
      <c r="J345" s="13">
        <f>J344-('Konfigurasi Model'!$B$11*U344)</f>
        <v>-0.52546963404917479</v>
      </c>
      <c r="K345" s="13">
        <f>K344-('Konfigurasi Model'!$B$11*V344)</f>
        <v>-0.53526144518781815</v>
      </c>
      <c r="L345" s="13">
        <f>L344-('Konfigurasi Model'!$B$11*W344)</f>
        <v>0.90712503642775022</v>
      </c>
      <c r="M345" s="13">
        <f>M344-('Konfigurasi Model'!$B$11*X344)</f>
        <v>0.75619857538879964</v>
      </c>
      <c r="N345" s="13">
        <f t="shared" si="55"/>
        <v>-2.7476704827913236</v>
      </c>
      <c r="O345" s="13">
        <f t="shared" si="56"/>
        <v>6.021834745973062E-2</v>
      </c>
      <c r="P345" s="12">
        <f t="shared" si="57"/>
        <v>0</v>
      </c>
      <c r="Q345" s="13">
        <f t="shared" si="58"/>
        <v>6.021834745973062E-2</v>
      </c>
      <c r="R345" s="13">
        <f t="shared" si="59"/>
        <v>3.6262493707808451E-3</v>
      </c>
      <c r="T345" s="14">
        <f t="shared" si="60"/>
        <v>6.8157652523910695E-3</v>
      </c>
      <c r="U345" s="14">
        <f t="shared" si="61"/>
        <v>3.6805132362911774E-2</v>
      </c>
      <c r="V345" s="14">
        <f t="shared" si="62"/>
        <v>2.3173601858129635E-2</v>
      </c>
      <c r="W345" s="14">
        <f t="shared" si="63"/>
        <v>1.1586800929064818E-2</v>
      </c>
      <c r="X345" s="14">
        <f t="shared" si="64"/>
        <v>1.363153050478214E-3</v>
      </c>
      <c r="Y345" s="12">
        <f t="shared" si="65"/>
        <v>1</v>
      </c>
    </row>
    <row r="346" spans="1:25" x14ac:dyDescent="0.3">
      <c r="A346" s="23"/>
      <c r="B346" s="12">
        <v>22</v>
      </c>
      <c r="C346" s="12">
        <v>5.0999999999999996</v>
      </c>
      <c r="D346" s="12">
        <v>3.7</v>
      </c>
      <c r="E346" s="12">
        <v>1.5</v>
      </c>
      <c r="F346" s="12">
        <v>0.4</v>
      </c>
      <c r="G346" s="12">
        <v>0</v>
      </c>
      <c r="I346" s="13">
        <f>I345-('Konfigurasi Model'!$B$11*T345)</f>
        <v>0.21572060118262784</v>
      </c>
      <c r="J346" s="13">
        <f>J345-('Konfigurasi Model'!$B$11*U345)</f>
        <v>-0.52915014728546594</v>
      </c>
      <c r="K346" s="13">
        <f>K345-('Konfigurasi Model'!$B$11*V345)</f>
        <v>-0.53757880537363112</v>
      </c>
      <c r="L346" s="13">
        <f>L345-('Konfigurasi Model'!$B$11*W345)</f>
        <v>0.90596635633484379</v>
      </c>
      <c r="M346" s="13">
        <f>M345-('Konfigurasi Model'!$B$11*X345)</f>
        <v>0.75606226008375177</v>
      </c>
      <c r="N346" s="13">
        <f t="shared" si="55"/>
        <v>-2.8106122913199174</v>
      </c>
      <c r="O346" s="13">
        <f t="shared" si="56"/>
        <v>5.6753394459293026E-2</v>
      </c>
      <c r="P346" s="12">
        <f t="shared" si="57"/>
        <v>0</v>
      </c>
      <c r="Q346" s="13">
        <f t="shared" si="58"/>
        <v>5.6753394459293026E-2</v>
      </c>
      <c r="R346" s="13">
        <f t="shared" si="59"/>
        <v>3.2209477826521124E-3</v>
      </c>
      <c r="T346" s="14">
        <f t="shared" si="60"/>
        <v>6.076296125220944E-3</v>
      </c>
      <c r="U346" s="14">
        <f t="shared" si="61"/>
        <v>3.0989110238626813E-2</v>
      </c>
      <c r="V346" s="14">
        <f t="shared" si="62"/>
        <v>2.2482295663317494E-2</v>
      </c>
      <c r="W346" s="14">
        <f t="shared" si="63"/>
        <v>9.1144441878314164E-3</v>
      </c>
      <c r="X346" s="14">
        <f t="shared" si="64"/>
        <v>2.4305184500883776E-3</v>
      </c>
      <c r="Y346" s="12">
        <f t="shared" si="65"/>
        <v>1</v>
      </c>
    </row>
    <row r="347" spans="1:25" x14ac:dyDescent="0.3">
      <c r="A347" s="23"/>
      <c r="B347" s="12">
        <v>23</v>
      </c>
      <c r="C347" s="12">
        <v>4.5999999999999996</v>
      </c>
      <c r="D347" s="12">
        <v>3.6</v>
      </c>
      <c r="E347" s="12">
        <v>1</v>
      </c>
      <c r="F347" s="12">
        <v>0.2</v>
      </c>
      <c r="G347" s="12">
        <v>0</v>
      </c>
      <c r="I347" s="13">
        <f>I346-('Konfigurasi Model'!$B$11*T346)</f>
        <v>0.21511297157010575</v>
      </c>
      <c r="J347" s="13">
        <f>J346-('Konfigurasi Model'!$B$11*U346)</f>
        <v>-0.53224905830932867</v>
      </c>
      <c r="K347" s="13">
        <f>K346-('Konfigurasi Model'!$B$11*V346)</f>
        <v>-0.53982703493996287</v>
      </c>
      <c r="L347" s="13">
        <f>L346-('Konfigurasi Model'!$B$11*W346)</f>
        <v>0.90505491191606069</v>
      </c>
      <c r="M347" s="13">
        <f>M346-('Konfigurasi Model'!$B$11*X346)</f>
        <v>0.75581920823874293</v>
      </c>
      <c r="N347" s="13">
        <f t="shared" si="55"/>
        <v>-3.1203912688728637</v>
      </c>
      <c r="O347" s="13">
        <f t="shared" si="56"/>
        <v>4.2273927763310938E-2</v>
      </c>
      <c r="P347" s="12">
        <f t="shared" si="57"/>
        <v>0</v>
      </c>
      <c r="Q347" s="13">
        <f t="shared" si="58"/>
        <v>4.2273927763310938E-2</v>
      </c>
      <c r="R347" s="13">
        <f t="shared" si="59"/>
        <v>1.7870849685376314E-3</v>
      </c>
      <c r="T347" s="14">
        <f t="shared" si="60"/>
        <v>3.4230757353415453E-3</v>
      </c>
      <c r="U347" s="14">
        <f t="shared" si="61"/>
        <v>1.5746148382571108E-2</v>
      </c>
      <c r="V347" s="14">
        <f t="shared" si="62"/>
        <v>1.2323072647229562E-2</v>
      </c>
      <c r="W347" s="14">
        <f t="shared" si="63"/>
        <v>3.4230757353415453E-3</v>
      </c>
      <c r="X347" s="14">
        <f t="shared" si="64"/>
        <v>6.846151470683091E-4</v>
      </c>
      <c r="Y347" s="12">
        <f t="shared" si="65"/>
        <v>1</v>
      </c>
    </row>
    <row r="348" spans="1:25" x14ac:dyDescent="0.3">
      <c r="A348" s="23"/>
      <c r="B348" s="12">
        <v>24</v>
      </c>
      <c r="C348" s="12">
        <v>5.0999999999999996</v>
      </c>
      <c r="D348" s="12">
        <v>3.3</v>
      </c>
      <c r="E348" s="12">
        <v>1.7</v>
      </c>
      <c r="F348" s="12">
        <v>0.5</v>
      </c>
      <c r="G348" s="12">
        <v>0</v>
      </c>
      <c r="I348" s="13">
        <f>I347-('Konfigurasi Model'!$B$11*T347)</f>
        <v>0.2147706639965716</v>
      </c>
      <c r="J348" s="13">
        <f>J347-('Konfigurasi Model'!$B$11*U347)</f>
        <v>-0.53382367314758583</v>
      </c>
      <c r="K348" s="13">
        <f>K347-('Konfigurasi Model'!$B$11*V347)</f>
        <v>-0.54105934220468588</v>
      </c>
      <c r="L348" s="13">
        <f>L347-('Konfigurasi Model'!$B$11*W347)</f>
        <v>0.90471260434252654</v>
      </c>
      <c r="M348" s="13">
        <f>M347-('Konfigurasi Model'!$B$11*X347)</f>
        <v>0.75575074672403608</v>
      </c>
      <c r="N348" s="13">
        <f t="shared" si="55"/>
        <v>-2.3773390975872664</v>
      </c>
      <c r="O348" s="13">
        <f t="shared" si="56"/>
        <v>8.4917106077651044E-2</v>
      </c>
      <c r="P348" s="12">
        <f t="shared" si="57"/>
        <v>0</v>
      </c>
      <c r="Q348" s="13">
        <f t="shared" si="58"/>
        <v>8.4917106077651044E-2</v>
      </c>
      <c r="R348" s="13">
        <f t="shared" si="59"/>
        <v>7.2109149046030397E-3</v>
      </c>
      <c r="T348" s="14">
        <f t="shared" si="60"/>
        <v>1.3197169757463897E-2</v>
      </c>
      <c r="U348" s="14">
        <f t="shared" si="61"/>
        <v>6.7305565763065872E-2</v>
      </c>
      <c r="V348" s="14">
        <f t="shared" si="62"/>
        <v>4.3550660199630858E-2</v>
      </c>
      <c r="W348" s="14">
        <f t="shared" si="63"/>
        <v>2.2435188587688625E-2</v>
      </c>
      <c r="X348" s="14">
        <f t="shared" si="64"/>
        <v>6.5985848787319485E-3</v>
      </c>
      <c r="Y348" s="12">
        <f t="shared" si="65"/>
        <v>1</v>
      </c>
    </row>
    <row r="349" spans="1:25" x14ac:dyDescent="0.3">
      <c r="A349" s="23"/>
      <c r="B349" s="12">
        <v>25</v>
      </c>
      <c r="C349" s="12">
        <v>4.8</v>
      </c>
      <c r="D349" s="12">
        <v>3.4</v>
      </c>
      <c r="E349" s="12">
        <v>1.9</v>
      </c>
      <c r="F349" s="12">
        <v>0.2</v>
      </c>
      <c r="G349" s="12">
        <v>0</v>
      </c>
      <c r="I349" s="13">
        <f>I348-('Konfigurasi Model'!$B$11*T348)</f>
        <v>0.2134509470208252</v>
      </c>
      <c r="J349" s="13">
        <f>J348-('Konfigurasi Model'!$B$11*U348)</f>
        <v>-0.54055422972389244</v>
      </c>
      <c r="K349" s="13">
        <f>K348-('Konfigurasi Model'!$B$11*V348)</f>
        <v>-0.54541440822464893</v>
      </c>
      <c r="L349" s="13">
        <f>L348-('Konfigurasi Model'!$B$11*W348)</f>
        <v>0.9024690854837577</v>
      </c>
      <c r="M349" s="13">
        <f>M348-('Konfigurasi Model'!$B$11*X348)</f>
        <v>0.75509088823616288</v>
      </c>
      <c r="N349" s="13">
        <f t="shared" si="55"/>
        <v>-2.3699089035512926</v>
      </c>
      <c r="O349" s="13">
        <f t="shared" si="56"/>
        <v>8.5496261692102421E-2</v>
      </c>
      <c r="P349" s="12">
        <f t="shared" si="57"/>
        <v>0</v>
      </c>
      <c r="Q349" s="13">
        <f t="shared" si="58"/>
        <v>8.5496261692102421E-2</v>
      </c>
      <c r="R349" s="13">
        <f t="shared" si="59"/>
        <v>7.3096107633244603E-3</v>
      </c>
      <c r="T349" s="14">
        <f t="shared" si="60"/>
        <v>1.3369332737271726E-2</v>
      </c>
      <c r="U349" s="14">
        <f t="shared" si="61"/>
        <v>6.4172797138904281E-2</v>
      </c>
      <c r="V349" s="14">
        <f t="shared" si="62"/>
        <v>4.5455731306723868E-2</v>
      </c>
      <c r="W349" s="14">
        <f t="shared" si="63"/>
        <v>2.5401732200816277E-2</v>
      </c>
      <c r="X349" s="14">
        <f t="shared" si="64"/>
        <v>2.6738665474543453E-3</v>
      </c>
      <c r="Y349" s="12">
        <f t="shared" si="65"/>
        <v>1</v>
      </c>
    </row>
    <row r="350" spans="1:25" x14ac:dyDescent="0.3">
      <c r="A350" s="23"/>
      <c r="B350" s="12">
        <v>26</v>
      </c>
      <c r="C350" s="12">
        <v>5</v>
      </c>
      <c r="D350" s="12">
        <v>3</v>
      </c>
      <c r="E350" s="12">
        <v>1.6</v>
      </c>
      <c r="F350" s="12">
        <v>0.2</v>
      </c>
      <c r="G350" s="12">
        <v>0</v>
      </c>
      <c r="I350" s="13">
        <f>I349-('Konfigurasi Model'!$B$11*T349)</f>
        <v>0.21211401374709804</v>
      </c>
      <c r="J350" s="13">
        <f>J349-('Konfigurasi Model'!$B$11*U349)</f>
        <v>-0.54697150943778283</v>
      </c>
      <c r="K350" s="13">
        <f>K349-('Konfigurasi Model'!$B$11*V349)</f>
        <v>-0.54995998135532131</v>
      </c>
      <c r="L350" s="13">
        <f>L349-('Konfigurasi Model'!$B$11*W349)</f>
        <v>0.89992891226367611</v>
      </c>
      <c r="M350" s="13">
        <f>M349-('Konfigurasi Model'!$B$11*X349)</f>
        <v>0.75482350158141742</v>
      </c>
      <c r="N350" s="13">
        <f t="shared" si="55"/>
        <v>-2.5817725175696156</v>
      </c>
      <c r="O350" s="13">
        <f t="shared" si="56"/>
        <v>7.0320762929127881E-2</v>
      </c>
      <c r="P350" s="12">
        <f t="shared" si="57"/>
        <v>0</v>
      </c>
      <c r="Q350" s="13">
        <f t="shared" si="58"/>
        <v>7.0320762929127881E-2</v>
      </c>
      <c r="R350" s="13">
        <f t="shared" si="59"/>
        <v>4.9450096989346057E-3</v>
      </c>
      <c r="T350" s="14">
        <f t="shared" si="60"/>
        <v>9.1945456884271748E-3</v>
      </c>
      <c r="U350" s="14">
        <f t="shared" si="61"/>
        <v>4.5972728442135874E-2</v>
      </c>
      <c r="V350" s="14">
        <f t="shared" si="62"/>
        <v>2.7583637065281524E-2</v>
      </c>
      <c r="W350" s="14">
        <f t="shared" si="63"/>
        <v>1.471127310148348E-2</v>
      </c>
      <c r="X350" s="14">
        <f t="shared" si="64"/>
        <v>1.838909137685435E-3</v>
      </c>
      <c r="Y350" s="12">
        <f t="shared" si="65"/>
        <v>1</v>
      </c>
    </row>
    <row r="351" spans="1:25" x14ac:dyDescent="0.3">
      <c r="A351" s="23"/>
      <c r="B351" s="12">
        <v>27</v>
      </c>
      <c r="C351" s="12">
        <v>5</v>
      </c>
      <c r="D351" s="12">
        <v>3.4</v>
      </c>
      <c r="E351" s="12">
        <v>1.6</v>
      </c>
      <c r="F351" s="12">
        <v>0.4</v>
      </c>
      <c r="G351" s="12">
        <v>0</v>
      </c>
      <c r="I351" s="13">
        <f>I350-('Konfigurasi Model'!$B$11*T350)</f>
        <v>0.21119455917825533</v>
      </c>
      <c r="J351" s="13">
        <f>J350-('Konfigurasi Model'!$B$11*U350)</f>
        <v>-0.55156878228199646</v>
      </c>
      <c r="K351" s="13">
        <f>K350-('Konfigurasi Model'!$B$11*V350)</f>
        <v>-0.55271834506184947</v>
      </c>
      <c r="L351" s="13">
        <f>L350-('Konfigurasi Model'!$B$11*W350)</f>
        <v>0.89845778495352779</v>
      </c>
      <c r="M351" s="13">
        <f>M350-('Konfigurasi Model'!$B$11*X350)</f>
        <v>0.75463961066764884</v>
      </c>
      <c r="N351" s="13">
        <f t="shared" si="55"/>
        <v>-2.6865034252493114</v>
      </c>
      <c r="O351" s="13">
        <f t="shared" si="56"/>
        <v>6.3774471166210336E-2</v>
      </c>
      <c r="P351" s="12">
        <f t="shared" si="57"/>
        <v>0</v>
      </c>
      <c r="Q351" s="13">
        <f t="shared" si="58"/>
        <v>6.3774471166210336E-2</v>
      </c>
      <c r="R351" s="13">
        <f t="shared" si="59"/>
        <v>4.0671831725297937E-3</v>
      </c>
      <c r="T351" s="14">
        <f t="shared" si="60"/>
        <v>7.615601433131192E-3</v>
      </c>
      <c r="U351" s="14">
        <f t="shared" si="61"/>
        <v>3.8078007165655958E-2</v>
      </c>
      <c r="V351" s="14">
        <f t="shared" si="62"/>
        <v>2.5893044872646053E-2</v>
      </c>
      <c r="W351" s="14">
        <f t="shared" si="63"/>
        <v>1.2184962293009909E-2</v>
      </c>
      <c r="X351" s="14">
        <f t="shared" si="64"/>
        <v>3.0462405732524771E-3</v>
      </c>
      <c r="Y351" s="12">
        <f t="shared" si="65"/>
        <v>1</v>
      </c>
    </row>
    <row r="352" spans="1:25" x14ac:dyDescent="0.3">
      <c r="A352" s="23"/>
      <c r="B352" s="12">
        <v>28</v>
      </c>
      <c r="C352" s="12">
        <v>5.2</v>
      </c>
      <c r="D352" s="12">
        <v>3.5</v>
      </c>
      <c r="E352" s="12">
        <v>1.5</v>
      </c>
      <c r="F352" s="12">
        <v>0.2</v>
      </c>
      <c r="G352" s="12">
        <v>0</v>
      </c>
      <c r="I352" s="13">
        <f>I351-('Konfigurasi Model'!$B$11*T351)</f>
        <v>0.21043299903494223</v>
      </c>
      <c r="J352" s="13">
        <f>J351-('Konfigurasi Model'!$B$11*U351)</f>
        <v>-0.55537658299856207</v>
      </c>
      <c r="K352" s="13">
        <f>K351-('Konfigurasi Model'!$B$11*V351)</f>
        <v>-0.55530764954911405</v>
      </c>
      <c r="L352" s="13">
        <f>L351-('Konfigurasi Model'!$B$11*W351)</f>
        <v>0.89723928872422676</v>
      </c>
      <c r="M352" s="13">
        <f>M351-('Konfigurasi Model'!$B$11*X351)</f>
        <v>0.75433498661032361</v>
      </c>
      <c r="N352" s="13">
        <f t="shared" si="55"/>
        <v>-3.1243760755710746</v>
      </c>
      <c r="O352" s="13">
        <f t="shared" si="56"/>
        <v>4.211288945984306E-2</v>
      </c>
      <c r="P352" s="12">
        <f t="shared" si="57"/>
        <v>0</v>
      </c>
      <c r="Q352" s="13">
        <f t="shared" si="58"/>
        <v>4.211288945984306E-2</v>
      </c>
      <c r="R352" s="13">
        <f t="shared" si="59"/>
        <v>1.7734954586569607E-3</v>
      </c>
      <c r="T352" s="14">
        <f t="shared" si="60"/>
        <v>3.397616880898013E-3</v>
      </c>
      <c r="U352" s="14">
        <f t="shared" si="61"/>
        <v>1.766760778066967E-2</v>
      </c>
      <c r="V352" s="14">
        <f t="shared" si="62"/>
        <v>1.1891659083143045E-2</v>
      </c>
      <c r="W352" s="14">
        <f t="shared" si="63"/>
        <v>5.0964253213470192E-3</v>
      </c>
      <c r="X352" s="14">
        <f t="shared" si="64"/>
        <v>6.7952337617960268E-4</v>
      </c>
      <c r="Y352" s="12">
        <f t="shared" si="65"/>
        <v>1</v>
      </c>
    </row>
    <row r="353" spans="1:25" x14ac:dyDescent="0.3">
      <c r="A353" s="23"/>
      <c r="B353" s="12">
        <v>29</v>
      </c>
      <c r="C353" s="12">
        <v>5.2</v>
      </c>
      <c r="D353" s="12">
        <v>3.4</v>
      </c>
      <c r="E353" s="12">
        <v>1.4</v>
      </c>
      <c r="F353" s="12">
        <v>0.2</v>
      </c>
      <c r="G353" s="12">
        <v>0</v>
      </c>
      <c r="I353" s="13">
        <f>I352-('Konfigurasi Model'!$B$11*T352)</f>
        <v>0.21009323734685242</v>
      </c>
      <c r="J353" s="13">
        <f>J352-('Konfigurasi Model'!$B$11*U352)</f>
        <v>-0.557143343776629</v>
      </c>
      <c r="K353" s="13">
        <f>K352-('Konfigurasi Model'!$B$11*V352)</f>
        <v>-0.55649681545742835</v>
      </c>
      <c r="L353" s="13">
        <f>L352-('Konfigurasi Model'!$B$11*W352)</f>
        <v>0.89672964619209206</v>
      </c>
      <c r="M353" s="13">
        <f>M352-('Konfigurasi Model'!$B$11*X352)</f>
        <v>0.75426703427270569</v>
      </c>
      <c r="N353" s="13">
        <f t="shared" si="55"/>
        <v>-3.1728664113234042</v>
      </c>
      <c r="O353" s="13">
        <f t="shared" si="56"/>
        <v>4.0199672904819045E-2</v>
      </c>
      <c r="P353" s="12">
        <f t="shared" si="57"/>
        <v>0</v>
      </c>
      <c r="Q353" s="13">
        <f t="shared" si="58"/>
        <v>4.0199672904819045E-2</v>
      </c>
      <c r="R353" s="13">
        <f t="shared" si="59"/>
        <v>1.6160137016544424E-3</v>
      </c>
      <c r="T353" s="14">
        <f t="shared" si="60"/>
        <v>3.1021009588764561E-3</v>
      </c>
      <c r="U353" s="14">
        <f t="shared" si="61"/>
        <v>1.6130924986157574E-2</v>
      </c>
      <c r="V353" s="14">
        <f t="shared" si="62"/>
        <v>1.0547143260179951E-2</v>
      </c>
      <c r="W353" s="14">
        <f t="shared" si="63"/>
        <v>4.3429413424270384E-3</v>
      </c>
      <c r="X353" s="14">
        <f t="shared" si="64"/>
        <v>6.2042019177529128E-4</v>
      </c>
      <c r="Y353" s="12">
        <f t="shared" si="65"/>
        <v>1</v>
      </c>
    </row>
    <row r="354" spans="1:25" x14ac:dyDescent="0.3">
      <c r="A354" s="23"/>
      <c r="B354" s="12">
        <v>30</v>
      </c>
      <c r="C354" s="12">
        <v>4.7</v>
      </c>
      <c r="D354" s="12">
        <v>3.2</v>
      </c>
      <c r="E354" s="12">
        <v>1.6</v>
      </c>
      <c r="F354" s="12">
        <v>0.2</v>
      </c>
      <c r="G354" s="12">
        <v>0</v>
      </c>
      <c r="I354" s="13">
        <f>I353-('Konfigurasi Model'!$B$11*T353)</f>
        <v>0.20978302725096479</v>
      </c>
      <c r="J354" s="13">
        <f>J353-('Konfigurasi Model'!$B$11*U353)</f>
        <v>-0.55875643627524474</v>
      </c>
      <c r="K354" s="13">
        <f>K353-('Konfigurasi Model'!$B$11*V353)</f>
        <v>-0.55755152978344635</v>
      </c>
      <c r="L354" s="13">
        <f>L353-('Konfigurasi Model'!$B$11*W353)</f>
        <v>0.89629535205784938</v>
      </c>
      <c r="M354" s="13">
        <f>M353-('Konfigurasi Model'!$B$11*X353)</f>
        <v>0.75420499225352822</v>
      </c>
      <c r="N354" s="13">
        <f t="shared" si="55"/>
        <v>-2.6156235568064492</v>
      </c>
      <c r="O354" s="13">
        <f t="shared" si="56"/>
        <v>6.8139658372694895E-2</v>
      </c>
      <c r="P354" s="12">
        <f t="shared" si="57"/>
        <v>0</v>
      </c>
      <c r="Q354" s="13">
        <f t="shared" si="58"/>
        <v>6.8139658372694895E-2</v>
      </c>
      <c r="R354" s="13">
        <f t="shared" si="59"/>
        <v>4.6430130431475694E-3</v>
      </c>
      <c r="T354" s="14">
        <f t="shared" si="60"/>
        <v>8.6532794411350554E-3</v>
      </c>
      <c r="U354" s="14">
        <f t="shared" si="61"/>
        <v>4.0670413373334761E-2</v>
      </c>
      <c r="V354" s="14">
        <f t="shared" si="62"/>
        <v>2.769049421163218E-2</v>
      </c>
      <c r="W354" s="14">
        <f t="shared" si="63"/>
        <v>1.384524710581609E-2</v>
      </c>
      <c r="X354" s="14">
        <f t="shared" si="64"/>
        <v>1.7306558882270113E-3</v>
      </c>
      <c r="Y354" s="12">
        <f t="shared" si="65"/>
        <v>1</v>
      </c>
    </row>
    <row r="355" spans="1:25" x14ac:dyDescent="0.3">
      <c r="A355" s="23"/>
      <c r="B355" s="12">
        <v>31</v>
      </c>
      <c r="C355" s="12">
        <v>4.8</v>
      </c>
      <c r="D355" s="12">
        <v>3.1</v>
      </c>
      <c r="E355" s="12">
        <v>1.6</v>
      </c>
      <c r="F355" s="12">
        <v>0.2</v>
      </c>
      <c r="G355" s="12">
        <v>0</v>
      </c>
      <c r="I355" s="13">
        <f>I354-('Konfigurasi Model'!$B$11*T354)</f>
        <v>0.20891769930685128</v>
      </c>
      <c r="J355" s="13">
        <f>J354-('Konfigurasi Model'!$B$11*U354)</f>
        <v>-0.56282347761257823</v>
      </c>
      <c r="K355" s="13">
        <f>K354-('Konfigurasi Model'!$B$11*V354)</f>
        <v>-0.56032057920460954</v>
      </c>
      <c r="L355" s="13">
        <f>L354-('Konfigurasi Model'!$B$11*W354)</f>
        <v>0.89491082734726779</v>
      </c>
      <c r="M355" s="13">
        <f>M354-('Konfigurasi Model'!$B$11*X354)</f>
        <v>0.75403192666470553</v>
      </c>
      <c r="N355" s="13">
        <f t="shared" si="55"/>
        <v>-2.6469650796792443</v>
      </c>
      <c r="O355" s="13">
        <f t="shared" si="56"/>
        <v>6.6176311735335822E-2</v>
      </c>
      <c r="P355" s="12">
        <f t="shared" si="57"/>
        <v>0</v>
      </c>
      <c r="Q355" s="13">
        <f t="shared" si="58"/>
        <v>6.6176311735335822E-2</v>
      </c>
      <c r="R355" s="13">
        <f t="shared" si="59"/>
        <v>4.3793042348923457E-3</v>
      </c>
      <c r="T355" s="14">
        <f t="shared" si="60"/>
        <v>8.1789960653204669E-3</v>
      </c>
      <c r="U355" s="14">
        <f t="shared" si="61"/>
        <v>3.9259181113538238E-2</v>
      </c>
      <c r="V355" s="14">
        <f t="shared" si="62"/>
        <v>2.535488780249345E-2</v>
      </c>
      <c r="W355" s="14">
        <f t="shared" si="63"/>
        <v>1.3086393704512748E-2</v>
      </c>
      <c r="X355" s="14">
        <f t="shared" si="64"/>
        <v>1.6357992130640936E-3</v>
      </c>
      <c r="Y355" s="12">
        <f t="shared" si="65"/>
        <v>1</v>
      </c>
    </row>
    <row r="356" spans="1:25" x14ac:dyDescent="0.3">
      <c r="A356" s="23"/>
      <c r="B356" s="12">
        <v>32</v>
      </c>
      <c r="C356" s="12">
        <v>5.4</v>
      </c>
      <c r="D356" s="12">
        <v>3.4</v>
      </c>
      <c r="E356" s="12">
        <v>1.5</v>
      </c>
      <c r="F356" s="12">
        <v>0.4</v>
      </c>
      <c r="G356" s="12">
        <v>0</v>
      </c>
      <c r="I356" s="13">
        <f>I355-('Konfigurasi Model'!$B$11*T355)</f>
        <v>0.20809979970031922</v>
      </c>
      <c r="J356" s="13">
        <f>J355-('Konfigurasi Model'!$B$11*U355)</f>
        <v>-0.56674939572393201</v>
      </c>
      <c r="K356" s="13">
        <f>K355-('Konfigurasi Model'!$B$11*V355)</f>
        <v>-0.56285606798485888</v>
      </c>
      <c r="L356" s="13">
        <f>L355-('Konfigurasi Model'!$B$11*W355)</f>
        <v>0.89360218797681656</v>
      </c>
      <c r="M356" s="13">
        <f>M355-('Konfigurasi Model'!$B$11*X355)</f>
        <v>0.75386834674339909</v>
      </c>
      <c r="N356" s="13">
        <f t="shared" si="55"/>
        <v>-3.1241069476948495</v>
      </c>
      <c r="O356" s="13">
        <f t="shared" si="56"/>
        <v>4.2123747253221155E-2</v>
      </c>
      <c r="P356" s="12">
        <f t="shared" si="57"/>
        <v>0</v>
      </c>
      <c r="Q356" s="13">
        <f t="shared" si="58"/>
        <v>4.2123747253221155E-2</v>
      </c>
      <c r="R356" s="13">
        <f t="shared" si="59"/>
        <v>1.7744100826532568E-3</v>
      </c>
      <c r="T356" s="14">
        <f t="shared" si="60"/>
        <v>3.3993305616160075E-3</v>
      </c>
      <c r="U356" s="14">
        <f t="shared" si="61"/>
        <v>1.8356385032726442E-2</v>
      </c>
      <c r="V356" s="14">
        <f t="shared" si="62"/>
        <v>1.1557723909494425E-2</v>
      </c>
      <c r="W356" s="14">
        <f t="shared" si="63"/>
        <v>5.098995842424011E-3</v>
      </c>
      <c r="X356" s="14">
        <f t="shared" si="64"/>
        <v>1.359732224646403E-3</v>
      </c>
      <c r="Y356" s="12">
        <f t="shared" si="65"/>
        <v>1</v>
      </c>
    </row>
    <row r="357" spans="1:25" x14ac:dyDescent="0.3">
      <c r="A357" s="23"/>
      <c r="B357" s="12">
        <v>33</v>
      </c>
      <c r="C357" s="12">
        <v>5.2</v>
      </c>
      <c r="D357" s="12">
        <v>4.0999999999999996</v>
      </c>
      <c r="E357" s="12">
        <v>1.5</v>
      </c>
      <c r="F357" s="12">
        <v>0.1</v>
      </c>
      <c r="G357" s="12">
        <v>0</v>
      </c>
      <c r="I357" s="13">
        <f>I356-('Konfigurasi Model'!$B$11*T356)</f>
        <v>0.20775986664415763</v>
      </c>
      <c r="J357" s="13">
        <f>J356-('Konfigurasi Model'!$B$11*U356)</f>
        <v>-0.56858503422720463</v>
      </c>
      <c r="K357" s="13">
        <f>K356-('Konfigurasi Model'!$B$11*V356)</f>
        <v>-0.56401184037580832</v>
      </c>
      <c r="L357" s="13">
        <f>L356-('Konfigurasi Model'!$B$11*W356)</f>
        <v>0.89309228839257415</v>
      </c>
      <c r="M357" s="13">
        <f>M356-('Konfigurasi Model'!$B$11*X356)</f>
        <v>0.75373237352093447</v>
      </c>
      <c r="N357" s="13">
        <f t="shared" si="55"/>
        <v>-3.6463191869371654</v>
      </c>
      <c r="O357" s="13">
        <f t="shared" si="56"/>
        <v>2.5423744987185515E-2</v>
      </c>
      <c r="P357" s="12">
        <f t="shared" si="57"/>
        <v>0</v>
      </c>
      <c r="Q357" s="13">
        <f t="shared" si="58"/>
        <v>2.5423744987185515E-2</v>
      </c>
      <c r="R357" s="13">
        <f t="shared" si="59"/>
        <v>6.463668091734406E-4</v>
      </c>
      <c r="T357" s="14">
        <f t="shared" si="60"/>
        <v>1.2598674884976685E-3</v>
      </c>
      <c r="U357" s="14">
        <f t="shared" si="61"/>
        <v>6.5513109401878766E-3</v>
      </c>
      <c r="V357" s="14">
        <f t="shared" si="62"/>
        <v>5.1654567028404409E-3</v>
      </c>
      <c r="W357" s="14">
        <f t="shared" si="63"/>
        <v>1.8898012327465028E-3</v>
      </c>
      <c r="X357" s="14">
        <f t="shared" si="64"/>
        <v>1.2598674884976686E-4</v>
      </c>
      <c r="Y357" s="12">
        <f t="shared" si="65"/>
        <v>1</v>
      </c>
    </row>
    <row r="358" spans="1:25" x14ac:dyDescent="0.3">
      <c r="A358" s="23"/>
      <c r="B358" s="12">
        <v>34</v>
      </c>
      <c r="C358" s="12">
        <v>5.5</v>
      </c>
      <c r="D358" s="12">
        <v>4.2</v>
      </c>
      <c r="E358" s="12">
        <v>1.4</v>
      </c>
      <c r="F358" s="12">
        <v>0.2</v>
      </c>
      <c r="G358" s="12">
        <v>0</v>
      </c>
      <c r="I358" s="13">
        <f>I357-('Konfigurasi Model'!$B$11*T357)</f>
        <v>0.20763387989530788</v>
      </c>
      <c r="J358" s="13">
        <f>J357-('Konfigurasi Model'!$B$11*U357)</f>
        <v>-0.56924016532122346</v>
      </c>
      <c r="K358" s="13">
        <f>K357-('Konfigurasi Model'!$B$11*V357)</f>
        <v>-0.56452838604609235</v>
      </c>
      <c r="L358" s="13">
        <f>L357-('Konfigurasi Model'!$B$11*W357)</f>
        <v>0.89290330826929953</v>
      </c>
      <c r="M358" s="13">
        <f>M357-('Konfigurasi Model'!$B$11*X357)</f>
        <v>0.75371977484604946</v>
      </c>
      <c r="N358" s="13">
        <f t="shared" si="55"/>
        <v>-3.8933976642187806</v>
      </c>
      <c r="O358" s="13">
        <f t="shared" si="56"/>
        <v>1.9969107020863911E-2</v>
      </c>
      <c r="P358" s="12">
        <f t="shared" si="57"/>
        <v>0</v>
      </c>
      <c r="Q358" s="13">
        <f t="shared" si="58"/>
        <v>1.9969107020863911E-2</v>
      </c>
      <c r="R358" s="13">
        <f t="shared" si="59"/>
        <v>3.9876523521071634E-4</v>
      </c>
      <c r="T358" s="14">
        <f t="shared" si="60"/>
        <v>7.8160449910518706E-4</v>
      </c>
      <c r="U358" s="14">
        <f t="shared" si="61"/>
        <v>4.298824745078529E-3</v>
      </c>
      <c r="V358" s="14">
        <f t="shared" si="62"/>
        <v>3.282738896241786E-3</v>
      </c>
      <c r="W358" s="14">
        <f t="shared" si="63"/>
        <v>1.0942462987472618E-3</v>
      </c>
      <c r="X358" s="14">
        <f t="shared" si="64"/>
        <v>1.5632089982103742E-4</v>
      </c>
      <c r="Y358" s="12">
        <f t="shared" si="65"/>
        <v>1</v>
      </c>
    </row>
    <row r="359" spans="1:25" x14ac:dyDescent="0.3">
      <c r="A359" s="23"/>
      <c r="B359" s="12">
        <v>35</v>
      </c>
      <c r="C359" s="12">
        <v>4.9000000000000004</v>
      </c>
      <c r="D359" s="12">
        <v>3.1</v>
      </c>
      <c r="E359" s="12">
        <v>1.5</v>
      </c>
      <c r="F359" s="12">
        <v>0.1</v>
      </c>
      <c r="G359" s="12">
        <v>0</v>
      </c>
      <c r="I359" s="13">
        <f>I358-('Konfigurasi Model'!$B$11*T358)</f>
        <v>0.20755571944539736</v>
      </c>
      <c r="J359" s="13">
        <f>J358-('Konfigurasi Model'!$B$11*U358)</f>
        <v>-0.56967004779573127</v>
      </c>
      <c r="K359" s="13">
        <f>K358-('Konfigurasi Model'!$B$11*V358)</f>
        <v>-0.56485665993571654</v>
      </c>
      <c r="L359" s="13">
        <f>L358-('Konfigurasi Model'!$B$11*W358)</f>
        <v>0.8927938836394248</v>
      </c>
      <c r="M359" s="13">
        <f>M358-('Konfigurasi Model'!$B$11*X358)</f>
        <v>0.75370414275606734</v>
      </c>
      <c r="N359" s="13">
        <f t="shared" si="55"/>
        <v>-2.920321920819664</v>
      </c>
      <c r="O359" s="13">
        <f t="shared" si="56"/>
        <v>5.115807232499818E-2</v>
      </c>
      <c r="P359" s="12">
        <f t="shared" si="57"/>
        <v>0</v>
      </c>
      <c r="Q359" s="13">
        <f t="shared" si="58"/>
        <v>5.115807232499818E-2</v>
      </c>
      <c r="R359" s="13">
        <f t="shared" si="59"/>
        <v>2.6171483640097448E-3</v>
      </c>
      <c r="T359" s="14">
        <f t="shared" si="60"/>
        <v>4.9665201974369673E-3</v>
      </c>
      <c r="U359" s="14">
        <f t="shared" si="61"/>
        <v>2.4335948967441141E-2</v>
      </c>
      <c r="V359" s="14">
        <f t="shared" si="62"/>
        <v>1.5396212612054599E-2</v>
      </c>
      <c r="W359" s="14">
        <f t="shared" si="63"/>
        <v>7.4497802961554505E-3</v>
      </c>
      <c r="X359" s="14">
        <f t="shared" si="64"/>
        <v>4.9665201974369679E-4</v>
      </c>
      <c r="Y359" s="12">
        <f t="shared" si="65"/>
        <v>1</v>
      </c>
    </row>
    <row r="360" spans="1:25" x14ac:dyDescent="0.3">
      <c r="A360" s="23"/>
      <c r="B360" s="12">
        <v>36</v>
      </c>
      <c r="C360" s="12">
        <v>5</v>
      </c>
      <c r="D360" s="12">
        <v>3.2</v>
      </c>
      <c r="E360" s="12">
        <v>1.2</v>
      </c>
      <c r="F360" s="12">
        <v>0.2</v>
      </c>
      <c r="G360" s="12">
        <v>0</v>
      </c>
      <c r="I360" s="13">
        <f>I359-('Konfigurasi Model'!$B$11*T359)</f>
        <v>0.20705906742565366</v>
      </c>
      <c r="J360" s="13">
        <f>J359-('Konfigurasi Model'!$B$11*U359)</f>
        <v>-0.57210364269247538</v>
      </c>
      <c r="K360" s="13">
        <f>K359-('Konfigurasi Model'!$B$11*V359)</f>
        <v>-0.56639628119692198</v>
      </c>
      <c r="L360" s="13">
        <f>L359-('Konfigurasi Model'!$B$11*W359)</f>
        <v>0.89204890560980921</v>
      </c>
      <c r="M360" s="13">
        <f>M359-('Konfigurasi Model'!$B$11*X359)</f>
        <v>0.75365447755409298</v>
      </c>
      <c r="N360" s="13">
        <f t="shared" si="55"/>
        <v>-3.2447376636242846</v>
      </c>
      <c r="O360" s="13">
        <f t="shared" si="56"/>
        <v>3.7516443068002628E-2</v>
      </c>
      <c r="P360" s="12">
        <f t="shared" si="57"/>
        <v>0</v>
      </c>
      <c r="Q360" s="13">
        <f t="shared" si="58"/>
        <v>3.7516443068002628E-2</v>
      </c>
      <c r="R360" s="13">
        <f t="shared" si="59"/>
        <v>1.4074835004746825E-3</v>
      </c>
      <c r="T360" s="14">
        <f t="shared" si="60"/>
        <v>2.709359451719942E-3</v>
      </c>
      <c r="U360" s="14">
        <f t="shared" si="61"/>
        <v>1.354679725859971E-2</v>
      </c>
      <c r="V360" s="14">
        <f t="shared" si="62"/>
        <v>8.6699502455038144E-3</v>
      </c>
      <c r="W360" s="14">
        <f t="shared" si="63"/>
        <v>3.2512313420639304E-3</v>
      </c>
      <c r="X360" s="14">
        <f t="shared" si="64"/>
        <v>5.418718903439884E-4</v>
      </c>
      <c r="Y360" s="12">
        <f t="shared" si="65"/>
        <v>1</v>
      </c>
    </row>
    <row r="361" spans="1:25" x14ac:dyDescent="0.3">
      <c r="A361" s="23"/>
      <c r="B361" s="12">
        <v>37</v>
      </c>
      <c r="C361" s="12">
        <v>5.5</v>
      </c>
      <c r="D361" s="12">
        <v>3.5</v>
      </c>
      <c r="E361" s="12">
        <v>1.3</v>
      </c>
      <c r="F361" s="12">
        <v>0.2</v>
      </c>
      <c r="G361" s="12">
        <v>0</v>
      </c>
      <c r="I361" s="13">
        <f>I360-('Konfigurasi Model'!$B$11*T360)</f>
        <v>0.20678813148048167</v>
      </c>
      <c r="J361" s="13">
        <f>J360-('Konfigurasi Model'!$B$11*U360)</f>
        <v>-0.57345832241833539</v>
      </c>
      <c r="K361" s="13">
        <f>K360-('Konfigurasi Model'!$B$11*V360)</f>
        <v>-0.56726327622147232</v>
      </c>
      <c r="L361" s="13">
        <f>L360-('Konfigurasi Model'!$B$11*W360)</f>
        <v>0.8917237824756028</v>
      </c>
      <c r="M361" s="13">
        <f>M360-('Konfigurasi Model'!$B$11*X360)</f>
        <v>0.7536002903650586</v>
      </c>
      <c r="N361" s="13">
        <f t="shared" si="55"/>
        <v>-3.6226931333042205</v>
      </c>
      <c r="O361" s="13">
        <f t="shared" si="56"/>
        <v>2.6015746856154102E-2</v>
      </c>
      <c r="P361" s="12">
        <f t="shared" si="57"/>
        <v>0</v>
      </c>
      <c r="Q361" s="13">
        <f t="shared" si="58"/>
        <v>2.6015746856154102E-2</v>
      </c>
      <c r="R361" s="13">
        <f t="shared" si="59"/>
        <v>6.7681908448349198E-4</v>
      </c>
      <c r="T361" s="14">
        <f t="shared" si="60"/>
        <v>1.318422261028311E-3</v>
      </c>
      <c r="U361" s="14">
        <f t="shared" si="61"/>
        <v>7.2513224356557104E-3</v>
      </c>
      <c r="V361" s="14">
        <f t="shared" si="62"/>
        <v>4.6144779135990884E-3</v>
      </c>
      <c r="W361" s="14">
        <f t="shared" si="63"/>
        <v>1.7139489393368044E-3</v>
      </c>
      <c r="X361" s="14">
        <f t="shared" si="64"/>
        <v>2.6368445220566222E-4</v>
      </c>
      <c r="Y361" s="12">
        <f t="shared" si="65"/>
        <v>1</v>
      </c>
    </row>
    <row r="362" spans="1:25" x14ac:dyDescent="0.3">
      <c r="A362" s="23"/>
      <c r="B362" s="12">
        <v>38</v>
      </c>
      <c r="C362" s="12">
        <v>4.9000000000000004</v>
      </c>
      <c r="D362" s="12">
        <v>3.1</v>
      </c>
      <c r="E362" s="12">
        <v>1.5</v>
      </c>
      <c r="F362" s="12">
        <v>0.1</v>
      </c>
      <c r="G362" s="12">
        <v>0</v>
      </c>
      <c r="I362" s="13">
        <f>I361-('Konfigurasi Model'!$B$11*T361)</f>
        <v>0.20665628925437884</v>
      </c>
      <c r="J362" s="13">
        <f>J361-('Konfigurasi Model'!$B$11*U361)</f>
        <v>-0.5741834546619009</v>
      </c>
      <c r="K362" s="13">
        <f>K361-('Konfigurasi Model'!$B$11*V361)</f>
        <v>-0.56772472401283225</v>
      </c>
      <c r="L362" s="13">
        <f>L361-('Konfigurasi Model'!$B$11*W361)</f>
        <v>0.8915523875816691</v>
      </c>
      <c r="M362" s="13">
        <f>M361-('Konfigurasi Model'!$B$11*X361)</f>
        <v>0.75357392191983807</v>
      </c>
      <c r="N362" s="13">
        <f t="shared" si="55"/>
        <v>-2.9541033094642284</v>
      </c>
      <c r="O362" s="13">
        <f t="shared" si="56"/>
        <v>4.9542935617827057E-2</v>
      </c>
      <c r="P362" s="12">
        <f t="shared" si="57"/>
        <v>0</v>
      </c>
      <c r="Q362" s="13">
        <f t="shared" si="58"/>
        <v>4.9542935617827057E-2</v>
      </c>
      <c r="R362" s="13">
        <f t="shared" si="59"/>
        <v>2.4545024696321568E-3</v>
      </c>
      <c r="T362" s="14">
        <f t="shared" si="60"/>
        <v>4.6657984236107468E-3</v>
      </c>
      <c r="U362" s="14">
        <f t="shared" si="61"/>
        <v>2.2862412275692662E-2</v>
      </c>
      <c r="V362" s="14">
        <f t="shared" si="62"/>
        <v>1.4463975113193316E-2</v>
      </c>
      <c r="W362" s="14">
        <f t="shared" si="63"/>
        <v>6.9986976354161207E-3</v>
      </c>
      <c r="X362" s="14">
        <f t="shared" si="64"/>
        <v>4.6657984236107473E-4</v>
      </c>
      <c r="Y362" s="12">
        <f t="shared" si="65"/>
        <v>1</v>
      </c>
    </row>
    <row r="363" spans="1:25" x14ac:dyDescent="0.3">
      <c r="A363" s="23"/>
      <c r="B363" s="12">
        <v>39</v>
      </c>
      <c r="C363" s="12">
        <v>4.4000000000000004</v>
      </c>
      <c r="D363" s="12">
        <v>3</v>
      </c>
      <c r="E363" s="12">
        <v>1.3</v>
      </c>
      <c r="F363" s="12">
        <v>0.2</v>
      </c>
      <c r="G363" s="12">
        <v>0</v>
      </c>
      <c r="I363" s="13">
        <f>I362-('Konfigurasi Model'!$B$11*T362)</f>
        <v>0.20618970941201778</v>
      </c>
      <c r="J363" s="13">
        <f>J362-('Konfigurasi Model'!$B$11*U362)</f>
        <v>-0.57646969588947017</v>
      </c>
      <c r="K363" s="13">
        <f>K362-('Konfigurasi Model'!$B$11*V362)</f>
        <v>-0.56917112152415161</v>
      </c>
      <c r="L363" s="13">
        <f>L362-('Konfigurasi Model'!$B$11*W362)</f>
        <v>0.89085251781812747</v>
      </c>
      <c r="M363" s="13">
        <f>M362-('Konfigurasi Model'!$B$11*X362)</f>
        <v>0.75352726393560199</v>
      </c>
      <c r="N363" s="13">
        <f t="shared" si="55"/>
        <v>-2.7289765911234203</v>
      </c>
      <c r="O363" s="13">
        <f t="shared" si="56"/>
        <v>6.1285012244787454E-2</v>
      </c>
      <c r="P363" s="12">
        <f t="shared" si="57"/>
        <v>0</v>
      </c>
      <c r="Q363" s="13">
        <f t="shared" si="58"/>
        <v>6.1285012244787454E-2</v>
      </c>
      <c r="R363" s="13">
        <f t="shared" si="59"/>
        <v>3.755852725843748E-3</v>
      </c>
      <c r="T363" s="14">
        <f t="shared" si="60"/>
        <v>7.0513504911015913E-3</v>
      </c>
      <c r="U363" s="14">
        <f t="shared" si="61"/>
        <v>3.1025942160847003E-2</v>
      </c>
      <c r="V363" s="14">
        <f t="shared" si="62"/>
        <v>2.1154051473304774E-2</v>
      </c>
      <c r="W363" s="14">
        <f t="shared" si="63"/>
        <v>9.1667556384320698E-3</v>
      </c>
      <c r="X363" s="14">
        <f t="shared" si="64"/>
        <v>1.4102700982203183E-3</v>
      </c>
      <c r="Y363" s="12">
        <f t="shared" si="65"/>
        <v>1</v>
      </c>
    </row>
    <row r="364" spans="1:25" x14ac:dyDescent="0.3">
      <c r="A364" s="23"/>
      <c r="B364" s="12">
        <v>40</v>
      </c>
      <c r="C364" s="12">
        <v>5.0999999999999996</v>
      </c>
      <c r="D364" s="12">
        <v>3.4</v>
      </c>
      <c r="E364" s="12">
        <v>1.5</v>
      </c>
      <c r="F364" s="12">
        <v>0.2</v>
      </c>
      <c r="G364" s="12">
        <v>0</v>
      </c>
      <c r="I364" s="13">
        <f>I363-('Konfigurasi Model'!$B$11*T363)</f>
        <v>0.20548457436290762</v>
      </c>
      <c r="J364" s="13">
        <f>J363-('Konfigurasi Model'!$B$11*U363)</f>
        <v>-0.57957229010555489</v>
      </c>
      <c r="K364" s="13">
        <f>K363-('Konfigurasi Model'!$B$11*V363)</f>
        <v>-0.57128652667148205</v>
      </c>
      <c r="L364" s="13">
        <f>L363-('Konfigurasi Model'!$B$11*W363)</f>
        <v>0.88993584225428424</v>
      </c>
      <c r="M364" s="13">
        <f>M363-('Konfigurasi Model'!$B$11*X363)</f>
        <v>0.75338623692578</v>
      </c>
      <c r="N364" s="13">
        <f t="shared" si="55"/>
        <v>-3.2071272850918788</v>
      </c>
      <c r="O364" s="13">
        <f t="shared" si="56"/>
        <v>3.8898389637614973E-2</v>
      </c>
      <c r="P364" s="12">
        <f t="shared" si="57"/>
        <v>0</v>
      </c>
      <c r="Q364" s="13">
        <f t="shared" si="58"/>
        <v>3.8898389637614973E-2</v>
      </c>
      <c r="R364" s="13">
        <f t="shared" si="59"/>
        <v>1.5130847163997119E-3</v>
      </c>
      <c r="T364" s="14">
        <f t="shared" si="60"/>
        <v>2.908456315092952E-3</v>
      </c>
      <c r="U364" s="14">
        <f t="shared" si="61"/>
        <v>1.4833127206974054E-2</v>
      </c>
      <c r="V364" s="14">
        <f t="shared" si="62"/>
        <v>9.888751471316036E-3</v>
      </c>
      <c r="W364" s="14">
        <f t="shared" si="63"/>
        <v>4.3626844726394279E-3</v>
      </c>
      <c r="X364" s="14">
        <f t="shared" si="64"/>
        <v>5.8169126301859037E-4</v>
      </c>
      <c r="Y364" s="12">
        <f t="shared" si="65"/>
        <v>1</v>
      </c>
    </row>
    <row r="365" spans="1:25" x14ac:dyDescent="0.3">
      <c r="A365" s="23"/>
      <c r="B365" s="12">
        <v>41</v>
      </c>
      <c r="C365" s="12">
        <v>7</v>
      </c>
      <c r="D365" s="12">
        <v>3.2</v>
      </c>
      <c r="E365" s="12">
        <v>4.7</v>
      </c>
      <c r="F365" s="12">
        <v>1.4</v>
      </c>
      <c r="G365" s="12">
        <v>1</v>
      </c>
      <c r="I365" s="13">
        <f>I364-('Konfigurasi Model'!$B$11*T364)</f>
        <v>0.20519372873139832</v>
      </c>
      <c r="J365" s="13">
        <f>J364-('Konfigurasi Model'!$B$11*U364)</f>
        <v>-0.58105560282625235</v>
      </c>
      <c r="K365" s="13">
        <f>K364-('Konfigurasi Model'!$B$11*V364)</f>
        <v>-0.57227540181861369</v>
      </c>
      <c r="L365" s="13">
        <f>L364-('Konfigurasi Model'!$B$11*W364)</f>
        <v>0.88949957380702027</v>
      </c>
      <c r="M365" s="13">
        <f>M364-('Konfigurasi Model'!$B$11*X364)</f>
        <v>0.75332806779947814</v>
      </c>
      <c r="N365" s="13">
        <f t="shared" si="55"/>
        <v>-0.45816948505966804</v>
      </c>
      <c r="O365" s="13">
        <f t="shared" si="56"/>
        <v>0.38742016261766371</v>
      </c>
      <c r="P365" s="12">
        <f t="shared" si="57"/>
        <v>0</v>
      </c>
      <c r="Q365" s="13">
        <f t="shared" si="58"/>
        <v>-0.61257983738233635</v>
      </c>
      <c r="R365" s="13">
        <f t="shared" si="59"/>
        <v>0.37525405716736965</v>
      </c>
      <c r="T365" s="14">
        <f t="shared" si="60"/>
        <v>-0.29076197570144086</v>
      </c>
      <c r="U365" s="14">
        <f t="shared" si="61"/>
        <v>-2.035333829910086</v>
      </c>
      <c r="V365" s="14">
        <f t="shared" si="62"/>
        <v>-0.93043832224461076</v>
      </c>
      <c r="W365" s="14">
        <f t="shared" si="63"/>
        <v>-1.3665812857967721</v>
      </c>
      <c r="X365" s="14">
        <f t="shared" si="64"/>
        <v>-0.40706676598201719</v>
      </c>
      <c r="Y365" s="12">
        <f t="shared" si="65"/>
        <v>0</v>
      </c>
    </row>
    <row r="366" spans="1:25" x14ac:dyDescent="0.3">
      <c r="A366" s="23"/>
      <c r="B366" s="12">
        <v>42</v>
      </c>
      <c r="C366" s="12">
        <v>6.4</v>
      </c>
      <c r="D366" s="12">
        <v>3.2</v>
      </c>
      <c r="E366" s="12">
        <v>4.5</v>
      </c>
      <c r="F366" s="12">
        <v>1.5</v>
      </c>
      <c r="G366" s="12">
        <v>1</v>
      </c>
      <c r="I366" s="13">
        <f>I365-('Konfigurasi Model'!$B$11*T365)</f>
        <v>0.23426992630154242</v>
      </c>
      <c r="J366" s="13">
        <f>J365-('Konfigurasi Model'!$B$11*U365)</f>
        <v>-0.3775222198352437</v>
      </c>
      <c r="K366" s="13">
        <f>K365-('Konfigurasi Model'!$B$11*V365)</f>
        <v>-0.47923156959415258</v>
      </c>
      <c r="L366" s="13">
        <f>L365-('Konfigurasi Model'!$B$11*W365)</f>
        <v>1.0261577023866975</v>
      </c>
      <c r="M366" s="13">
        <f>M365-('Konfigurasi Model'!$B$11*X365)</f>
        <v>0.79403474439767985</v>
      </c>
      <c r="N366" s="13">
        <f t="shared" si="55"/>
        <v>2.0933484739913526</v>
      </c>
      <c r="O366" s="13">
        <f t="shared" si="56"/>
        <v>0.8902550027630115</v>
      </c>
      <c r="P366" s="12">
        <f t="shared" si="57"/>
        <v>1</v>
      </c>
      <c r="Q366" s="13">
        <f t="shared" si="58"/>
        <v>-0.1097449972369885</v>
      </c>
      <c r="R366" s="13">
        <f t="shared" si="59"/>
        <v>1.2043964418546613E-2</v>
      </c>
      <c r="T366" s="14">
        <f t="shared" si="60"/>
        <v>-2.1444399153421653E-2</v>
      </c>
      <c r="U366" s="14">
        <f t="shared" si="61"/>
        <v>-0.13724415458189859</v>
      </c>
      <c r="V366" s="14">
        <f t="shared" si="62"/>
        <v>-6.8622077290949296E-2</v>
      </c>
      <c r="W366" s="14">
        <f t="shared" si="63"/>
        <v>-9.6499796190397447E-2</v>
      </c>
      <c r="X366" s="14">
        <f t="shared" si="64"/>
        <v>-3.216659873013248E-2</v>
      </c>
      <c r="Y366" s="12">
        <f t="shared" si="65"/>
        <v>1</v>
      </c>
    </row>
    <row r="367" spans="1:25" x14ac:dyDescent="0.3">
      <c r="A367" s="23"/>
      <c r="B367" s="12">
        <v>43</v>
      </c>
      <c r="C367" s="12">
        <v>6.9</v>
      </c>
      <c r="D367" s="12">
        <v>3.1</v>
      </c>
      <c r="E367" s="12">
        <v>4.9000000000000004</v>
      </c>
      <c r="F367" s="12">
        <v>1.5</v>
      </c>
      <c r="G367" s="12">
        <v>1</v>
      </c>
      <c r="I367" s="13">
        <f>I366-('Konfigurasi Model'!$B$11*T366)</f>
        <v>0.23641436621688458</v>
      </c>
      <c r="J367" s="13">
        <f>J366-('Konfigurasi Model'!$B$11*U366)</f>
        <v>-0.36379780437705384</v>
      </c>
      <c r="K367" s="13">
        <f>K366-('Konfigurasi Model'!$B$11*V366)</f>
        <v>-0.47236936186505768</v>
      </c>
      <c r="L367" s="13">
        <f>L366-('Konfigurasi Model'!$B$11*W366)</f>
        <v>1.0358076820057371</v>
      </c>
      <c r="M367" s="13">
        <f>M366-('Konfigurasi Model'!$B$11*X366)</f>
        <v>0.79725140427069308</v>
      </c>
      <c r="N367" s="13">
        <f t="shared" si="55"/>
        <v>2.5331992424676866</v>
      </c>
      <c r="O367" s="13">
        <f t="shared" si="56"/>
        <v>0.92643668506007715</v>
      </c>
      <c r="P367" s="12">
        <f t="shared" si="57"/>
        <v>1</v>
      </c>
      <c r="Q367" s="13">
        <f t="shared" si="58"/>
        <v>-7.3563314939922853E-2</v>
      </c>
      <c r="R367" s="13">
        <f t="shared" si="59"/>
        <v>5.4115613049502765E-3</v>
      </c>
      <c r="T367" s="14">
        <f t="shared" si="60"/>
        <v>-1.0026937832715039E-2</v>
      </c>
      <c r="U367" s="14">
        <f t="shared" si="61"/>
        <v>-6.9185871045733774E-2</v>
      </c>
      <c r="V367" s="14">
        <f t="shared" si="62"/>
        <v>-3.1083507281416622E-2</v>
      </c>
      <c r="W367" s="14">
        <f t="shared" si="63"/>
        <v>-4.9131995380303696E-2</v>
      </c>
      <c r="X367" s="14">
        <f t="shared" si="64"/>
        <v>-1.5040406749072558E-2</v>
      </c>
      <c r="Y367" s="12">
        <f t="shared" si="65"/>
        <v>1</v>
      </c>
    </row>
    <row r="368" spans="1:25" x14ac:dyDescent="0.3">
      <c r="A368" s="23"/>
      <c r="B368" s="12">
        <v>44</v>
      </c>
      <c r="C368" s="12">
        <v>5.5</v>
      </c>
      <c r="D368" s="12">
        <v>2.2999999999999998</v>
      </c>
      <c r="E368" s="12">
        <v>4</v>
      </c>
      <c r="F368" s="12">
        <v>1.3</v>
      </c>
      <c r="G368" s="12">
        <v>1</v>
      </c>
      <c r="I368" s="13">
        <f>I367-('Konfigurasi Model'!$B$11*T367)</f>
        <v>0.23741706000015608</v>
      </c>
      <c r="J368" s="13">
        <f>J367-('Konfigurasi Model'!$B$11*U367)</f>
        <v>-0.35687921727248045</v>
      </c>
      <c r="K368" s="13">
        <f>K367-('Konfigurasi Model'!$B$11*V367)</f>
        <v>-0.46926101113691604</v>
      </c>
      <c r="L368" s="13">
        <f>L367-('Konfigurasi Model'!$B$11*W367)</f>
        <v>1.0407208815437674</v>
      </c>
      <c r="M368" s="13">
        <f>M367-('Konfigurasi Model'!$B$11*X367)</f>
        <v>0.79875544494560036</v>
      </c>
      <c r="N368" s="13">
        <f t="shared" si="55"/>
        <v>2.3965466439909573</v>
      </c>
      <c r="O368" s="13">
        <f t="shared" si="56"/>
        <v>0.9165635885035931</v>
      </c>
      <c r="P368" s="12">
        <f t="shared" si="57"/>
        <v>1</v>
      </c>
      <c r="Q368" s="13">
        <f t="shared" si="58"/>
        <v>-8.3436411496406904E-2</v>
      </c>
      <c r="R368" s="13">
        <f t="shared" si="59"/>
        <v>6.9616347633977421E-3</v>
      </c>
      <c r="T368" s="14">
        <f t="shared" si="60"/>
        <v>-1.2761561881182394E-2</v>
      </c>
      <c r="U368" s="14">
        <f t="shared" si="61"/>
        <v>-7.0188590346503169E-2</v>
      </c>
      <c r="V368" s="14">
        <f t="shared" si="62"/>
        <v>-2.9351592326719505E-2</v>
      </c>
      <c r="W368" s="14">
        <f t="shared" si="63"/>
        <v>-5.1046247524729575E-2</v>
      </c>
      <c r="X368" s="14">
        <f t="shared" si="64"/>
        <v>-1.6590030445537113E-2</v>
      </c>
      <c r="Y368" s="12">
        <f t="shared" si="65"/>
        <v>1</v>
      </c>
    </row>
    <row r="369" spans="1:25" x14ac:dyDescent="0.3">
      <c r="A369" s="23"/>
      <c r="B369" s="12">
        <v>45</v>
      </c>
      <c r="C369" s="12">
        <v>6.5</v>
      </c>
      <c r="D369" s="12">
        <v>2.8</v>
      </c>
      <c r="E369" s="12">
        <v>4.5999999999999996</v>
      </c>
      <c r="F369" s="12">
        <v>1.5</v>
      </c>
      <c r="G369" s="12">
        <v>1</v>
      </c>
      <c r="I369" s="13">
        <f>I368-('Konfigurasi Model'!$B$11*T368)</f>
        <v>0.23869321618827433</v>
      </c>
      <c r="J369" s="13">
        <f>J368-('Konfigurasi Model'!$B$11*U368)</f>
        <v>-0.34986035823783013</v>
      </c>
      <c r="K369" s="13">
        <f>K368-('Konfigurasi Model'!$B$11*V368)</f>
        <v>-0.46632585190424408</v>
      </c>
      <c r="L369" s="13">
        <f>L368-('Konfigurasi Model'!$B$11*W368)</f>
        <v>1.0458255062962403</v>
      </c>
      <c r="M369" s="13">
        <f>M368-('Konfigurasi Model'!$B$11*X368)</f>
        <v>0.80041444799015404</v>
      </c>
      <c r="N369" s="13">
        <f t="shared" si="55"/>
        <v>2.6703075032584316</v>
      </c>
      <c r="O369" s="13">
        <f t="shared" si="56"/>
        <v>0.93525165505200825</v>
      </c>
      <c r="P369" s="12">
        <f t="shared" si="57"/>
        <v>1</v>
      </c>
      <c r="Q369" s="13">
        <f t="shared" si="58"/>
        <v>-6.4748344947991754E-2</v>
      </c>
      <c r="R369" s="13">
        <f t="shared" si="59"/>
        <v>4.1923481735041289E-3</v>
      </c>
      <c r="T369" s="14">
        <f t="shared" si="60"/>
        <v>-7.8418011356480005E-3</v>
      </c>
      <c r="U369" s="14">
        <f t="shared" si="61"/>
        <v>-5.0971707381712E-2</v>
      </c>
      <c r="V369" s="14">
        <f t="shared" si="62"/>
        <v>-2.1957043179814398E-2</v>
      </c>
      <c r="W369" s="14">
        <f t="shared" si="63"/>
        <v>-3.6072285223980802E-2</v>
      </c>
      <c r="X369" s="14">
        <f t="shared" si="64"/>
        <v>-1.1762701703472E-2</v>
      </c>
      <c r="Y369" s="12">
        <f t="shared" si="65"/>
        <v>1</v>
      </c>
    </row>
    <row r="370" spans="1:25" x14ac:dyDescent="0.3">
      <c r="A370" s="23"/>
      <c r="B370" s="12">
        <v>46</v>
      </c>
      <c r="C370" s="12">
        <v>5.7</v>
      </c>
      <c r="D370" s="12">
        <v>2.8</v>
      </c>
      <c r="E370" s="12">
        <v>4.5</v>
      </c>
      <c r="F370" s="12">
        <v>1.3</v>
      </c>
      <c r="G370" s="12">
        <v>1</v>
      </c>
      <c r="I370" s="13">
        <f>I369-('Konfigurasi Model'!$B$11*T369)</f>
        <v>0.23947739630183912</v>
      </c>
      <c r="J370" s="13">
        <f>J369-('Konfigurasi Model'!$B$11*U369)</f>
        <v>-0.34476318749965895</v>
      </c>
      <c r="K370" s="13">
        <f>K369-('Konfigurasi Model'!$B$11*V369)</f>
        <v>-0.46413014758626264</v>
      </c>
      <c r="L370" s="13">
        <f>L369-('Konfigurasi Model'!$B$11*W369)</f>
        <v>1.0494327348186383</v>
      </c>
      <c r="M370" s="13">
        <f>M369-('Konfigurasi Model'!$B$11*X369)</f>
        <v>0.8015907181605012</v>
      </c>
      <c r="N370" s="13">
        <f t="shared" si="55"/>
        <v>2.739278054604771</v>
      </c>
      <c r="O370" s="13">
        <f t="shared" si="56"/>
        <v>0.93930495079113674</v>
      </c>
      <c r="P370" s="12">
        <f t="shared" si="57"/>
        <v>1</v>
      </c>
      <c r="Q370" s="13">
        <f t="shared" si="58"/>
        <v>-6.0695049208863261E-2</v>
      </c>
      <c r="R370" s="13">
        <f t="shared" si="59"/>
        <v>3.6838889984663328E-3</v>
      </c>
      <c r="T370" s="14">
        <f t="shared" si="60"/>
        <v>-6.9205903488488577E-3</v>
      </c>
      <c r="U370" s="14">
        <f t="shared" si="61"/>
        <v>-3.9447364988438489E-2</v>
      </c>
      <c r="V370" s="14">
        <f t="shared" si="62"/>
        <v>-1.93776529767768E-2</v>
      </c>
      <c r="W370" s="14">
        <f t="shared" si="63"/>
        <v>-3.1142656569819859E-2</v>
      </c>
      <c r="X370" s="14">
        <f t="shared" si="64"/>
        <v>-8.9967674535035153E-3</v>
      </c>
      <c r="Y370" s="12">
        <f t="shared" si="65"/>
        <v>1</v>
      </c>
    </row>
    <row r="371" spans="1:25" x14ac:dyDescent="0.3">
      <c r="A371" s="23"/>
      <c r="B371" s="12">
        <v>47</v>
      </c>
      <c r="C371" s="12">
        <v>6.3</v>
      </c>
      <c r="D371" s="12">
        <v>3.3</v>
      </c>
      <c r="E371" s="12">
        <v>4.7</v>
      </c>
      <c r="F371" s="12">
        <v>1.6</v>
      </c>
      <c r="G371" s="12">
        <v>1</v>
      </c>
      <c r="I371" s="13">
        <f>I370-('Konfigurasi Model'!$B$11*T370)</f>
        <v>0.24016945533672401</v>
      </c>
      <c r="J371" s="13">
        <f>J370-('Konfigurasi Model'!$B$11*U370)</f>
        <v>-0.34081845100081509</v>
      </c>
      <c r="K371" s="13">
        <f>K370-('Konfigurasi Model'!$B$11*V370)</f>
        <v>-0.46219238228858495</v>
      </c>
      <c r="L371" s="13">
        <f>L370-('Konfigurasi Model'!$B$11*W370)</f>
        <v>1.0525470004756203</v>
      </c>
      <c r="M371" s="13">
        <f>M370-('Konfigurasi Model'!$B$11*X370)</f>
        <v>0.8024903949058515</v>
      </c>
      <c r="N371" s="13">
        <f t="shared" si="55"/>
        <v>2.7987338865640368</v>
      </c>
      <c r="O371" s="13">
        <f t="shared" si="56"/>
        <v>0.94260736735864403</v>
      </c>
      <c r="P371" s="12">
        <f t="shared" si="57"/>
        <v>1</v>
      </c>
      <c r="Q371" s="13">
        <f t="shared" si="58"/>
        <v>-5.7392632641355967E-2</v>
      </c>
      <c r="R371" s="13">
        <f t="shared" si="59"/>
        <v>3.2939142815056385E-3</v>
      </c>
      <c r="T371" s="14">
        <f t="shared" si="60"/>
        <v>-6.209735738390139E-3</v>
      </c>
      <c r="U371" s="14">
        <f t="shared" si="61"/>
        <v>-3.9121335151857874E-2</v>
      </c>
      <c r="V371" s="14">
        <f t="shared" si="62"/>
        <v>-2.0492127936687459E-2</v>
      </c>
      <c r="W371" s="14">
        <f t="shared" si="63"/>
        <v>-2.9185757970433653E-2</v>
      </c>
      <c r="X371" s="14">
        <f t="shared" si="64"/>
        <v>-9.9355771814242239E-3</v>
      </c>
      <c r="Y371" s="12">
        <f t="shared" si="65"/>
        <v>1</v>
      </c>
    </row>
    <row r="372" spans="1:25" x14ac:dyDescent="0.3">
      <c r="A372" s="23"/>
      <c r="B372" s="12">
        <v>48</v>
      </c>
      <c r="C372" s="12">
        <v>4.9000000000000004</v>
      </c>
      <c r="D372" s="12">
        <v>2.4</v>
      </c>
      <c r="E372" s="12">
        <v>3.3</v>
      </c>
      <c r="F372" s="12">
        <v>1</v>
      </c>
      <c r="G372" s="12">
        <v>1</v>
      </c>
      <c r="I372" s="13">
        <f>I371-('Konfigurasi Model'!$B$11*T371)</f>
        <v>0.24079042891056301</v>
      </c>
      <c r="J372" s="13">
        <f>J371-('Konfigurasi Model'!$B$11*U371)</f>
        <v>-0.33690631748562933</v>
      </c>
      <c r="K372" s="13">
        <f>K371-('Konfigurasi Model'!$B$11*V371)</f>
        <v>-0.46014316949491618</v>
      </c>
      <c r="L372" s="13">
        <f>L371-('Konfigurasi Model'!$B$11*W371)</f>
        <v>1.0554655762726637</v>
      </c>
      <c r="M372" s="13">
        <f>M371-('Konfigurasi Model'!$B$11*X371)</f>
        <v>0.80348395262399397</v>
      </c>
      <c r="N372" s="13">
        <f t="shared" si="55"/>
        <v>1.7721262207669644</v>
      </c>
      <c r="O372" s="13">
        <f t="shared" si="56"/>
        <v>0.85472188813796957</v>
      </c>
      <c r="P372" s="12">
        <f t="shared" si="57"/>
        <v>1</v>
      </c>
      <c r="Q372" s="13">
        <f t="shared" si="58"/>
        <v>-0.14527811186203043</v>
      </c>
      <c r="R372" s="13">
        <f t="shared" si="59"/>
        <v>2.1105729786196629E-2</v>
      </c>
      <c r="T372" s="14">
        <f t="shared" si="60"/>
        <v>-3.6079058426775536E-2</v>
      </c>
      <c r="U372" s="14">
        <f t="shared" si="61"/>
        <v>-0.17678738629120014</v>
      </c>
      <c r="V372" s="14">
        <f t="shared" si="62"/>
        <v>-8.6589740224261288E-2</v>
      </c>
      <c r="W372" s="14">
        <f t="shared" si="63"/>
        <v>-0.11906089280835926</v>
      </c>
      <c r="X372" s="14">
        <f t="shared" si="64"/>
        <v>-3.6079058426775536E-2</v>
      </c>
      <c r="Y372" s="12">
        <f t="shared" si="65"/>
        <v>1</v>
      </c>
    </row>
    <row r="373" spans="1:25" x14ac:dyDescent="0.3">
      <c r="A373" s="23"/>
      <c r="B373" s="12">
        <v>49</v>
      </c>
      <c r="C373" s="12">
        <v>6.6</v>
      </c>
      <c r="D373" s="12">
        <v>2.9</v>
      </c>
      <c r="E373" s="12">
        <v>4.5999999999999996</v>
      </c>
      <c r="F373" s="12">
        <v>1.3</v>
      </c>
      <c r="G373" s="12">
        <v>1</v>
      </c>
      <c r="I373" s="13">
        <f>I372-('Konfigurasi Model'!$B$11*T372)</f>
        <v>0.24439833475324058</v>
      </c>
      <c r="J373" s="13">
        <f>J372-('Konfigurasi Model'!$B$11*U372)</f>
        <v>-0.31922757885650932</v>
      </c>
      <c r="K373" s="13">
        <f>K372-('Konfigurasi Model'!$B$11*V372)</f>
        <v>-0.45148419547249008</v>
      </c>
      <c r="L373" s="13">
        <f>L372-('Konfigurasi Model'!$B$11*W372)</f>
        <v>1.0673716655534997</v>
      </c>
      <c r="M373" s="13">
        <f>M372-('Konfigurasi Model'!$B$11*X372)</f>
        <v>0.80709185846667153</v>
      </c>
      <c r="N373" s="13">
        <f t="shared" si="55"/>
        <v>2.7873212249828296</v>
      </c>
      <c r="O373" s="13">
        <f t="shared" si="56"/>
        <v>0.94198682918747711</v>
      </c>
      <c r="P373" s="12">
        <f t="shared" si="57"/>
        <v>1</v>
      </c>
      <c r="Q373" s="13">
        <f t="shared" si="58"/>
        <v>-5.8013170812522885E-2</v>
      </c>
      <c r="R373" s="13">
        <f t="shared" si="59"/>
        <v>3.3655279877229573E-3</v>
      </c>
      <c r="T373" s="14">
        <f t="shared" si="60"/>
        <v>-6.3405660753937179E-3</v>
      </c>
      <c r="U373" s="14">
        <f t="shared" si="61"/>
        <v>-4.1847736097598537E-2</v>
      </c>
      <c r="V373" s="14">
        <f t="shared" si="62"/>
        <v>-1.838764161864178E-2</v>
      </c>
      <c r="W373" s="14">
        <f t="shared" si="63"/>
        <v>-2.9166603946811101E-2</v>
      </c>
      <c r="X373" s="14">
        <f t="shared" si="64"/>
        <v>-8.2427358980118343E-3</v>
      </c>
      <c r="Y373" s="12">
        <f t="shared" si="65"/>
        <v>1</v>
      </c>
    </row>
    <row r="374" spans="1:25" x14ac:dyDescent="0.3">
      <c r="A374" s="23"/>
      <c r="B374" s="12">
        <v>50</v>
      </c>
      <c r="C374" s="12">
        <v>5.2</v>
      </c>
      <c r="D374" s="12">
        <v>2.7</v>
      </c>
      <c r="E374" s="12">
        <v>3.9</v>
      </c>
      <c r="F374" s="12">
        <v>1.4</v>
      </c>
      <c r="G374" s="12">
        <v>1</v>
      </c>
      <c r="I374" s="13">
        <f>I373-('Konfigurasi Model'!$B$11*T373)</f>
        <v>0.24503239136077995</v>
      </c>
      <c r="J374" s="13">
        <f>J373-('Konfigurasi Model'!$B$11*U373)</f>
        <v>-0.31504280524674949</v>
      </c>
      <c r="K374" s="13">
        <f>K373-('Konfigurasi Model'!$B$11*V373)</f>
        <v>-0.4496454313106259</v>
      </c>
      <c r="L374" s="13">
        <f>L373-('Konfigurasi Model'!$B$11*W373)</f>
        <v>1.0702883259481808</v>
      </c>
      <c r="M374" s="13">
        <f>M373-('Konfigurasi Model'!$B$11*X373)</f>
        <v>0.80791613205647272</v>
      </c>
      <c r="N374" s="13">
        <f t="shared" si="55"/>
        <v>2.6979741956159593</v>
      </c>
      <c r="O374" s="13">
        <f t="shared" si="56"/>
        <v>0.93690699997682703</v>
      </c>
      <c r="P374" s="12">
        <f t="shared" si="57"/>
        <v>1</v>
      </c>
      <c r="Q374" s="13">
        <f t="shared" si="58"/>
        <v>-6.3093000023172974E-2</v>
      </c>
      <c r="R374" s="13">
        <f t="shared" si="59"/>
        <v>3.9807266519241045E-3</v>
      </c>
      <c r="T374" s="14">
        <f t="shared" si="60"/>
        <v>-7.4591413303640233E-3</v>
      </c>
      <c r="U374" s="14">
        <f t="shared" si="61"/>
        <v>-3.878753491789292E-2</v>
      </c>
      <c r="V374" s="14">
        <f t="shared" si="62"/>
        <v>-2.0139681591982865E-2</v>
      </c>
      <c r="W374" s="14">
        <f t="shared" si="63"/>
        <v>-2.9090651188419692E-2</v>
      </c>
      <c r="X374" s="14">
        <f t="shared" si="64"/>
        <v>-1.0442797862509632E-2</v>
      </c>
      <c r="Y374" s="12">
        <f t="shared" si="65"/>
        <v>1</v>
      </c>
    </row>
    <row r="375" spans="1:25" x14ac:dyDescent="0.3">
      <c r="A375" s="23"/>
      <c r="B375" s="12">
        <v>51</v>
      </c>
      <c r="C375" s="12">
        <v>5</v>
      </c>
      <c r="D375" s="12">
        <v>2</v>
      </c>
      <c r="E375" s="12">
        <v>3.5</v>
      </c>
      <c r="F375" s="12">
        <v>1</v>
      </c>
      <c r="G375" s="12">
        <v>1</v>
      </c>
      <c r="I375" s="13">
        <f>I374-('Konfigurasi Model'!$B$11*T374)</f>
        <v>0.24577830549381635</v>
      </c>
      <c r="J375" s="13">
        <f>J374-('Konfigurasi Model'!$B$11*U374)</f>
        <v>-0.3111640517549602</v>
      </c>
      <c r="K375" s="13">
        <f>K374-('Konfigurasi Model'!$B$11*V374)</f>
        <v>-0.4476314631514276</v>
      </c>
      <c r="L375" s="13">
        <f>L374-('Konfigurasi Model'!$B$11*W374)</f>
        <v>1.0731973910670227</v>
      </c>
      <c r="M375" s="13">
        <f>M374-('Konfigurasi Model'!$B$11*X374)</f>
        <v>0.80896041184272371</v>
      </c>
      <c r="N375" s="13">
        <f t="shared" si="55"/>
        <v>2.3598464009934634</v>
      </c>
      <c r="O375" s="13">
        <f t="shared" si="56"/>
        <v>0.91371369637778632</v>
      </c>
      <c r="P375" s="12">
        <f t="shared" si="57"/>
        <v>1</v>
      </c>
      <c r="Q375" s="13">
        <f t="shared" si="58"/>
        <v>-8.6286303622213678E-2</v>
      </c>
      <c r="R375" s="13">
        <f t="shared" si="59"/>
        <v>7.4453261927848449E-3</v>
      </c>
      <c r="T375" s="14">
        <f t="shared" si="60"/>
        <v>-1.3605793032695584E-2</v>
      </c>
      <c r="U375" s="14">
        <f t="shared" si="61"/>
        <v>-6.8028965163477922E-2</v>
      </c>
      <c r="V375" s="14">
        <f t="shared" si="62"/>
        <v>-2.7211586065391168E-2</v>
      </c>
      <c r="W375" s="14">
        <f t="shared" si="63"/>
        <v>-4.7620275614434542E-2</v>
      </c>
      <c r="X375" s="14">
        <f t="shared" si="64"/>
        <v>-1.3605793032695584E-2</v>
      </c>
      <c r="Y375" s="12">
        <f t="shared" si="65"/>
        <v>1</v>
      </c>
    </row>
    <row r="376" spans="1:25" x14ac:dyDescent="0.3">
      <c r="A376" s="23"/>
      <c r="B376" s="12">
        <v>52</v>
      </c>
      <c r="C376" s="12">
        <v>5.9</v>
      </c>
      <c r="D376" s="12">
        <v>3</v>
      </c>
      <c r="E376" s="12">
        <v>4.2</v>
      </c>
      <c r="F376" s="12">
        <v>1.5</v>
      </c>
      <c r="G376" s="12">
        <v>1</v>
      </c>
      <c r="I376" s="13">
        <f>I375-('Konfigurasi Model'!$B$11*T375)</f>
        <v>0.2471388847970859</v>
      </c>
      <c r="J376" s="13">
        <f>J375-('Konfigurasi Model'!$B$11*U375)</f>
        <v>-0.3043611552386124</v>
      </c>
      <c r="K376" s="13">
        <f>K375-('Konfigurasi Model'!$B$11*V375)</f>
        <v>-0.4449103045448885</v>
      </c>
      <c r="L376" s="13">
        <f>L375-('Konfigurasi Model'!$B$11*W375)</f>
        <v>1.0779594186284662</v>
      </c>
      <c r="M376" s="13">
        <f>M375-('Konfigurasi Model'!$B$11*X375)</f>
        <v>0.81032099114599332</v>
      </c>
      <c r="N376" s="13">
        <f t="shared" si="55"/>
        <v>2.8595882002131554</v>
      </c>
      <c r="O376" s="13">
        <f t="shared" si="56"/>
        <v>0.94581219804276628</v>
      </c>
      <c r="P376" s="12">
        <f t="shared" si="57"/>
        <v>1</v>
      </c>
      <c r="Q376" s="13">
        <f t="shared" si="58"/>
        <v>-5.4187801957233717E-2</v>
      </c>
      <c r="R376" s="13">
        <f t="shared" si="59"/>
        <v>2.9363178809563824E-3</v>
      </c>
      <c r="T376" s="14">
        <f t="shared" si="60"/>
        <v>-5.5544105382792676E-3</v>
      </c>
      <c r="U376" s="14">
        <f t="shared" si="61"/>
        <v>-3.2771022175847681E-2</v>
      </c>
      <c r="V376" s="14">
        <f t="shared" si="62"/>
        <v>-1.6663231614837803E-2</v>
      </c>
      <c r="W376" s="14">
        <f t="shared" si="63"/>
        <v>-2.3328524260772924E-2</v>
      </c>
      <c r="X376" s="14">
        <f t="shared" si="64"/>
        <v>-8.3316158074189014E-3</v>
      </c>
      <c r="Y376" s="12">
        <f t="shared" si="65"/>
        <v>1</v>
      </c>
    </row>
    <row r="377" spans="1:25" x14ac:dyDescent="0.3">
      <c r="A377" s="23"/>
      <c r="B377" s="12">
        <v>53</v>
      </c>
      <c r="C377" s="12">
        <v>6</v>
      </c>
      <c r="D377" s="12">
        <v>2.2000000000000002</v>
      </c>
      <c r="E377" s="12">
        <v>4</v>
      </c>
      <c r="F377" s="12">
        <v>1</v>
      </c>
      <c r="G377" s="12">
        <v>1</v>
      </c>
      <c r="I377" s="13">
        <f>I376-('Konfigurasi Model'!$B$11*T376)</f>
        <v>0.24769432585091383</v>
      </c>
      <c r="J377" s="13">
        <f>J376-('Konfigurasi Model'!$B$11*U376)</f>
        <v>-0.30108405302102764</v>
      </c>
      <c r="K377" s="13">
        <f>K376-('Konfigurasi Model'!$B$11*V376)</f>
        <v>-0.44324398138340471</v>
      </c>
      <c r="L377" s="13">
        <f>L376-('Konfigurasi Model'!$B$11*W376)</f>
        <v>1.0802922710545435</v>
      </c>
      <c r="M377" s="13">
        <f>M376-('Konfigurasi Model'!$B$11*X376)</f>
        <v>0.81115415272673519</v>
      </c>
      <c r="N377" s="13">
        <f t="shared" si="55"/>
        <v>2.5983764856261669</v>
      </c>
      <c r="O377" s="13">
        <f t="shared" si="56"/>
        <v>0.93075701991525095</v>
      </c>
      <c r="P377" s="12">
        <f t="shared" si="57"/>
        <v>1</v>
      </c>
      <c r="Q377" s="13">
        <f t="shared" si="58"/>
        <v>-6.9242980084749051E-2</v>
      </c>
      <c r="R377" s="13">
        <f t="shared" si="59"/>
        <v>4.7945902910169541E-3</v>
      </c>
      <c r="T377" s="14">
        <f t="shared" si="60"/>
        <v>-8.9251971419630725E-3</v>
      </c>
      <c r="U377" s="14">
        <f t="shared" si="61"/>
        <v>-5.3551182851778435E-2</v>
      </c>
      <c r="V377" s="14">
        <f t="shared" si="62"/>
        <v>-1.963543371231876E-2</v>
      </c>
      <c r="W377" s="14">
        <f t="shared" si="63"/>
        <v>-3.570078856785229E-2</v>
      </c>
      <c r="X377" s="14">
        <f t="shared" si="64"/>
        <v>-8.9251971419630725E-3</v>
      </c>
      <c r="Y377" s="12">
        <f t="shared" si="65"/>
        <v>1</v>
      </c>
    </row>
    <row r="378" spans="1:25" x14ac:dyDescent="0.3">
      <c r="A378" s="23"/>
      <c r="B378" s="12">
        <v>54</v>
      </c>
      <c r="C378" s="12">
        <v>6.1</v>
      </c>
      <c r="D378" s="12">
        <v>2.9</v>
      </c>
      <c r="E378" s="12">
        <v>4.7</v>
      </c>
      <c r="F378" s="12">
        <v>1.4</v>
      </c>
      <c r="G378" s="12">
        <v>1</v>
      </c>
      <c r="I378" s="13">
        <f>I377-('Konfigurasi Model'!$B$11*T377)</f>
        <v>0.24858684556511013</v>
      </c>
      <c r="J378" s="13">
        <f>J377-('Konfigurasi Model'!$B$11*U377)</f>
        <v>-0.29572893473584982</v>
      </c>
      <c r="K378" s="13">
        <f>K377-('Konfigurasi Model'!$B$11*V377)</f>
        <v>-0.44128043801217282</v>
      </c>
      <c r="L378" s="13">
        <f>L377-('Konfigurasi Model'!$B$11*W377)</f>
        <v>1.0838623499113287</v>
      </c>
      <c r="M378" s="13">
        <f>M377-('Konfigurasi Model'!$B$11*X377)</f>
        <v>0.81204667244093154</v>
      </c>
      <c r="N378" s="13">
        <f t="shared" si="55"/>
        <v>3.3959454594416743</v>
      </c>
      <c r="O378" s="13">
        <f t="shared" si="56"/>
        <v>0.96757758032965979</v>
      </c>
      <c r="P378" s="12">
        <f t="shared" si="57"/>
        <v>1</v>
      </c>
      <c r="Q378" s="13">
        <f t="shared" si="58"/>
        <v>-3.2422419670340208E-2</v>
      </c>
      <c r="R378" s="13">
        <f t="shared" si="59"/>
        <v>1.0512132972796636E-3</v>
      </c>
      <c r="T378" s="14">
        <f t="shared" si="60"/>
        <v>-2.0342608371844407E-3</v>
      </c>
      <c r="U378" s="14">
        <f t="shared" si="61"/>
        <v>-1.2408991106825088E-2</v>
      </c>
      <c r="V378" s="14">
        <f t="shared" si="62"/>
        <v>-5.8993564278348775E-3</v>
      </c>
      <c r="W378" s="14">
        <f t="shared" si="63"/>
        <v>-9.5610259347668723E-3</v>
      </c>
      <c r="X378" s="14">
        <f t="shared" si="64"/>
        <v>-2.8479651720582167E-3</v>
      </c>
      <c r="Y378" s="12">
        <f t="shared" si="65"/>
        <v>1</v>
      </c>
    </row>
    <row r="379" spans="1:25" x14ac:dyDescent="0.3">
      <c r="A379" s="23"/>
      <c r="B379" s="12">
        <v>55</v>
      </c>
      <c r="C379" s="12">
        <v>5.6</v>
      </c>
      <c r="D379" s="12">
        <v>2.9</v>
      </c>
      <c r="E379" s="12">
        <v>3.6</v>
      </c>
      <c r="F379" s="12">
        <v>1.3</v>
      </c>
      <c r="G379" s="12">
        <v>1</v>
      </c>
      <c r="I379" s="13">
        <f>I378-('Konfigurasi Model'!$B$11*T378)</f>
        <v>0.24879027164882858</v>
      </c>
      <c r="J379" s="13">
        <f>J378-('Konfigurasi Model'!$B$11*U378)</f>
        <v>-0.29448803562516729</v>
      </c>
      <c r="K379" s="13">
        <f>K378-('Konfigurasi Model'!$B$11*V378)</f>
        <v>-0.44069050236938934</v>
      </c>
      <c r="L379" s="13">
        <f>L378-('Konfigurasi Model'!$B$11*W378)</f>
        <v>1.0848184525048055</v>
      </c>
      <c r="M379" s="13">
        <f>M378-('Konfigurasi Model'!$B$11*X378)</f>
        <v>0.81233146895813735</v>
      </c>
      <c r="N379" s="13">
        <f t="shared" si="55"/>
        <v>2.2830321539395411</v>
      </c>
      <c r="O379" s="13">
        <f t="shared" si="56"/>
        <v>0.90746198596992422</v>
      </c>
      <c r="P379" s="12">
        <f t="shared" si="57"/>
        <v>1</v>
      </c>
      <c r="Q379" s="13">
        <f t="shared" si="58"/>
        <v>-9.2538014030075777E-2</v>
      </c>
      <c r="R379" s="13">
        <f t="shared" si="59"/>
        <v>8.5632840406305016E-3</v>
      </c>
      <c r="T379" s="14">
        <f t="shared" si="60"/>
        <v>-1.5541709483870224E-2</v>
      </c>
      <c r="U379" s="14">
        <f t="shared" si="61"/>
        <v>-8.7033573109673246E-2</v>
      </c>
      <c r="V379" s="14">
        <f t="shared" si="62"/>
        <v>-4.5070957503223652E-2</v>
      </c>
      <c r="W379" s="14">
        <f t="shared" si="63"/>
        <v>-5.5950154141932808E-2</v>
      </c>
      <c r="X379" s="14">
        <f t="shared" si="64"/>
        <v>-2.0204222329031293E-2</v>
      </c>
      <c r="Y379" s="12">
        <f t="shared" si="65"/>
        <v>1</v>
      </c>
    </row>
    <row r="380" spans="1:25" x14ac:dyDescent="0.3">
      <c r="A380" s="23"/>
      <c r="B380" s="12">
        <v>56</v>
      </c>
      <c r="C380" s="12">
        <v>6.7</v>
      </c>
      <c r="D380" s="12">
        <v>3.1</v>
      </c>
      <c r="E380" s="12">
        <v>4.4000000000000004</v>
      </c>
      <c r="F380" s="12">
        <v>1.4</v>
      </c>
      <c r="G380" s="12">
        <v>1</v>
      </c>
      <c r="I380" s="13">
        <f>I379-('Konfigurasi Model'!$B$11*T379)</f>
        <v>0.25034444259721561</v>
      </c>
      <c r="J380" s="13">
        <f>J379-('Konfigurasi Model'!$B$11*U379)</f>
        <v>-0.28578467831419996</v>
      </c>
      <c r="K380" s="13">
        <f>K379-('Konfigurasi Model'!$B$11*V379)</f>
        <v>-0.43618340661906696</v>
      </c>
      <c r="L380" s="13">
        <f>L379-('Konfigurasi Model'!$B$11*W379)</f>
        <v>1.0904134679189987</v>
      </c>
      <c r="M380" s="13">
        <f>M379-('Konfigurasi Model'!$B$11*X379)</f>
        <v>0.81435189119104046</v>
      </c>
      <c r="N380" s="13">
        <f t="shared" si="55"/>
        <v>2.92133044388402</v>
      </c>
      <c r="O380" s="13">
        <f t="shared" si="56"/>
        <v>0.94889086016209057</v>
      </c>
      <c r="P380" s="12">
        <f t="shared" si="57"/>
        <v>1</v>
      </c>
      <c r="Q380" s="13">
        <f t="shared" si="58"/>
        <v>-5.1109139837909434E-2</v>
      </c>
      <c r="R380" s="13">
        <f t="shared" si="59"/>
        <v>2.6121441749709811E-3</v>
      </c>
      <c r="T380" s="14">
        <f t="shared" si="60"/>
        <v>-4.9572794661112175E-3</v>
      </c>
      <c r="U380" s="14">
        <f t="shared" si="61"/>
        <v>-3.3213772422945161E-2</v>
      </c>
      <c r="V380" s="14">
        <f t="shared" si="62"/>
        <v>-1.5367566344944775E-2</v>
      </c>
      <c r="W380" s="14">
        <f t="shared" si="63"/>
        <v>-2.181202965088936E-2</v>
      </c>
      <c r="X380" s="14">
        <f t="shared" si="64"/>
        <v>-6.9401912525557038E-3</v>
      </c>
      <c r="Y380" s="12">
        <f t="shared" si="65"/>
        <v>1</v>
      </c>
    </row>
    <row r="381" spans="1:25" x14ac:dyDescent="0.3">
      <c r="A381" s="23"/>
      <c r="B381" s="12">
        <v>57</v>
      </c>
      <c r="C381" s="12">
        <v>5.6</v>
      </c>
      <c r="D381" s="12">
        <v>3</v>
      </c>
      <c r="E381" s="12">
        <v>4.5</v>
      </c>
      <c r="F381" s="12">
        <v>1.5</v>
      </c>
      <c r="G381" s="12">
        <v>1</v>
      </c>
      <c r="I381" s="13">
        <f>I380-('Konfigurasi Model'!$B$11*T380)</f>
        <v>0.25084017054382673</v>
      </c>
      <c r="J381" s="13">
        <f>J380-('Konfigurasi Model'!$B$11*U380)</f>
        <v>-0.28246330107190543</v>
      </c>
      <c r="K381" s="13">
        <f>K380-('Konfigurasi Model'!$B$11*V380)</f>
        <v>-0.43464664998457248</v>
      </c>
      <c r="L381" s="13">
        <f>L380-('Konfigurasi Model'!$B$11*W380)</f>
        <v>1.0925946708840877</v>
      </c>
      <c r="M381" s="13">
        <f>M380-('Konfigurasi Model'!$B$11*X380)</f>
        <v>0.81504591031629603</v>
      </c>
      <c r="N381" s="13">
        <f t="shared" si="55"/>
        <v>3.5043506190402778</v>
      </c>
      <c r="O381" s="13">
        <f t="shared" si="56"/>
        <v>0.97081130434813578</v>
      </c>
      <c r="P381" s="12">
        <f t="shared" si="57"/>
        <v>1</v>
      </c>
      <c r="Q381" s="13">
        <f t="shared" si="58"/>
        <v>-2.9188695651864216E-2</v>
      </c>
      <c r="R381" s="13">
        <f t="shared" si="59"/>
        <v>8.5197995385715699E-4</v>
      </c>
      <c r="T381" s="14">
        <f t="shared" si="60"/>
        <v>-1.6542235405650621E-3</v>
      </c>
      <c r="U381" s="14">
        <f t="shared" si="61"/>
        <v>-9.2636518271643469E-3</v>
      </c>
      <c r="V381" s="14">
        <f t="shared" si="62"/>
        <v>-4.9626706216951864E-3</v>
      </c>
      <c r="W381" s="14">
        <f t="shared" si="63"/>
        <v>-7.4440059325427792E-3</v>
      </c>
      <c r="X381" s="14">
        <f t="shared" si="64"/>
        <v>-2.4813353108475932E-3</v>
      </c>
      <c r="Y381" s="12">
        <f t="shared" si="65"/>
        <v>1</v>
      </c>
    </row>
    <row r="382" spans="1:25" x14ac:dyDescent="0.3">
      <c r="A382" s="23"/>
      <c r="B382" s="12">
        <v>58</v>
      </c>
      <c r="C382" s="12">
        <v>5.8</v>
      </c>
      <c r="D382" s="12">
        <v>2.7</v>
      </c>
      <c r="E382" s="12">
        <v>4.0999999999999996</v>
      </c>
      <c r="F382" s="12">
        <v>1</v>
      </c>
      <c r="G382" s="12">
        <v>1</v>
      </c>
      <c r="I382" s="13">
        <f>I381-('Konfigurasi Model'!$B$11*T381)</f>
        <v>0.25100559289788327</v>
      </c>
      <c r="J382" s="13">
        <f>J381-('Konfigurasi Model'!$B$11*U381)</f>
        <v>-0.28153693588918899</v>
      </c>
      <c r="K382" s="13">
        <f>K381-('Konfigurasi Model'!$B$11*V381)</f>
        <v>-0.43415038292240293</v>
      </c>
      <c r="L382" s="13">
        <f>L381-('Konfigurasi Model'!$B$11*W381)</f>
        <v>1.0933390714773419</v>
      </c>
      <c r="M382" s="13">
        <f>M381-('Konfigurasi Model'!$B$11*X381)</f>
        <v>0.8152940438473808</v>
      </c>
      <c r="N382" s="13">
        <f t="shared" si="55"/>
        <v>2.7438695677545812</v>
      </c>
      <c r="O382" s="13">
        <f t="shared" si="56"/>
        <v>0.93956619088325655</v>
      </c>
      <c r="P382" s="12">
        <f t="shared" si="57"/>
        <v>1</v>
      </c>
      <c r="Q382" s="13">
        <f t="shared" si="58"/>
        <v>-6.0433809116743453E-2</v>
      </c>
      <c r="R382" s="13">
        <f t="shared" si="59"/>
        <v>3.652245284358984E-3</v>
      </c>
      <c r="T382" s="14">
        <f t="shared" si="60"/>
        <v>-6.8630523799930133E-3</v>
      </c>
      <c r="U382" s="14">
        <f t="shared" si="61"/>
        <v>-3.9805703803959473E-2</v>
      </c>
      <c r="V382" s="14">
        <f t="shared" si="62"/>
        <v>-1.8530241425981139E-2</v>
      </c>
      <c r="W382" s="14">
        <f t="shared" si="63"/>
        <v>-2.8138514757971352E-2</v>
      </c>
      <c r="X382" s="14">
        <f t="shared" si="64"/>
        <v>-6.8630523799930133E-3</v>
      </c>
      <c r="Y382" s="12">
        <f t="shared" si="65"/>
        <v>1</v>
      </c>
    </row>
    <row r="383" spans="1:25" x14ac:dyDescent="0.3">
      <c r="A383" s="23"/>
      <c r="B383" s="12">
        <v>59</v>
      </c>
      <c r="C383" s="12">
        <v>6.2</v>
      </c>
      <c r="D383" s="12">
        <v>2.2000000000000002</v>
      </c>
      <c r="E383" s="12">
        <v>4.5</v>
      </c>
      <c r="F383" s="12">
        <v>1.5</v>
      </c>
      <c r="G383" s="12">
        <v>1</v>
      </c>
      <c r="I383" s="13">
        <f>I382-('Konfigurasi Model'!$B$11*T382)</f>
        <v>0.25169189813588255</v>
      </c>
      <c r="J383" s="13">
        <f>J382-('Konfigurasi Model'!$B$11*U382)</f>
        <v>-0.27755636550879303</v>
      </c>
      <c r="K383" s="13">
        <f>K382-('Konfigurasi Model'!$B$11*V382)</f>
        <v>-0.4322973587798048</v>
      </c>
      <c r="L383" s="13">
        <f>L382-('Konfigurasi Model'!$B$11*W382)</f>
        <v>1.096152922953139</v>
      </c>
      <c r="M383" s="13">
        <f>M382-('Konfigurasi Model'!$B$11*X382)</f>
        <v>0.81598034908538009</v>
      </c>
      <c r="N383" s="13">
        <f t="shared" si="55"/>
        <v>3.736446919582991</v>
      </c>
      <c r="O383" s="13">
        <f t="shared" si="56"/>
        <v>0.97671639627307749</v>
      </c>
      <c r="P383" s="12">
        <f t="shared" si="57"/>
        <v>1</v>
      </c>
      <c r="Q383" s="13">
        <f t="shared" si="58"/>
        <v>-2.3283603726922508E-2</v>
      </c>
      <c r="R383" s="13">
        <f t="shared" si="59"/>
        <v>5.4212620251235973E-4</v>
      </c>
      <c r="T383" s="14">
        <f t="shared" si="60"/>
        <v>-1.0590071016861613E-3</v>
      </c>
      <c r="U383" s="14">
        <f t="shared" si="61"/>
        <v>-6.5658440304542003E-3</v>
      </c>
      <c r="V383" s="14">
        <f t="shared" si="62"/>
        <v>-2.3298156237095552E-3</v>
      </c>
      <c r="W383" s="14">
        <f t="shared" si="63"/>
        <v>-4.7655319575877261E-3</v>
      </c>
      <c r="X383" s="14">
        <f t="shared" si="64"/>
        <v>-1.588510652529242E-3</v>
      </c>
      <c r="Y383" s="12">
        <f t="shared" si="65"/>
        <v>1</v>
      </c>
    </row>
    <row r="384" spans="1:25" x14ac:dyDescent="0.3">
      <c r="A384" s="23"/>
      <c r="B384" s="12">
        <v>60</v>
      </c>
      <c r="C384" s="12">
        <v>5.6</v>
      </c>
      <c r="D384" s="12">
        <v>2.5</v>
      </c>
      <c r="E384" s="12">
        <v>3.9</v>
      </c>
      <c r="F384" s="12">
        <v>1.1000000000000001</v>
      </c>
      <c r="G384" s="12">
        <v>1</v>
      </c>
      <c r="I384" s="13">
        <f>I383-('Konfigurasi Model'!$B$11*T383)</f>
        <v>0.25179779884605119</v>
      </c>
      <c r="J384" s="13">
        <f>J383-('Konfigurasi Model'!$B$11*U383)</f>
        <v>-0.27689978110574759</v>
      </c>
      <c r="K384" s="13">
        <f>K383-('Konfigurasi Model'!$B$11*V383)</f>
        <v>-0.43206437721743385</v>
      </c>
      <c r="L384" s="13">
        <f>L383-('Konfigurasi Model'!$B$11*W383)</f>
        <v>1.0966294761488977</v>
      </c>
      <c r="M384" s="13">
        <f>M383-('Konfigurasi Model'!$B$11*X383)</f>
        <v>0.81613920015063302</v>
      </c>
      <c r="N384" s="13">
        <f t="shared" si="55"/>
        <v>2.7956061587566778</v>
      </c>
      <c r="O384" s="13">
        <f t="shared" si="56"/>
        <v>0.94243792686516215</v>
      </c>
      <c r="P384" s="12">
        <f t="shared" si="57"/>
        <v>1</v>
      </c>
      <c r="Q384" s="13">
        <f t="shared" si="58"/>
        <v>-5.7562073134837854E-2</v>
      </c>
      <c r="R384" s="13">
        <f t="shared" si="59"/>
        <v>3.3133922635804219E-3</v>
      </c>
      <c r="T384" s="14">
        <f t="shared" si="60"/>
        <v>-6.245333071559599E-3</v>
      </c>
      <c r="U384" s="14">
        <f t="shared" si="61"/>
        <v>-3.4973865200733749E-2</v>
      </c>
      <c r="V384" s="14">
        <f t="shared" si="62"/>
        <v>-1.5613332678898997E-2</v>
      </c>
      <c r="W384" s="14">
        <f t="shared" si="63"/>
        <v>-2.4356798979082436E-2</v>
      </c>
      <c r="X384" s="14">
        <f t="shared" si="64"/>
        <v>-6.8698663787155594E-3</v>
      </c>
      <c r="Y384" s="12">
        <f t="shared" si="65"/>
        <v>1</v>
      </c>
    </row>
    <row r="385" spans="1:25" x14ac:dyDescent="0.3">
      <c r="A385" s="23"/>
      <c r="B385" s="12">
        <v>61</v>
      </c>
      <c r="C385" s="12">
        <v>5.9</v>
      </c>
      <c r="D385" s="12">
        <v>3.2</v>
      </c>
      <c r="E385" s="12">
        <v>4.8</v>
      </c>
      <c r="F385" s="12">
        <v>1.8</v>
      </c>
      <c r="G385" s="12">
        <v>1</v>
      </c>
      <c r="I385" s="13">
        <f>I384-('Konfigurasi Model'!$B$11*T384)</f>
        <v>0.25242233215320714</v>
      </c>
      <c r="J385" s="13">
        <f>J384-('Konfigurasi Model'!$B$11*U384)</f>
        <v>-0.27340239458567422</v>
      </c>
      <c r="K385" s="13">
        <f>K384-('Konfigurasi Model'!$B$11*V384)</f>
        <v>-0.43050304394954397</v>
      </c>
      <c r="L385" s="13">
        <f>L384-('Konfigurasi Model'!$B$11*W384)</f>
        <v>1.0990651560468059</v>
      </c>
      <c r="M385" s="13">
        <f>M384-('Konfigurasi Model'!$B$11*X384)</f>
        <v>0.8168261867885046</v>
      </c>
      <c r="N385" s="13">
        <f t="shared" si="55"/>
        <v>4.0075383487031644</v>
      </c>
      <c r="O385" s="13">
        <f t="shared" si="56"/>
        <v>0.98214645499833164</v>
      </c>
      <c r="P385" s="12">
        <f t="shared" si="57"/>
        <v>1</v>
      </c>
      <c r="Q385" s="13">
        <f t="shared" si="58"/>
        <v>-1.7853545001668358E-2</v>
      </c>
      <c r="R385" s="13">
        <f t="shared" si="59"/>
        <v>3.1874906912659719E-4</v>
      </c>
      <c r="T385" s="14">
        <f t="shared" si="60"/>
        <v>-6.2611653655341121E-4</v>
      </c>
      <c r="U385" s="14">
        <f t="shared" si="61"/>
        <v>-3.6940875656651263E-3</v>
      </c>
      <c r="V385" s="14">
        <f t="shared" si="62"/>
        <v>-2.0035729169709158E-3</v>
      </c>
      <c r="W385" s="14">
        <f t="shared" si="63"/>
        <v>-3.0053593754563739E-3</v>
      </c>
      <c r="X385" s="14">
        <f t="shared" si="64"/>
        <v>-1.1270097657961403E-3</v>
      </c>
      <c r="Y385" s="12">
        <f t="shared" si="65"/>
        <v>1</v>
      </c>
    </row>
    <row r="386" spans="1:25" x14ac:dyDescent="0.3">
      <c r="A386" s="23"/>
      <c r="B386" s="12">
        <v>62</v>
      </c>
      <c r="C386" s="12">
        <v>6.1</v>
      </c>
      <c r="D386" s="12">
        <v>2.8</v>
      </c>
      <c r="E386" s="12">
        <v>4</v>
      </c>
      <c r="F386" s="12">
        <v>1.3</v>
      </c>
      <c r="G386" s="12">
        <v>1</v>
      </c>
      <c r="I386" s="13">
        <f>I385-('Konfigurasi Model'!$B$11*T385)</f>
        <v>0.25248494380686248</v>
      </c>
      <c r="J386" s="13">
        <f>J385-('Konfigurasi Model'!$B$11*U385)</f>
        <v>-0.27303298582910773</v>
      </c>
      <c r="K386" s="13">
        <f>K385-('Konfigurasi Model'!$B$11*V385)</f>
        <v>-0.43030268665784688</v>
      </c>
      <c r="L386" s="13">
        <f>L385-('Konfigurasi Model'!$B$11*W385)</f>
        <v>1.0993656919843515</v>
      </c>
      <c r="M386" s="13">
        <f>M385-('Konfigurasi Model'!$B$11*X385)</f>
        <v>0.81693888776508417</v>
      </c>
      <c r="N386" s="13">
        <f t="shared" si="55"/>
        <v>2.8416195296393498</v>
      </c>
      <c r="O386" s="13">
        <f t="shared" si="56"/>
        <v>0.94488386543671632</v>
      </c>
      <c r="P386" s="12">
        <f t="shared" si="57"/>
        <v>1</v>
      </c>
      <c r="Q386" s="13">
        <f t="shared" si="58"/>
        <v>-5.5116134563283681E-2</v>
      </c>
      <c r="R386" s="13">
        <f t="shared" si="59"/>
        <v>3.0377882891979941E-3</v>
      </c>
      <c r="T386" s="14">
        <f t="shared" si="60"/>
        <v>-5.7407142821515799E-3</v>
      </c>
      <c r="U386" s="14">
        <f t="shared" si="61"/>
        <v>-3.5018357121124638E-2</v>
      </c>
      <c r="V386" s="14">
        <f t="shared" si="62"/>
        <v>-1.6073999990024422E-2</v>
      </c>
      <c r="W386" s="14">
        <f t="shared" si="63"/>
        <v>-2.296285712860632E-2</v>
      </c>
      <c r="X386" s="14">
        <f t="shared" si="64"/>
        <v>-7.4629285667970544E-3</v>
      </c>
      <c r="Y386" s="12">
        <f t="shared" si="65"/>
        <v>1</v>
      </c>
    </row>
    <row r="387" spans="1:25" x14ac:dyDescent="0.3">
      <c r="A387" s="23"/>
      <c r="B387" s="12">
        <v>63</v>
      </c>
      <c r="C387" s="12">
        <v>6.3</v>
      </c>
      <c r="D387" s="12">
        <v>2.5</v>
      </c>
      <c r="E387" s="12">
        <v>4.9000000000000004</v>
      </c>
      <c r="F387" s="12">
        <v>1.5</v>
      </c>
      <c r="G387" s="12">
        <v>1</v>
      </c>
      <c r="I387" s="13">
        <f>I386-('Konfigurasi Model'!$B$11*T386)</f>
        <v>0.25305901523507762</v>
      </c>
      <c r="J387" s="13">
        <f>J386-('Konfigurasi Model'!$B$11*U386)</f>
        <v>-0.26953115011699524</v>
      </c>
      <c r="K387" s="13">
        <f>K386-('Konfigurasi Model'!$B$11*V386)</f>
        <v>-0.42869528665884443</v>
      </c>
      <c r="L387" s="13">
        <f>L386-('Konfigurasi Model'!$B$11*W386)</f>
        <v>1.1016619776972121</v>
      </c>
      <c r="M387" s="13">
        <f>M386-('Konfigurasi Model'!$B$11*X386)</f>
        <v>0.81768518062176387</v>
      </c>
      <c r="N387" s="13">
        <f t="shared" si="55"/>
        <v>4.1079460144998814</v>
      </c>
      <c r="O387" s="13">
        <f t="shared" si="56"/>
        <v>0.98382444014507808</v>
      </c>
      <c r="P387" s="12">
        <f t="shared" si="57"/>
        <v>1</v>
      </c>
      <c r="Q387" s="13">
        <f t="shared" si="58"/>
        <v>-1.6175559854921917E-2</v>
      </c>
      <c r="R387" s="13">
        <f t="shared" si="59"/>
        <v>2.6164873662016153E-4</v>
      </c>
      <c r="T387" s="14">
        <f t="shared" si="60"/>
        <v>-5.1483284363999478E-4</v>
      </c>
      <c r="U387" s="14">
        <f t="shared" si="61"/>
        <v>-3.2434469149319671E-3</v>
      </c>
      <c r="V387" s="14">
        <f t="shared" si="62"/>
        <v>-1.287082109099987E-3</v>
      </c>
      <c r="W387" s="14">
        <f t="shared" si="63"/>
        <v>-2.5226809338359745E-3</v>
      </c>
      <c r="X387" s="14">
        <f t="shared" si="64"/>
        <v>-7.7224926545999212E-4</v>
      </c>
      <c r="Y387" s="12">
        <f t="shared" si="65"/>
        <v>1</v>
      </c>
    </row>
    <row r="388" spans="1:25" x14ac:dyDescent="0.3">
      <c r="A388" s="23"/>
      <c r="B388" s="12">
        <v>64</v>
      </c>
      <c r="C388" s="12">
        <v>6.1</v>
      </c>
      <c r="D388" s="12">
        <v>2.8</v>
      </c>
      <c r="E388" s="12">
        <v>4.7</v>
      </c>
      <c r="F388" s="12">
        <v>1.2</v>
      </c>
      <c r="G388" s="12">
        <v>1</v>
      </c>
      <c r="I388" s="13">
        <f>I387-('Konfigurasi Model'!$B$11*T387)</f>
        <v>0.25311049851944162</v>
      </c>
      <c r="J388" s="13">
        <f>J387-('Konfigurasi Model'!$B$11*U387)</f>
        <v>-0.26920680542550207</v>
      </c>
      <c r="K388" s="13">
        <f>K387-('Konfigurasi Model'!$B$11*V387)</f>
        <v>-0.42856657844793444</v>
      </c>
      <c r="L388" s="13">
        <f>L387-('Konfigurasi Model'!$B$11*W387)</f>
        <v>1.1019142457905957</v>
      </c>
      <c r="M388" s="13">
        <f>M387-('Konfigurasi Model'!$B$11*X387)</f>
        <v>0.81776240554830992</v>
      </c>
      <c r="N388" s="13">
        <f t="shared" si="55"/>
        <v>3.5712744076434348</v>
      </c>
      <c r="O388" s="13">
        <f t="shared" si="56"/>
        <v>0.97264911231173123</v>
      </c>
      <c r="P388" s="12">
        <f t="shared" si="57"/>
        <v>1</v>
      </c>
      <c r="Q388" s="13">
        <f t="shared" si="58"/>
        <v>-2.7350887688268766E-2</v>
      </c>
      <c r="R388" s="13">
        <f t="shared" si="59"/>
        <v>7.4807105733629196E-4</v>
      </c>
      <c r="T388" s="14">
        <f t="shared" si="60"/>
        <v>-1.4552212997284851E-3</v>
      </c>
      <c r="U388" s="14">
        <f t="shared" si="61"/>
        <v>-8.8768499283437587E-3</v>
      </c>
      <c r="V388" s="14">
        <f t="shared" si="62"/>
        <v>-4.0746196392397582E-3</v>
      </c>
      <c r="W388" s="14">
        <f t="shared" si="63"/>
        <v>-6.8395401087238804E-3</v>
      </c>
      <c r="X388" s="14">
        <f t="shared" si="64"/>
        <v>-1.7462655596741821E-3</v>
      </c>
      <c r="Y388" s="12">
        <f t="shared" si="65"/>
        <v>1</v>
      </c>
    </row>
    <row r="389" spans="1:25" x14ac:dyDescent="0.3">
      <c r="A389" s="23"/>
      <c r="B389" s="12">
        <v>65</v>
      </c>
      <c r="C389" s="12">
        <v>6.4</v>
      </c>
      <c r="D389" s="12">
        <v>2.9</v>
      </c>
      <c r="E389" s="12">
        <v>4.3</v>
      </c>
      <c r="F389" s="12">
        <v>1.3</v>
      </c>
      <c r="G389" s="12">
        <v>1</v>
      </c>
      <c r="I389" s="13">
        <f>I388-('Konfigurasi Model'!$B$11*T388)</f>
        <v>0.25325602064941449</v>
      </c>
      <c r="J389" s="13">
        <f>J388-('Konfigurasi Model'!$B$11*U388)</f>
        <v>-0.2683191204326677</v>
      </c>
      <c r="K389" s="13">
        <f>K388-('Konfigurasi Model'!$B$11*V388)</f>
        <v>-0.42815911648401045</v>
      </c>
      <c r="L389" s="13">
        <f>L388-('Konfigurasi Model'!$B$11*W388)</f>
        <v>1.102598199801468</v>
      </c>
      <c r="M389" s="13">
        <f>M388-('Konfigurasi Model'!$B$11*X388)</f>
        <v>0.81793703210427737</v>
      </c>
      <c r="N389" s="13">
        <f t="shared" ref="N389:N404" si="66">I389+J389*C389+K389*D389+L389*E389+M389*F389</f>
        <v>3.0988426129585838</v>
      </c>
      <c r="O389" s="13">
        <f t="shared" ref="O389:O404" si="67">1/(1+EXP(-N389))</f>
        <v>0.95684497872467034</v>
      </c>
      <c r="P389" s="12">
        <f t="shared" ref="P389:P404" si="68">IF(O389&gt;0.5,1,0)</f>
        <v>1</v>
      </c>
      <c r="Q389" s="13">
        <f t="shared" ref="Q389:Q404" si="69">O389-G389</f>
        <v>-4.3155021275329664E-2</v>
      </c>
      <c r="R389" s="13">
        <f t="shared" ref="R389:R404" si="70">Q389^2</f>
        <v>1.8623558612741559E-3</v>
      </c>
      <c r="T389" s="14">
        <f t="shared" ref="T389:T404" si="71">2*(O389-G389)*(1-O389)*O389</f>
        <v>-3.5639717089172695E-3</v>
      </c>
      <c r="U389" s="14">
        <f t="shared" ref="U389:U404" si="72">2*(O389-G389)*(1-O389)*O389*C389</f>
        <v>-2.2809418937070527E-2</v>
      </c>
      <c r="V389" s="14">
        <f t="shared" ref="V389:V404" si="73">2*(O389-G389)*(1-O389)*O389*D389</f>
        <v>-1.0335517955860081E-2</v>
      </c>
      <c r="W389" s="14">
        <f t="shared" ref="W389:W404" si="74">2*(O389-G389)*(1-O389)*O389*E389</f>
        <v>-1.5325078348344259E-2</v>
      </c>
      <c r="X389" s="14">
        <f t="shared" ref="X389:X404" si="75">2*(O389-G389)*(1-O389)*O389*F389</f>
        <v>-4.6331632215924502E-3</v>
      </c>
      <c r="Y389" s="12">
        <f t="shared" ref="Y389:Y404" si="76">IF(P389=G389,1,0)</f>
        <v>1</v>
      </c>
    </row>
    <row r="390" spans="1:25" x14ac:dyDescent="0.3">
      <c r="A390" s="23"/>
      <c r="B390" s="12">
        <v>66</v>
      </c>
      <c r="C390" s="12">
        <v>6.6</v>
      </c>
      <c r="D390" s="12">
        <v>3</v>
      </c>
      <c r="E390" s="12">
        <v>4.4000000000000004</v>
      </c>
      <c r="F390" s="12">
        <v>1.4</v>
      </c>
      <c r="G390" s="12">
        <v>1</v>
      </c>
      <c r="I390" s="13">
        <f>I389-('Konfigurasi Model'!$B$11*T389)</f>
        <v>0.25361241782030625</v>
      </c>
      <c r="J390" s="13">
        <f>J389-('Konfigurasi Model'!$B$11*U389)</f>
        <v>-0.26603817853896067</v>
      </c>
      <c r="K390" s="13">
        <f>K389-('Konfigurasi Model'!$B$11*V389)</f>
        <v>-0.42712556468842444</v>
      </c>
      <c r="L390" s="13">
        <f>L389-('Konfigurasi Model'!$B$11*W389)</f>
        <v>1.1041307076363025</v>
      </c>
      <c r="M390" s="13">
        <f>M389-('Konfigurasi Model'!$B$11*X389)</f>
        <v>0.81840034842643661</v>
      </c>
      <c r="N390" s="13">
        <f t="shared" si="66"/>
        <v>3.2203193467946356</v>
      </c>
      <c r="O390" s="13">
        <f t="shared" si="67"/>
        <v>0.96159181067245159</v>
      </c>
      <c r="P390" s="12">
        <f t="shared" si="68"/>
        <v>1</v>
      </c>
      <c r="Q390" s="13">
        <f t="shared" si="69"/>
        <v>-3.8408189327548414E-2</v>
      </c>
      <c r="R390" s="13">
        <f t="shared" si="70"/>
        <v>1.475189007420804E-3</v>
      </c>
      <c r="T390" s="14">
        <f t="shared" si="71"/>
        <v>-2.8370593374597349E-3</v>
      </c>
      <c r="U390" s="14">
        <f t="shared" si="72"/>
        <v>-1.8724591627234249E-2</v>
      </c>
      <c r="V390" s="14">
        <f t="shared" si="73"/>
        <v>-8.5111780123792048E-3</v>
      </c>
      <c r="W390" s="14">
        <f t="shared" si="74"/>
        <v>-1.2483061084822835E-2</v>
      </c>
      <c r="X390" s="14">
        <f t="shared" si="75"/>
        <v>-3.9718830724436291E-3</v>
      </c>
      <c r="Y390" s="12">
        <f t="shared" si="76"/>
        <v>1</v>
      </c>
    </row>
    <row r="391" spans="1:25" x14ac:dyDescent="0.3">
      <c r="A391" s="23"/>
      <c r="B391" s="12">
        <v>67</v>
      </c>
      <c r="C391" s="12">
        <v>6.8</v>
      </c>
      <c r="D391" s="12">
        <v>2.8</v>
      </c>
      <c r="E391" s="12">
        <v>4.8</v>
      </c>
      <c r="F391" s="12">
        <v>1.4</v>
      </c>
      <c r="G391" s="12">
        <v>1</v>
      </c>
      <c r="I391" s="13">
        <f>I390-('Konfigurasi Model'!$B$11*T390)</f>
        <v>0.25389612375405224</v>
      </c>
      <c r="J391" s="13">
        <f>J390-('Konfigurasi Model'!$B$11*U390)</f>
        <v>-0.26416571937623723</v>
      </c>
      <c r="K391" s="13">
        <f>K390-('Konfigurasi Model'!$B$11*V390)</f>
        <v>-0.42627444688718652</v>
      </c>
      <c r="L391" s="13">
        <f>L390-('Konfigurasi Model'!$B$11*W390)</f>
        <v>1.1053790137447848</v>
      </c>
      <c r="M391" s="13">
        <f>M390-('Konfigurasi Model'!$B$11*X390)</f>
        <v>0.81879753673368094</v>
      </c>
      <c r="N391" s="13">
        <f t="shared" si="66"/>
        <v>3.7161365981136374</v>
      </c>
      <c r="O391" s="13">
        <f t="shared" si="67"/>
        <v>0.97625000991060418</v>
      </c>
      <c r="P391" s="12">
        <f t="shared" si="68"/>
        <v>1</v>
      </c>
      <c r="Q391" s="13">
        <f t="shared" si="69"/>
        <v>-2.3749990089395823E-2</v>
      </c>
      <c r="R391" s="13">
        <f t="shared" si="70"/>
        <v>5.6406202924639984E-4</v>
      </c>
      <c r="T391" s="14">
        <f t="shared" si="71"/>
        <v>-1.1013311232839866E-3</v>
      </c>
      <c r="U391" s="14">
        <f t="shared" si="72"/>
        <v>-7.4890516383311085E-3</v>
      </c>
      <c r="V391" s="14">
        <f t="shared" si="73"/>
        <v>-3.0837271451951624E-3</v>
      </c>
      <c r="W391" s="14">
        <f t="shared" si="74"/>
        <v>-5.2863893917631357E-3</v>
      </c>
      <c r="X391" s="14">
        <f t="shared" si="75"/>
        <v>-1.5418635725975812E-3</v>
      </c>
      <c r="Y391" s="12">
        <f t="shared" si="76"/>
        <v>1</v>
      </c>
    </row>
    <row r="392" spans="1:25" x14ac:dyDescent="0.3">
      <c r="A392" s="23"/>
      <c r="B392" s="12">
        <v>68</v>
      </c>
      <c r="C392" s="12">
        <v>6.7</v>
      </c>
      <c r="D392" s="12">
        <v>3</v>
      </c>
      <c r="E392" s="12">
        <v>5</v>
      </c>
      <c r="F392" s="12">
        <v>1.7</v>
      </c>
      <c r="G392" s="12">
        <v>1</v>
      </c>
      <c r="I392" s="13">
        <f>I391-('Konfigurasi Model'!$B$11*T391)</f>
        <v>0.25400625686638062</v>
      </c>
      <c r="J392" s="13">
        <f>J391-('Konfigurasi Model'!$B$11*U391)</f>
        <v>-0.26341681421240409</v>
      </c>
      <c r="K392" s="13">
        <f>K391-('Konfigurasi Model'!$B$11*V391)</f>
        <v>-0.42596607417266702</v>
      </c>
      <c r="L392" s="13">
        <f>L391-('Konfigurasi Model'!$B$11*W391)</f>
        <v>1.1059076526839611</v>
      </c>
      <c r="M392" s="13">
        <f>M391-('Konfigurasi Model'!$B$11*X391)</f>
        <v>0.81895172309094066</v>
      </c>
      <c r="N392" s="13">
        <f t="shared" si="66"/>
        <v>4.1329715717996764</v>
      </c>
      <c r="O392" s="13">
        <f t="shared" si="67"/>
        <v>0.98421790998127334</v>
      </c>
      <c r="P392" s="12">
        <f t="shared" si="68"/>
        <v>1</v>
      </c>
      <c r="Q392" s="13">
        <f t="shared" si="69"/>
        <v>-1.5782090018726658E-2</v>
      </c>
      <c r="R392" s="13">
        <f t="shared" si="70"/>
        <v>2.4907436535919158E-4</v>
      </c>
      <c r="T392" s="14">
        <f t="shared" si="71"/>
        <v>-4.9028690260747123E-4</v>
      </c>
      <c r="U392" s="14">
        <f t="shared" si="72"/>
        <v>-3.2849222474700575E-3</v>
      </c>
      <c r="V392" s="14">
        <f t="shared" si="73"/>
        <v>-1.4708607078224136E-3</v>
      </c>
      <c r="W392" s="14">
        <f t="shared" si="74"/>
        <v>-2.4514345130373563E-3</v>
      </c>
      <c r="X392" s="14">
        <f t="shared" si="75"/>
        <v>-8.3348773443270101E-4</v>
      </c>
      <c r="Y392" s="12">
        <f t="shared" si="76"/>
        <v>1</v>
      </c>
    </row>
    <row r="393" spans="1:25" x14ac:dyDescent="0.3">
      <c r="A393" s="23"/>
      <c r="B393" s="12">
        <v>69</v>
      </c>
      <c r="C393" s="12">
        <v>6</v>
      </c>
      <c r="D393" s="12">
        <v>2.9</v>
      </c>
      <c r="E393" s="12">
        <v>4.5</v>
      </c>
      <c r="F393" s="12">
        <v>1.5</v>
      </c>
      <c r="G393" s="12">
        <v>1</v>
      </c>
      <c r="I393" s="13">
        <f>I392-('Konfigurasi Model'!$B$11*T392)</f>
        <v>0.25405528555664136</v>
      </c>
      <c r="J393" s="13">
        <f>J392-('Konfigurasi Model'!$B$11*U392)</f>
        <v>-0.26308832198765708</v>
      </c>
      <c r="K393" s="13">
        <f>K392-('Konfigurasi Model'!$B$11*V392)</f>
        <v>-0.42581898810188479</v>
      </c>
      <c r="L393" s="13">
        <f>L392-('Konfigurasi Model'!$B$11*W392)</f>
        <v>1.1061527961352648</v>
      </c>
      <c r="M393" s="13">
        <f>M392-('Konfigurasi Model'!$B$11*X392)</f>
        <v>0.81903507186438396</v>
      </c>
      <c r="N393" s="13">
        <f t="shared" si="66"/>
        <v>3.6468904785405001</v>
      </c>
      <c r="O393" s="13">
        <f t="shared" si="67"/>
        <v>0.97459040628382254</v>
      </c>
      <c r="P393" s="12">
        <f t="shared" si="68"/>
        <v>1</v>
      </c>
      <c r="Q393" s="13">
        <f t="shared" si="69"/>
        <v>-2.5409593716177459E-2</v>
      </c>
      <c r="R393" s="13">
        <f t="shared" si="70"/>
        <v>6.4564745282120496E-4</v>
      </c>
      <c r="T393" s="14">
        <f t="shared" si="71"/>
        <v>-1.2584836267222667E-3</v>
      </c>
      <c r="U393" s="14">
        <f t="shared" si="72"/>
        <v>-7.5509017603336004E-3</v>
      </c>
      <c r="V393" s="14">
        <f t="shared" si="73"/>
        <v>-3.6496025174945733E-3</v>
      </c>
      <c r="W393" s="14">
        <f t="shared" si="74"/>
        <v>-5.6631763202502003E-3</v>
      </c>
      <c r="X393" s="14">
        <f t="shared" si="75"/>
        <v>-1.8877254400834001E-3</v>
      </c>
      <c r="Y393" s="12">
        <f t="shared" si="76"/>
        <v>1</v>
      </c>
    </row>
    <row r="394" spans="1:25" x14ac:dyDescent="0.3">
      <c r="A394" s="23"/>
      <c r="B394" s="12">
        <v>70</v>
      </c>
      <c r="C394" s="12">
        <v>5.7</v>
      </c>
      <c r="D394" s="12">
        <v>2.6</v>
      </c>
      <c r="E394" s="12">
        <v>3.5</v>
      </c>
      <c r="F394" s="12">
        <v>1</v>
      </c>
      <c r="G394" s="12">
        <v>1</v>
      </c>
      <c r="I394" s="13">
        <f>I393-('Konfigurasi Model'!$B$11*T393)</f>
        <v>0.25418113391931357</v>
      </c>
      <c r="J394" s="13">
        <f>J393-('Konfigurasi Model'!$B$11*U393)</f>
        <v>-0.26233323181162371</v>
      </c>
      <c r="K394" s="13">
        <f>K393-('Konfigurasi Model'!$B$11*V393)</f>
        <v>-0.42545402785013531</v>
      </c>
      <c r="L394" s="13">
        <f>L393-('Konfigurasi Model'!$B$11*W393)</f>
        <v>1.1067191137672898</v>
      </c>
      <c r="M394" s="13">
        <f>M393-('Konfigurasi Model'!$B$11*X393)</f>
        <v>0.81922384440839224</v>
      </c>
      <c r="N394" s="13">
        <f t="shared" si="66"/>
        <v>2.3454419827766131</v>
      </c>
      <c r="O394" s="13">
        <f t="shared" si="67"/>
        <v>0.91257124953046787</v>
      </c>
      <c r="P394" s="12">
        <f t="shared" si="68"/>
        <v>1</v>
      </c>
      <c r="Q394" s="13">
        <f t="shared" si="69"/>
        <v>-8.7428750469532135E-2</v>
      </c>
      <c r="R394" s="13">
        <f t="shared" si="70"/>
        <v>7.6437864086637154E-3</v>
      </c>
      <c r="T394" s="14">
        <f t="shared" si="71"/>
        <v>-1.3950999428196508E-2</v>
      </c>
      <c r="U394" s="14">
        <f t="shared" si="72"/>
        <v>-7.9520696740720098E-2</v>
      </c>
      <c r="V394" s="14">
        <f t="shared" si="73"/>
        <v>-3.6272598513310925E-2</v>
      </c>
      <c r="W394" s="14">
        <f t="shared" si="74"/>
        <v>-4.8828497998687777E-2</v>
      </c>
      <c r="X394" s="14">
        <f t="shared" si="75"/>
        <v>-1.3950999428196508E-2</v>
      </c>
      <c r="Y394" s="12">
        <f t="shared" si="76"/>
        <v>1</v>
      </c>
    </row>
    <row r="395" spans="1:25" x14ac:dyDescent="0.3">
      <c r="A395" s="23"/>
      <c r="B395" s="12">
        <v>71</v>
      </c>
      <c r="C395" s="12">
        <v>5.5</v>
      </c>
      <c r="D395" s="12">
        <v>2.4</v>
      </c>
      <c r="E395" s="12">
        <v>3.8</v>
      </c>
      <c r="F395" s="12">
        <v>1.1000000000000001</v>
      </c>
      <c r="G395" s="12">
        <v>1</v>
      </c>
      <c r="I395" s="13">
        <f>I394-('Konfigurasi Model'!$B$11*T394)</f>
        <v>0.25557623386213324</v>
      </c>
      <c r="J395" s="13">
        <f>J394-('Konfigurasi Model'!$B$11*U394)</f>
        <v>-0.25438116213755169</v>
      </c>
      <c r="K395" s="13">
        <f>K394-('Konfigurasi Model'!$B$11*V394)</f>
        <v>-0.4218267679988042</v>
      </c>
      <c r="L395" s="13">
        <f>L394-('Konfigurasi Model'!$B$11*W394)</f>
        <v>1.1116019635671586</v>
      </c>
      <c r="M395" s="13">
        <f>M394-('Konfigurasi Model'!$B$11*X394)</f>
        <v>0.82061894435121185</v>
      </c>
      <c r="N395" s="13">
        <f t="shared" si="66"/>
        <v>2.9708638992500038</v>
      </c>
      <c r="O395" s="13">
        <f t="shared" si="67"/>
        <v>0.95124036211709118</v>
      </c>
      <c r="P395" s="12">
        <f t="shared" si="68"/>
        <v>1</v>
      </c>
      <c r="Q395" s="13">
        <f t="shared" si="69"/>
        <v>-4.8759637882908824E-2</v>
      </c>
      <c r="R395" s="13">
        <f t="shared" si="70"/>
        <v>2.3775022864723971E-3</v>
      </c>
      <c r="T395" s="14">
        <f t="shared" si="71"/>
        <v>-4.5231522718364309E-3</v>
      </c>
      <c r="U395" s="14">
        <f t="shared" si="72"/>
        <v>-2.487733749510037E-2</v>
      </c>
      <c r="V395" s="14">
        <f t="shared" si="73"/>
        <v>-1.0855565452407434E-2</v>
      </c>
      <c r="W395" s="14">
        <f t="shared" si="74"/>
        <v>-1.7187978632978437E-2</v>
      </c>
      <c r="X395" s="14">
        <f t="shared" si="75"/>
        <v>-4.9754674990200743E-3</v>
      </c>
      <c r="Y395" s="12">
        <f t="shared" si="76"/>
        <v>1</v>
      </c>
    </row>
    <row r="396" spans="1:25" x14ac:dyDescent="0.3">
      <c r="A396" s="23"/>
      <c r="B396" s="12">
        <v>72</v>
      </c>
      <c r="C396" s="12">
        <v>5.5</v>
      </c>
      <c r="D396" s="12">
        <v>2.4</v>
      </c>
      <c r="E396" s="12">
        <v>3.7</v>
      </c>
      <c r="F396" s="12">
        <v>1</v>
      </c>
      <c r="G396" s="12">
        <v>1</v>
      </c>
      <c r="I396" s="13">
        <f>I395-('Konfigurasi Model'!$B$11*T395)</f>
        <v>0.25602854908931688</v>
      </c>
      <c r="J396" s="13">
        <f>J395-('Konfigurasi Model'!$B$11*U395)</f>
        <v>-0.25189342838804163</v>
      </c>
      <c r="K396" s="13">
        <f>K395-('Konfigurasi Model'!$B$11*V395)</f>
        <v>-0.42074121145356347</v>
      </c>
      <c r="L396" s="13">
        <f>L395-('Konfigurasi Model'!$B$11*W395)</f>
        <v>1.1133207614304563</v>
      </c>
      <c r="M396" s="13">
        <f>M395-('Konfigurasi Model'!$B$11*X395)</f>
        <v>0.82111649110111384</v>
      </c>
      <c r="N396" s="13">
        <f t="shared" si="66"/>
        <v>2.8012390938603375</v>
      </c>
      <c r="O396" s="13">
        <f t="shared" si="67"/>
        <v>0.94274274568117034</v>
      </c>
      <c r="P396" s="12">
        <f t="shared" si="68"/>
        <v>1</v>
      </c>
      <c r="Q396" s="13">
        <f t="shared" si="69"/>
        <v>-5.7257254318829665E-2</v>
      </c>
      <c r="R396" s="13">
        <f t="shared" si="70"/>
        <v>3.2783931721311384E-3</v>
      </c>
      <c r="T396" s="14">
        <f t="shared" si="71"/>
        <v>-6.1813627610346226E-3</v>
      </c>
      <c r="U396" s="14">
        <f t="shared" si="72"/>
        <v>-3.3997495185690424E-2</v>
      </c>
      <c r="V396" s="14">
        <f t="shared" si="73"/>
        <v>-1.4835270626483094E-2</v>
      </c>
      <c r="W396" s="14">
        <f t="shared" si="74"/>
        <v>-2.2871042215828103E-2</v>
      </c>
      <c r="X396" s="14">
        <f t="shared" si="75"/>
        <v>-6.1813627610346226E-3</v>
      </c>
      <c r="Y396" s="12">
        <f t="shared" si="76"/>
        <v>1</v>
      </c>
    </row>
    <row r="397" spans="1:25" x14ac:dyDescent="0.3">
      <c r="A397" s="23"/>
      <c r="B397" s="12">
        <v>73</v>
      </c>
      <c r="C397" s="12">
        <v>5.8</v>
      </c>
      <c r="D397" s="12">
        <v>2.7</v>
      </c>
      <c r="E397" s="12">
        <v>3.9</v>
      </c>
      <c r="F397" s="12">
        <v>1.2</v>
      </c>
      <c r="G397" s="12">
        <v>1</v>
      </c>
      <c r="I397" s="13">
        <f>I396-('Konfigurasi Model'!$B$11*T396)</f>
        <v>0.25664668536542035</v>
      </c>
      <c r="J397" s="13">
        <f>J396-('Konfigurasi Model'!$B$11*U396)</f>
        <v>-0.2484936788694726</v>
      </c>
      <c r="K397" s="13">
        <f>K396-('Konfigurasi Model'!$B$11*V396)</f>
        <v>-0.41925768439091515</v>
      </c>
      <c r="L397" s="13">
        <f>L396-('Konfigurasi Model'!$B$11*W396)</f>
        <v>1.1156078656520392</v>
      </c>
      <c r="M397" s="13">
        <f>M396-('Konfigurasi Model'!$B$11*X396)</f>
        <v>0.82173462737721725</v>
      </c>
      <c r="N397" s="13">
        <f t="shared" si="66"/>
        <v>3.0203398289626215</v>
      </c>
      <c r="O397" s="13">
        <f t="shared" si="67"/>
        <v>0.95348459980641453</v>
      </c>
      <c r="P397" s="12">
        <f t="shared" si="68"/>
        <v>1</v>
      </c>
      <c r="Q397" s="13">
        <f t="shared" si="69"/>
        <v>-4.6515400193585466E-2</v>
      </c>
      <c r="R397" s="13">
        <f t="shared" si="70"/>
        <v>2.1636824551694109E-3</v>
      </c>
      <c r="T397" s="14">
        <f t="shared" si="71"/>
        <v>-4.1260757997507325E-3</v>
      </c>
      <c r="U397" s="14">
        <f t="shared" si="72"/>
        <v>-2.3931239638554248E-2</v>
      </c>
      <c r="V397" s="14">
        <f t="shared" si="73"/>
        <v>-1.1140404659326978E-2</v>
      </c>
      <c r="W397" s="14">
        <f t="shared" si="74"/>
        <v>-1.6091695619027856E-2</v>
      </c>
      <c r="X397" s="14">
        <f t="shared" si="75"/>
        <v>-4.9512909597008792E-3</v>
      </c>
      <c r="Y397" s="12">
        <f t="shared" si="76"/>
        <v>1</v>
      </c>
    </row>
    <row r="398" spans="1:25" x14ac:dyDescent="0.3">
      <c r="A398" s="23"/>
      <c r="B398" s="12">
        <v>74</v>
      </c>
      <c r="C398" s="12">
        <v>6</v>
      </c>
      <c r="D398" s="12">
        <v>2.7</v>
      </c>
      <c r="E398" s="12">
        <v>5.0999999999999996</v>
      </c>
      <c r="F398" s="12">
        <v>1.6</v>
      </c>
      <c r="G398" s="12">
        <v>1</v>
      </c>
      <c r="I398" s="13">
        <f>I397-('Konfigurasi Model'!$B$11*T397)</f>
        <v>0.25705929294539542</v>
      </c>
      <c r="J398" s="13">
        <f>J397-('Konfigurasi Model'!$B$11*U397)</f>
        <v>-0.24610055490561716</v>
      </c>
      <c r="K398" s="13">
        <f>K397-('Konfigurasi Model'!$B$11*V397)</f>
        <v>-0.41814364392498243</v>
      </c>
      <c r="L398" s="13">
        <f>L397-('Konfigurasi Model'!$B$11*W397)</f>
        <v>1.1172170352139419</v>
      </c>
      <c r="M398" s="13">
        <f>M397-('Konfigurasi Model'!$B$11*X397)</f>
        <v>0.8222297564731873</v>
      </c>
      <c r="N398" s="13">
        <f t="shared" si="66"/>
        <v>4.6648426148624429</v>
      </c>
      <c r="O398" s="13">
        <f t="shared" si="67"/>
        <v>0.99066719109039925</v>
      </c>
      <c r="P398" s="12">
        <f t="shared" si="68"/>
        <v>1</v>
      </c>
      <c r="Q398" s="13">
        <f t="shared" si="69"/>
        <v>-9.3328089096007538E-3</v>
      </c>
      <c r="R398" s="13">
        <f t="shared" si="70"/>
        <v>8.7101322143123217E-5</v>
      </c>
      <c r="T398" s="14">
        <f t="shared" si="71"/>
        <v>-1.7257684429557575E-4</v>
      </c>
      <c r="U398" s="14">
        <f t="shared" si="72"/>
        <v>-1.0354610657734545E-3</v>
      </c>
      <c r="V398" s="14">
        <f t="shared" si="73"/>
        <v>-4.6595747959805455E-4</v>
      </c>
      <c r="W398" s="14">
        <f t="shared" si="74"/>
        <v>-8.8014190590743628E-4</v>
      </c>
      <c r="X398" s="14">
        <f t="shared" si="75"/>
        <v>-2.7612295087292121E-4</v>
      </c>
      <c r="Y398" s="12">
        <f t="shared" si="76"/>
        <v>1</v>
      </c>
    </row>
    <row r="399" spans="1:25" x14ac:dyDescent="0.3">
      <c r="A399" s="23"/>
      <c r="B399" s="12">
        <v>75</v>
      </c>
      <c r="C399" s="12">
        <v>5.4</v>
      </c>
      <c r="D399" s="12">
        <v>3</v>
      </c>
      <c r="E399" s="12">
        <v>4.5</v>
      </c>
      <c r="F399" s="12">
        <v>1.5</v>
      </c>
      <c r="G399" s="12">
        <v>1</v>
      </c>
      <c r="I399" s="13">
        <f>I398-('Konfigurasi Model'!$B$11*T398)</f>
        <v>0.25707655062982498</v>
      </c>
      <c r="J399" s="13">
        <f>J398-('Konfigurasi Model'!$B$11*U398)</f>
        <v>-0.24599700879903982</v>
      </c>
      <c r="K399" s="13">
        <f>K398-('Konfigurasi Model'!$B$11*V398)</f>
        <v>-0.41809704817702265</v>
      </c>
      <c r="L399" s="13">
        <f>L398-('Konfigurasi Model'!$B$11*W398)</f>
        <v>1.1173050494045327</v>
      </c>
      <c r="M399" s="13">
        <f>M398-('Konfigurasi Model'!$B$11*X398)</f>
        <v>0.8222573687682746</v>
      </c>
      <c r="N399" s="13">
        <f t="shared" si="66"/>
        <v>3.9356603340567506</v>
      </c>
      <c r="O399" s="13">
        <f t="shared" si="67"/>
        <v>0.98084142368306204</v>
      </c>
      <c r="P399" s="12">
        <f t="shared" si="68"/>
        <v>1</v>
      </c>
      <c r="Q399" s="13">
        <f t="shared" si="69"/>
        <v>-1.9158576316937959E-2</v>
      </c>
      <c r="R399" s="13">
        <f t="shared" si="70"/>
        <v>3.6705104649193603E-4</v>
      </c>
      <c r="T399" s="14">
        <f t="shared" si="71"/>
        <v>-7.2003774201101663E-4</v>
      </c>
      <c r="U399" s="14">
        <f t="shared" si="72"/>
        <v>-3.88820380685949E-3</v>
      </c>
      <c r="V399" s="14">
        <f t="shared" si="73"/>
        <v>-2.1601132260330499E-3</v>
      </c>
      <c r="W399" s="14">
        <f t="shared" si="74"/>
        <v>-3.2401698390495748E-3</v>
      </c>
      <c r="X399" s="14">
        <f t="shared" si="75"/>
        <v>-1.0800566130165249E-3</v>
      </c>
      <c r="Y399" s="12">
        <f t="shared" si="76"/>
        <v>1</v>
      </c>
    </row>
    <row r="400" spans="1:25" x14ac:dyDescent="0.3">
      <c r="A400" s="23"/>
      <c r="B400" s="12">
        <v>76</v>
      </c>
      <c r="C400" s="12">
        <v>6</v>
      </c>
      <c r="D400" s="12">
        <v>3.4</v>
      </c>
      <c r="E400" s="12">
        <v>4.5</v>
      </c>
      <c r="F400" s="12">
        <v>1.6</v>
      </c>
      <c r="G400" s="12">
        <v>1</v>
      </c>
      <c r="I400" s="13">
        <f>I399-('Konfigurasi Model'!$B$11*T399)</f>
        <v>0.25714855440402606</v>
      </c>
      <c r="J400" s="13">
        <f>J399-('Konfigurasi Model'!$B$11*U399)</f>
        <v>-0.24560818841835388</v>
      </c>
      <c r="K400" s="13">
        <f>K399-('Konfigurasi Model'!$B$11*V399)</f>
        <v>-0.41788103685441935</v>
      </c>
      <c r="L400" s="13">
        <f>L399-('Konfigurasi Model'!$B$11*W399)</f>
        <v>1.1176290663884376</v>
      </c>
      <c r="M400" s="13">
        <f>M399-('Konfigurasi Model'!$B$11*X399)</f>
        <v>0.82236537442957625</v>
      </c>
      <c r="N400" s="13">
        <f t="shared" si="66"/>
        <v>3.7078192964241676</v>
      </c>
      <c r="O400" s="13">
        <f t="shared" si="67"/>
        <v>0.97605639975600877</v>
      </c>
      <c r="P400" s="12">
        <f t="shared" si="68"/>
        <v>1</v>
      </c>
      <c r="Q400" s="13">
        <f t="shared" si="69"/>
        <v>-2.3943600243991225E-2</v>
      </c>
      <c r="R400" s="13">
        <f t="shared" si="70"/>
        <v>5.7329599264405672E-4</v>
      </c>
      <c r="T400" s="14">
        <f t="shared" si="71"/>
        <v>-1.1191384451494106E-3</v>
      </c>
      <c r="U400" s="14">
        <f t="shared" si="72"/>
        <v>-6.7148306708964631E-3</v>
      </c>
      <c r="V400" s="14">
        <f t="shared" si="73"/>
        <v>-3.805070713507996E-3</v>
      </c>
      <c r="W400" s="14">
        <f t="shared" si="74"/>
        <v>-5.0361230031723478E-3</v>
      </c>
      <c r="X400" s="14">
        <f t="shared" si="75"/>
        <v>-1.790621512239057E-3</v>
      </c>
      <c r="Y400" s="12">
        <f t="shared" si="76"/>
        <v>1</v>
      </c>
    </row>
    <row r="401" spans="1:28" x14ac:dyDescent="0.3">
      <c r="A401" s="23"/>
      <c r="B401" s="12">
        <v>77</v>
      </c>
      <c r="C401" s="12">
        <v>6.7</v>
      </c>
      <c r="D401" s="12">
        <v>3.1</v>
      </c>
      <c r="E401" s="12">
        <v>4.7</v>
      </c>
      <c r="F401" s="12">
        <v>1.5</v>
      </c>
      <c r="G401" s="12">
        <v>1</v>
      </c>
      <c r="I401" s="13">
        <f>I400-('Konfigurasi Model'!$B$11*T400)</f>
        <v>0.25726046824854099</v>
      </c>
      <c r="J401" s="13">
        <f>J400-('Konfigurasi Model'!$B$11*U400)</f>
        <v>-0.24493670535126424</v>
      </c>
      <c r="K401" s="13">
        <f>K400-('Konfigurasi Model'!$B$11*V400)</f>
        <v>-0.41750052978306856</v>
      </c>
      <c r="L401" s="13">
        <f>L400-('Konfigurasi Model'!$B$11*W400)</f>
        <v>1.1181326786887549</v>
      </c>
      <c r="M401" s="13">
        <f>M400-('Konfigurasi Model'!$B$11*X400)</f>
        <v>0.82254443658080012</v>
      </c>
      <c r="N401" s="13">
        <f t="shared" si="66"/>
        <v>3.8109731447759065</v>
      </c>
      <c r="O401" s="13">
        <f t="shared" si="67"/>
        <v>0.97835235353845917</v>
      </c>
      <c r="P401" s="12">
        <f t="shared" si="68"/>
        <v>1</v>
      </c>
      <c r="Q401" s="13">
        <f t="shared" si="69"/>
        <v>-2.1647646461540826E-2</v>
      </c>
      <c r="R401" s="13">
        <f t="shared" si="70"/>
        <v>4.6862059732386105E-4</v>
      </c>
      <c r="T401" s="14">
        <f t="shared" si="71"/>
        <v>-9.1695212861679599E-4</v>
      </c>
      <c r="U401" s="14">
        <f t="shared" si="72"/>
        <v>-6.1435792617325329E-3</v>
      </c>
      <c r="V401" s="14">
        <f t="shared" si="73"/>
        <v>-2.8425515987120678E-3</v>
      </c>
      <c r="W401" s="14">
        <f t="shared" si="74"/>
        <v>-4.3096750044989409E-3</v>
      </c>
      <c r="X401" s="14">
        <f t="shared" si="75"/>
        <v>-1.375428192925194E-3</v>
      </c>
      <c r="Y401" s="12">
        <f t="shared" si="76"/>
        <v>1</v>
      </c>
    </row>
    <row r="402" spans="1:28" x14ac:dyDescent="0.3">
      <c r="A402" s="23"/>
      <c r="B402" s="12">
        <v>78</v>
      </c>
      <c r="C402" s="12">
        <v>6.3</v>
      </c>
      <c r="D402" s="12">
        <v>2.2999999999999998</v>
      </c>
      <c r="E402" s="12">
        <v>4.4000000000000004</v>
      </c>
      <c r="F402" s="12">
        <v>1.3</v>
      </c>
      <c r="G402" s="12">
        <v>1</v>
      </c>
      <c r="I402" s="13">
        <f>I401-('Konfigurasi Model'!$B$11*T401)</f>
        <v>0.25735216346140266</v>
      </c>
      <c r="J402" s="13">
        <f>J401-('Konfigurasi Model'!$B$11*U401)</f>
        <v>-0.24432234742509099</v>
      </c>
      <c r="K402" s="13">
        <f>K401-('Konfigurasi Model'!$B$11*V401)</f>
        <v>-0.41721627462319738</v>
      </c>
      <c r="L402" s="13">
        <f>L401-('Konfigurasi Model'!$B$11*W401)</f>
        <v>1.1185636461892048</v>
      </c>
      <c r="M402" s="13">
        <f>M401-('Konfigurasi Model'!$B$11*X401)</f>
        <v>0.82268197940009269</v>
      </c>
      <c r="N402" s="13">
        <f t="shared" si="66"/>
        <v>3.7496905595025978</v>
      </c>
      <c r="O402" s="13">
        <f t="shared" si="67"/>
        <v>0.97701568230775182</v>
      </c>
      <c r="P402" s="12">
        <f t="shared" si="68"/>
        <v>1</v>
      </c>
      <c r="Q402" s="13">
        <f t="shared" si="69"/>
        <v>-2.298431769224818E-2</v>
      </c>
      <c r="R402" s="13">
        <f t="shared" si="70"/>
        <v>5.2827885977819273E-4</v>
      </c>
      <c r="T402" s="14">
        <f t="shared" si="71"/>
        <v>-1.0322734612699042E-3</v>
      </c>
      <c r="U402" s="14">
        <f t="shared" si="72"/>
        <v>-6.5033228060003964E-3</v>
      </c>
      <c r="V402" s="14">
        <f t="shared" si="73"/>
        <v>-2.3742289609207795E-3</v>
      </c>
      <c r="W402" s="14">
        <f t="shared" si="74"/>
        <v>-4.5420032295875792E-3</v>
      </c>
      <c r="X402" s="14">
        <f t="shared" si="75"/>
        <v>-1.3419554996508755E-3</v>
      </c>
      <c r="Y402" s="12">
        <f t="shared" si="76"/>
        <v>1</v>
      </c>
    </row>
    <row r="403" spans="1:28" x14ac:dyDescent="0.3">
      <c r="A403" s="23"/>
      <c r="B403" s="12">
        <v>79</v>
      </c>
      <c r="C403" s="12">
        <v>5.6</v>
      </c>
      <c r="D403" s="12">
        <v>3</v>
      </c>
      <c r="E403" s="12">
        <v>4.0999999999999996</v>
      </c>
      <c r="F403" s="12">
        <v>1.3</v>
      </c>
      <c r="G403" s="12">
        <v>1</v>
      </c>
      <c r="I403" s="13">
        <f>I402-('Konfigurasi Model'!$B$11*T402)</f>
        <v>0.25745539080752966</v>
      </c>
      <c r="J403" s="13">
        <f>J402-('Konfigurasi Model'!$B$11*U402)</f>
        <v>-0.24367201514449094</v>
      </c>
      <c r="K403" s="13">
        <f>K402-('Konfigurasi Model'!$B$11*V402)</f>
        <v>-0.4169788517271053</v>
      </c>
      <c r="L403" s="13">
        <f>L402-('Konfigurasi Model'!$B$11*W402)</f>
        <v>1.1190178465121636</v>
      </c>
      <c r="M403" s="13">
        <f>M402-('Konfigurasi Model'!$B$11*X402)</f>
        <v>0.82281617495005777</v>
      </c>
      <c r="N403" s="13">
        <f t="shared" si="66"/>
        <v>3.2995897489520098</v>
      </c>
      <c r="O403" s="13">
        <f t="shared" si="67"/>
        <v>0.96441473402236644</v>
      </c>
      <c r="P403" s="12">
        <f t="shared" si="68"/>
        <v>1</v>
      </c>
      <c r="Q403" s="13">
        <f t="shared" si="69"/>
        <v>-3.5585265977633562E-2</v>
      </c>
      <c r="R403" s="13">
        <f t="shared" si="70"/>
        <v>1.2663111546989247E-3</v>
      </c>
      <c r="T403" s="14">
        <f t="shared" si="71"/>
        <v>-2.4424982708970383E-3</v>
      </c>
      <c r="U403" s="14">
        <f t="shared" si="72"/>
        <v>-1.3677990317023414E-2</v>
      </c>
      <c r="V403" s="14">
        <f t="shared" si="73"/>
        <v>-7.3274948126911144E-3</v>
      </c>
      <c r="W403" s="14">
        <f t="shared" si="74"/>
        <v>-1.0014242910677856E-2</v>
      </c>
      <c r="X403" s="14">
        <f t="shared" si="75"/>
        <v>-3.1752477521661501E-3</v>
      </c>
      <c r="Y403" s="12">
        <f t="shared" si="76"/>
        <v>1</v>
      </c>
    </row>
    <row r="404" spans="1:28" x14ac:dyDescent="0.3">
      <c r="A404" s="23"/>
      <c r="B404" s="12">
        <v>80</v>
      </c>
      <c r="C404" s="12">
        <v>5.5</v>
      </c>
      <c r="D404" s="12">
        <v>2.5</v>
      </c>
      <c r="E404" s="12">
        <v>4</v>
      </c>
      <c r="F404" s="12">
        <v>1.3</v>
      </c>
      <c r="G404" s="12">
        <v>1</v>
      </c>
      <c r="I404" s="13">
        <f>I403-('Konfigurasi Model'!$B$11*T403)</f>
        <v>0.25769964063461936</v>
      </c>
      <c r="J404" s="13">
        <f>J403-('Konfigurasi Model'!$B$11*U403)</f>
        <v>-0.2423042161127886</v>
      </c>
      <c r="K404" s="13">
        <f>K403-('Konfigurasi Model'!$B$11*V403)</f>
        <v>-0.41624610224583619</v>
      </c>
      <c r="L404" s="13">
        <f>L403-('Konfigurasi Model'!$B$11*W403)</f>
        <v>1.1200192708032315</v>
      </c>
      <c r="M404" s="13">
        <f>M403-('Konfigurasi Model'!$B$11*X403)</f>
        <v>0.82313369972527439</v>
      </c>
      <c r="N404" s="13">
        <f t="shared" si="66"/>
        <v>3.4345620892554738</v>
      </c>
      <c r="O404" s="13">
        <f t="shared" si="67"/>
        <v>0.9687673990490373</v>
      </c>
      <c r="P404" s="12">
        <f t="shared" si="68"/>
        <v>1</v>
      </c>
      <c r="Q404" s="13">
        <f t="shared" si="69"/>
        <v>-3.1232600950962697E-2</v>
      </c>
      <c r="R404" s="13">
        <f t="shared" si="70"/>
        <v>9.75475362162076E-4</v>
      </c>
      <c r="T404" s="14">
        <f t="shared" si="71"/>
        <v>-1.8900174588763442E-3</v>
      </c>
      <c r="U404" s="14">
        <f t="shared" si="72"/>
        <v>-1.0395096023819893E-2</v>
      </c>
      <c r="V404" s="14">
        <f t="shared" si="73"/>
        <v>-4.7250436471908608E-3</v>
      </c>
      <c r="W404" s="14">
        <f t="shared" si="74"/>
        <v>-7.5600698355053767E-3</v>
      </c>
      <c r="X404" s="14">
        <f t="shared" si="75"/>
        <v>-2.4570226965392474E-3</v>
      </c>
      <c r="Y404" s="12">
        <f t="shared" si="76"/>
        <v>1</v>
      </c>
      <c r="AA404" s="17">
        <f>AVERAGE(Y325:Y404)</f>
        <v>0.98750000000000004</v>
      </c>
      <c r="AB404" s="16">
        <f>AVERAGE(R325:R404)</f>
        <v>1.2749798070801871E-2</v>
      </c>
    </row>
    <row r="406" spans="1:28" ht="15.6" x14ac:dyDescent="0.3">
      <c r="A406" s="1" t="s">
        <v>111</v>
      </c>
    </row>
    <row r="407" spans="1:28" x14ac:dyDescent="0.3">
      <c r="G407" s="9" t="s">
        <v>48</v>
      </c>
      <c r="I407" s="25" t="s">
        <v>16</v>
      </c>
      <c r="J407" s="25"/>
      <c r="K407" s="26">
        <f>'Konfigurasi Model'!$B$11</f>
        <v>0.1</v>
      </c>
      <c r="L407" s="26"/>
      <c r="M407" s="26"/>
    </row>
    <row r="408" spans="1:28" ht="15" customHeight="1" x14ac:dyDescent="0.3">
      <c r="G408" s="9" t="s">
        <v>49</v>
      </c>
      <c r="I408" s="24" t="s">
        <v>50</v>
      </c>
      <c r="J408" s="24"/>
      <c r="K408" s="24"/>
      <c r="L408" s="24"/>
      <c r="M408" s="24"/>
      <c r="N408" s="10" t="s">
        <v>51</v>
      </c>
      <c r="O408" s="10" t="s">
        <v>17</v>
      </c>
      <c r="P408" s="24" t="s">
        <v>52</v>
      </c>
      <c r="Q408" s="24" t="s">
        <v>20</v>
      </c>
      <c r="R408" s="24" t="s">
        <v>23</v>
      </c>
    </row>
    <row r="409" spans="1:28" ht="28.8" x14ac:dyDescent="0.3">
      <c r="A409" s="10" t="s">
        <v>53</v>
      </c>
      <c r="B409" s="10" t="s">
        <v>54</v>
      </c>
      <c r="C409" s="10" t="s">
        <v>55</v>
      </c>
      <c r="D409" s="10" t="s">
        <v>56</v>
      </c>
      <c r="E409" s="10" t="s">
        <v>57</v>
      </c>
      <c r="F409" s="10" t="s">
        <v>58</v>
      </c>
      <c r="G409" s="10" t="s">
        <v>59</v>
      </c>
      <c r="I409" s="10" t="s">
        <v>60</v>
      </c>
      <c r="J409" s="10" t="s">
        <v>61</v>
      </c>
      <c r="K409" s="10" t="s">
        <v>62</v>
      </c>
      <c r="L409" s="10" t="s">
        <v>63</v>
      </c>
      <c r="M409" s="10" t="s">
        <v>64</v>
      </c>
      <c r="N409" s="10" t="s">
        <v>65</v>
      </c>
      <c r="O409" s="10" t="s">
        <v>66</v>
      </c>
      <c r="P409" s="24"/>
      <c r="Q409" s="24"/>
      <c r="R409" s="24"/>
      <c r="T409" s="10" t="s">
        <v>72</v>
      </c>
      <c r="V409" s="10" t="s">
        <v>109</v>
      </c>
      <c r="W409" s="10" t="s">
        <v>110</v>
      </c>
    </row>
    <row r="410" spans="1:28" x14ac:dyDescent="0.3">
      <c r="A410" s="23" t="s">
        <v>73</v>
      </c>
      <c r="B410" s="12">
        <v>1</v>
      </c>
      <c r="C410" s="12">
        <v>5</v>
      </c>
      <c r="D410" s="12">
        <v>3.5</v>
      </c>
      <c r="E410" s="12">
        <v>1.3</v>
      </c>
      <c r="F410" s="12">
        <v>0.3</v>
      </c>
      <c r="G410" s="12">
        <v>0</v>
      </c>
      <c r="I410" s="13">
        <f>I84</f>
        <v>0.38006952281614992</v>
      </c>
      <c r="J410" s="13">
        <f>J84</f>
        <v>-2.0599416024548407E-2</v>
      </c>
      <c r="K410" s="13">
        <f>K84</f>
        <v>7.0780062233013349E-2</v>
      </c>
      <c r="L410" s="13">
        <f>L84</f>
        <v>0.52338293564705451</v>
      </c>
      <c r="M410" s="13">
        <f>M84</f>
        <v>0.55079359067612532</v>
      </c>
      <c r="N410" s="13">
        <f t="shared" ref="N410:N441" si="77">I410+J410*C410+K410*D410+L410*E410+M410*F410</f>
        <v>1.3704385540529633</v>
      </c>
      <c r="O410" s="13">
        <f t="shared" ref="O410:O441" si="78">1/(1+EXP(-N410))</f>
        <v>0.79745099933320174</v>
      </c>
      <c r="P410" s="12">
        <f t="shared" ref="P410:P441" si="79">IF(O410&gt;0.5,1,0)</f>
        <v>1</v>
      </c>
      <c r="Q410" s="13">
        <f t="shared" ref="Q410:Q441" si="80">O410-G410</f>
        <v>0.79745099933320174</v>
      </c>
      <c r="R410" s="13">
        <f t="shared" ref="R410:R441" si="81">Q410^2</f>
        <v>0.63592809633752212</v>
      </c>
      <c r="T410" s="12">
        <f t="shared" ref="T410:T441" si="82">IF(P410=G410,1,0)</f>
        <v>0</v>
      </c>
    </row>
    <row r="411" spans="1:28" x14ac:dyDescent="0.3">
      <c r="A411" s="23"/>
      <c r="B411" s="12">
        <v>2</v>
      </c>
      <c r="C411" s="12">
        <v>4.5</v>
      </c>
      <c r="D411" s="12">
        <v>2.2999999999999998</v>
      </c>
      <c r="E411" s="12">
        <v>1.3</v>
      </c>
      <c r="F411" s="12">
        <v>0.3</v>
      </c>
      <c r="G411" s="12">
        <v>0</v>
      </c>
      <c r="I411" s="13">
        <f t="shared" ref="I411:I429" si="83">I410</f>
        <v>0.38006952281614992</v>
      </c>
      <c r="J411" s="13">
        <f t="shared" ref="J411:J429" si="84">J410</f>
        <v>-2.0599416024548407E-2</v>
      </c>
      <c r="K411" s="13">
        <f t="shared" ref="K411:K429" si="85">K410</f>
        <v>7.0780062233013349E-2</v>
      </c>
      <c r="L411" s="13">
        <f t="shared" ref="L411:L429" si="86">L410</f>
        <v>0.52338293564705451</v>
      </c>
      <c r="M411" s="13">
        <f t="shared" ref="M411:M429" si="87">M410</f>
        <v>0.55079359067612532</v>
      </c>
      <c r="N411" s="13">
        <f t="shared" si="77"/>
        <v>1.2958021873856214</v>
      </c>
      <c r="O411" s="13">
        <f t="shared" si="78"/>
        <v>0.785127650376783</v>
      </c>
      <c r="P411" s="12">
        <f t="shared" si="79"/>
        <v>1</v>
      </c>
      <c r="Q411" s="13">
        <f t="shared" si="80"/>
        <v>0.785127650376783</v>
      </c>
      <c r="R411" s="13">
        <f t="shared" si="81"/>
        <v>0.61642542738616801</v>
      </c>
      <c r="T411" s="12">
        <f t="shared" si="82"/>
        <v>0</v>
      </c>
    </row>
    <row r="412" spans="1:28" x14ac:dyDescent="0.3">
      <c r="A412" s="23"/>
      <c r="B412" s="12">
        <v>3</v>
      </c>
      <c r="C412" s="12">
        <v>4.4000000000000004</v>
      </c>
      <c r="D412" s="12">
        <v>3.2</v>
      </c>
      <c r="E412" s="12">
        <v>1.3</v>
      </c>
      <c r="F412" s="12">
        <v>0.2</v>
      </c>
      <c r="G412" s="12">
        <v>0</v>
      </c>
      <c r="I412" s="13">
        <f t="shared" si="83"/>
        <v>0.38006952281614992</v>
      </c>
      <c r="J412" s="13">
        <f t="shared" si="84"/>
        <v>-2.0599416024548407E-2</v>
      </c>
      <c r="K412" s="13">
        <f t="shared" si="85"/>
        <v>7.0780062233013349E-2</v>
      </c>
      <c r="L412" s="13">
        <f t="shared" si="86"/>
        <v>0.52338293564705451</v>
      </c>
      <c r="M412" s="13">
        <f t="shared" si="87"/>
        <v>0.55079359067612532</v>
      </c>
      <c r="N412" s="13">
        <f t="shared" si="77"/>
        <v>1.3064848259301758</v>
      </c>
      <c r="O412" s="13">
        <f t="shared" si="78"/>
        <v>0.78692434557830726</v>
      </c>
      <c r="P412" s="12">
        <f t="shared" si="79"/>
        <v>1</v>
      </c>
      <c r="Q412" s="13">
        <f t="shared" si="80"/>
        <v>0.78692434557830726</v>
      </c>
      <c r="R412" s="13">
        <f t="shared" si="81"/>
        <v>0.61924992566384718</v>
      </c>
      <c r="T412" s="12">
        <f t="shared" si="82"/>
        <v>0</v>
      </c>
    </row>
    <row r="413" spans="1:28" x14ac:dyDescent="0.3">
      <c r="A413" s="23"/>
      <c r="B413" s="12">
        <v>4</v>
      </c>
      <c r="C413" s="12">
        <v>5</v>
      </c>
      <c r="D413" s="12">
        <v>3.5</v>
      </c>
      <c r="E413" s="12">
        <v>1.6</v>
      </c>
      <c r="F413" s="12">
        <v>0.6</v>
      </c>
      <c r="G413" s="12">
        <v>0</v>
      </c>
      <c r="I413" s="13">
        <f t="shared" si="83"/>
        <v>0.38006952281614992</v>
      </c>
      <c r="J413" s="13">
        <f t="shared" si="84"/>
        <v>-2.0599416024548407E-2</v>
      </c>
      <c r="K413" s="13">
        <f t="shared" si="85"/>
        <v>7.0780062233013349E-2</v>
      </c>
      <c r="L413" s="13">
        <f t="shared" si="86"/>
        <v>0.52338293564705451</v>
      </c>
      <c r="M413" s="13">
        <f t="shared" si="87"/>
        <v>0.55079359067612532</v>
      </c>
      <c r="N413" s="13">
        <f t="shared" si="77"/>
        <v>1.6926915119499171</v>
      </c>
      <c r="O413" s="13">
        <f t="shared" si="78"/>
        <v>0.84457779203222294</v>
      </c>
      <c r="P413" s="12">
        <f t="shared" si="79"/>
        <v>1</v>
      </c>
      <c r="Q413" s="13">
        <f t="shared" si="80"/>
        <v>0.84457779203222294</v>
      </c>
      <c r="R413" s="13">
        <f t="shared" si="81"/>
        <v>0.71331164679402481</v>
      </c>
      <c r="T413" s="12">
        <f t="shared" si="82"/>
        <v>0</v>
      </c>
    </row>
    <row r="414" spans="1:28" x14ac:dyDescent="0.3">
      <c r="A414" s="23"/>
      <c r="B414" s="12">
        <v>5</v>
      </c>
      <c r="C414" s="12">
        <v>5.0999999999999996</v>
      </c>
      <c r="D414" s="12">
        <v>3.8</v>
      </c>
      <c r="E414" s="12">
        <v>1.9</v>
      </c>
      <c r="F414" s="12">
        <v>0.4</v>
      </c>
      <c r="G414" s="12">
        <v>0</v>
      </c>
      <c r="I414" s="13">
        <f t="shared" si="83"/>
        <v>0.38006952281614992</v>
      </c>
      <c r="J414" s="13">
        <f t="shared" si="84"/>
        <v>-2.0599416024548407E-2</v>
      </c>
      <c r="K414" s="13">
        <f t="shared" si="85"/>
        <v>7.0780062233013349E-2</v>
      </c>
      <c r="L414" s="13">
        <f t="shared" si="86"/>
        <v>0.52338293564705451</v>
      </c>
      <c r="M414" s="13">
        <f t="shared" si="87"/>
        <v>0.55079359067612532</v>
      </c>
      <c r="N414" s="13">
        <f t="shared" si="77"/>
        <v>1.7587217515762572</v>
      </c>
      <c r="O414" s="13">
        <f t="shared" si="78"/>
        <v>0.85304949632263338</v>
      </c>
      <c r="P414" s="12">
        <f t="shared" si="79"/>
        <v>1</v>
      </c>
      <c r="Q414" s="13">
        <f t="shared" si="80"/>
        <v>0.85304949632263338</v>
      </c>
      <c r="R414" s="13">
        <f t="shared" si="81"/>
        <v>0.72769344317629847</v>
      </c>
      <c r="T414" s="12">
        <f t="shared" si="82"/>
        <v>0</v>
      </c>
    </row>
    <row r="415" spans="1:28" x14ac:dyDescent="0.3">
      <c r="A415" s="23"/>
      <c r="B415" s="12">
        <v>6</v>
      </c>
      <c r="C415" s="12">
        <v>4.8</v>
      </c>
      <c r="D415" s="12">
        <v>3</v>
      </c>
      <c r="E415" s="12">
        <v>1.4</v>
      </c>
      <c r="F415" s="12">
        <v>0.3</v>
      </c>
      <c r="G415" s="12">
        <v>0</v>
      </c>
      <c r="I415" s="13">
        <f t="shared" si="83"/>
        <v>0.38006952281614992</v>
      </c>
      <c r="J415" s="13">
        <f t="shared" si="84"/>
        <v>-2.0599416024548407E-2</v>
      </c>
      <c r="K415" s="13">
        <f t="shared" si="85"/>
        <v>7.0780062233013349E-2</v>
      </c>
      <c r="L415" s="13">
        <f t="shared" si="86"/>
        <v>0.52338293564705451</v>
      </c>
      <c r="M415" s="13">
        <f t="shared" si="87"/>
        <v>0.55079359067612532</v>
      </c>
      <c r="N415" s="13">
        <f t="shared" si="77"/>
        <v>1.3915066997060714</v>
      </c>
      <c r="O415" s="13">
        <f t="shared" si="78"/>
        <v>0.80083267024082383</v>
      </c>
      <c r="P415" s="12">
        <f t="shared" si="79"/>
        <v>1</v>
      </c>
      <c r="Q415" s="13">
        <f t="shared" si="80"/>
        <v>0.80083267024082383</v>
      </c>
      <c r="R415" s="13">
        <f t="shared" si="81"/>
        <v>0.64133296572504805</v>
      </c>
      <c r="T415" s="12">
        <f t="shared" si="82"/>
        <v>0</v>
      </c>
    </row>
    <row r="416" spans="1:28" x14ac:dyDescent="0.3">
      <c r="A416" s="23"/>
      <c r="B416" s="12">
        <v>7</v>
      </c>
      <c r="C416" s="12">
        <v>5.0999999999999996</v>
      </c>
      <c r="D416" s="12">
        <v>3.8</v>
      </c>
      <c r="E416" s="12">
        <v>1.6</v>
      </c>
      <c r="F416" s="12">
        <v>0.2</v>
      </c>
      <c r="G416" s="12">
        <v>0</v>
      </c>
      <c r="I416" s="13">
        <f t="shared" si="83"/>
        <v>0.38006952281614992</v>
      </c>
      <c r="J416" s="13">
        <f t="shared" si="84"/>
        <v>-2.0599416024548407E-2</v>
      </c>
      <c r="K416" s="13">
        <f t="shared" si="85"/>
        <v>7.0780062233013349E-2</v>
      </c>
      <c r="L416" s="13">
        <f t="shared" si="86"/>
        <v>0.52338293564705451</v>
      </c>
      <c r="M416" s="13">
        <f t="shared" si="87"/>
        <v>0.55079359067612532</v>
      </c>
      <c r="N416" s="13">
        <f t="shared" si="77"/>
        <v>1.4915481527469161</v>
      </c>
      <c r="O416" s="13">
        <f t="shared" si="78"/>
        <v>0.81631052813487592</v>
      </c>
      <c r="P416" s="12">
        <f t="shared" si="79"/>
        <v>1</v>
      </c>
      <c r="Q416" s="13">
        <f t="shared" si="80"/>
        <v>0.81631052813487592</v>
      </c>
      <c r="R416" s="13">
        <f t="shared" si="81"/>
        <v>0.66636287834384</v>
      </c>
      <c r="T416" s="12">
        <f t="shared" si="82"/>
        <v>0</v>
      </c>
    </row>
    <row r="417" spans="1:23" x14ac:dyDescent="0.3">
      <c r="A417" s="23"/>
      <c r="B417" s="12">
        <v>8</v>
      </c>
      <c r="C417" s="12">
        <v>4.5999999999999996</v>
      </c>
      <c r="D417" s="12">
        <v>3.2</v>
      </c>
      <c r="E417" s="12">
        <v>1.4</v>
      </c>
      <c r="F417" s="12">
        <v>0.2</v>
      </c>
      <c r="G417" s="12">
        <v>0</v>
      </c>
      <c r="I417" s="13">
        <f t="shared" si="83"/>
        <v>0.38006952281614992</v>
      </c>
      <c r="J417" s="13">
        <f t="shared" si="84"/>
        <v>-2.0599416024548407E-2</v>
      </c>
      <c r="K417" s="13">
        <f t="shared" si="85"/>
        <v>7.0780062233013349E-2</v>
      </c>
      <c r="L417" s="13">
        <f t="shared" si="86"/>
        <v>0.52338293564705451</v>
      </c>
      <c r="M417" s="13">
        <f t="shared" si="87"/>
        <v>0.55079359067612532</v>
      </c>
      <c r="N417" s="13">
        <f t="shared" si="77"/>
        <v>1.3547032362899711</v>
      </c>
      <c r="O417" s="13">
        <f t="shared" si="78"/>
        <v>0.79489748613311617</v>
      </c>
      <c r="P417" s="12">
        <f t="shared" si="79"/>
        <v>1</v>
      </c>
      <c r="Q417" s="13">
        <f t="shared" si="80"/>
        <v>0.79489748613311617</v>
      </c>
      <c r="R417" s="13">
        <f t="shared" si="81"/>
        <v>0.63186201346074766</v>
      </c>
      <c r="T417" s="12">
        <f t="shared" si="82"/>
        <v>0</v>
      </c>
    </row>
    <row r="418" spans="1:23" x14ac:dyDescent="0.3">
      <c r="A418" s="23"/>
      <c r="B418" s="12">
        <v>9</v>
      </c>
      <c r="C418" s="12">
        <v>5.3</v>
      </c>
      <c r="D418" s="12">
        <v>3.7</v>
      </c>
      <c r="E418" s="12">
        <v>1.5</v>
      </c>
      <c r="F418" s="12">
        <v>0.2</v>
      </c>
      <c r="G418" s="12">
        <v>0</v>
      </c>
      <c r="I418" s="13">
        <f t="shared" si="83"/>
        <v>0.38006952281614992</v>
      </c>
      <c r="J418" s="13">
        <f t="shared" si="84"/>
        <v>-2.0599416024548407E-2</v>
      </c>
      <c r="K418" s="13">
        <f t="shared" si="85"/>
        <v>7.0780062233013349E-2</v>
      </c>
      <c r="L418" s="13">
        <f t="shared" si="86"/>
        <v>0.52338293564705451</v>
      </c>
      <c r="M418" s="13">
        <f t="shared" si="87"/>
        <v>0.55079359067612532</v>
      </c>
      <c r="N418" s="13">
        <f t="shared" si="77"/>
        <v>1.4280119697539997</v>
      </c>
      <c r="O418" s="13">
        <f t="shared" si="78"/>
        <v>0.80659136862264491</v>
      </c>
      <c r="P418" s="12">
        <f t="shared" si="79"/>
        <v>1</v>
      </c>
      <c r="Q418" s="13">
        <f t="shared" si="80"/>
        <v>0.80659136862264491</v>
      </c>
      <c r="R418" s="13">
        <f t="shared" si="81"/>
        <v>0.65058963593655139</v>
      </c>
      <c r="T418" s="12">
        <f t="shared" si="82"/>
        <v>0</v>
      </c>
    </row>
    <row r="419" spans="1:23" x14ac:dyDescent="0.3">
      <c r="A419" s="23"/>
      <c r="B419" s="12">
        <v>10</v>
      </c>
      <c r="C419" s="12">
        <v>5</v>
      </c>
      <c r="D419" s="12">
        <v>3.3</v>
      </c>
      <c r="E419" s="12">
        <v>1.4</v>
      </c>
      <c r="F419" s="12">
        <v>0.2</v>
      </c>
      <c r="G419" s="12">
        <v>0</v>
      </c>
      <c r="I419" s="13">
        <f t="shared" si="83"/>
        <v>0.38006952281614992</v>
      </c>
      <c r="J419" s="13">
        <f t="shared" si="84"/>
        <v>-2.0599416024548407E-2</v>
      </c>
      <c r="K419" s="13">
        <f t="shared" si="85"/>
        <v>7.0780062233013349E-2</v>
      </c>
      <c r="L419" s="13">
        <f t="shared" si="86"/>
        <v>0.52338293564705451</v>
      </c>
      <c r="M419" s="13">
        <f t="shared" si="87"/>
        <v>0.55079359067612532</v>
      </c>
      <c r="N419" s="13">
        <f t="shared" si="77"/>
        <v>1.3535414761034532</v>
      </c>
      <c r="O419" s="13">
        <f t="shared" si="78"/>
        <v>0.79470801311980177</v>
      </c>
      <c r="P419" s="12">
        <f t="shared" si="79"/>
        <v>1</v>
      </c>
      <c r="Q419" s="13">
        <f t="shared" si="80"/>
        <v>0.79470801311980177</v>
      </c>
      <c r="R419" s="13">
        <f t="shared" si="81"/>
        <v>0.63156082611682307</v>
      </c>
      <c r="T419" s="12">
        <f t="shared" si="82"/>
        <v>0</v>
      </c>
    </row>
    <row r="420" spans="1:23" x14ac:dyDescent="0.3">
      <c r="A420" s="23"/>
      <c r="B420" s="12">
        <v>11</v>
      </c>
      <c r="C420" s="12">
        <v>5.5</v>
      </c>
      <c r="D420" s="12">
        <v>2.6</v>
      </c>
      <c r="E420" s="12">
        <v>4.4000000000000004</v>
      </c>
      <c r="F420" s="12">
        <v>1.2</v>
      </c>
      <c r="G420" s="12">
        <v>1</v>
      </c>
      <c r="I420" s="13">
        <f t="shared" si="83"/>
        <v>0.38006952281614992</v>
      </c>
      <c r="J420" s="13">
        <f t="shared" si="84"/>
        <v>-2.0599416024548407E-2</v>
      </c>
      <c r="K420" s="13">
        <f t="shared" si="85"/>
        <v>7.0780062233013349E-2</v>
      </c>
      <c r="L420" s="13">
        <f t="shared" si="86"/>
        <v>0.52338293564705451</v>
      </c>
      <c r="M420" s="13">
        <f t="shared" si="87"/>
        <v>0.55079359067612532</v>
      </c>
      <c r="N420" s="13">
        <f t="shared" si="77"/>
        <v>3.4146381221453588</v>
      </c>
      <c r="O420" s="13">
        <f t="shared" si="78"/>
        <v>0.96815889394447896</v>
      </c>
      <c r="P420" s="12">
        <f t="shared" si="79"/>
        <v>1</v>
      </c>
      <c r="Q420" s="13">
        <f t="shared" si="80"/>
        <v>-3.184110605552104E-2</v>
      </c>
      <c r="R420" s="13">
        <f t="shared" si="81"/>
        <v>1.0138560348389386E-3</v>
      </c>
      <c r="T420" s="12">
        <f t="shared" si="82"/>
        <v>1</v>
      </c>
    </row>
    <row r="421" spans="1:23" x14ac:dyDescent="0.3">
      <c r="A421" s="23"/>
      <c r="B421" s="12">
        <v>12</v>
      </c>
      <c r="C421" s="12">
        <v>6.1</v>
      </c>
      <c r="D421" s="12">
        <v>3</v>
      </c>
      <c r="E421" s="12">
        <v>4.5999999999999996</v>
      </c>
      <c r="F421" s="12">
        <v>1.4</v>
      </c>
      <c r="G421" s="12">
        <v>1</v>
      </c>
      <c r="I421" s="13">
        <f t="shared" si="83"/>
        <v>0.38006952281614992</v>
      </c>
      <c r="J421" s="13">
        <f t="shared" si="84"/>
        <v>-2.0599416024548407E-2</v>
      </c>
      <c r="K421" s="13">
        <f t="shared" si="85"/>
        <v>7.0780062233013349E-2</v>
      </c>
      <c r="L421" s="13">
        <f t="shared" si="86"/>
        <v>0.52338293564705451</v>
      </c>
      <c r="M421" s="13">
        <f t="shared" si="87"/>
        <v>0.55079359067612532</v>
      </c>
      <c r="N421" s="13">
        <f t="shared" si="77"/>
        <v>3.6454258026884707</v>
      </c>
      <c r="O421" s="13">
        <f t="shared" si="78"/>
        <v>0.9745541099058399</v>
      </c>
      <c r="P421" s="12">
        <f t="shared" si="79"/>
        <v>1</v>
      </c>
      <c r="Q421" s="13">
        <f t="shared" si="80"/>
        <v>-2.5445890094160095E-2</v>
      </c>
      <c r="R421" s="13">
        <f t="shared" si="81"/>
        <v>6.4749332268407484E-4</v>
      </c>
      <c r="T421" s="12">
        <f t="shared" si="82"/>
        <v>1</v>
      </c>
    </row>
    <row r="422" spans="1:23" x14ac:dyDescent="0.3">
      <c r="A422" s="23"/>
      <c r="B422" s="12">
        <v>13</v>
      </c>
      <c r="C422" s="12">
        <v>5.8</v>
      </c>
      <c r="D422" s="12">
        <v>2.6</v>
      </c>
      <c r="E422" s="12">
        <v>4</v>
      </c>
      <c r="F422" s="12">
        <v>1.2</v>
      </c>
      <c r="G422" s="12">
        <v>1</v>
      </c>
      <c r="I422" s="13">
        <f t="shared" si="83"/>
        <v>0.38006952281614992</v>
      </c>
      <c r="J422" s="13">
        <f t="shared" si="84"/>
        <v>-2.0599416024548407E-2</v>
      </c>
      <c r="K422" s="13">
        <f t="shared" si="85"/>
        <v>7.0780062233013349E-2</v>
      </c>
      <c r="L422" s="13">
        <f t="shared" si="86"/>
        <v>0.52338293564705451</v>
      </c>
      <c r="M422" s="13">
        <f t="shared" si="87"/>
        <v>0.55079359067612532</v>
      </c>
      <c r="N422" s="13">
        <f t="shared" si="77"/>
        <v>3.1991051230791721</v>
      </c>
      <c r="O422" s="13">
        <f t="shared" si="78"/>
        <v>0.96080058751066555</v>
      </c>
      <c r="P422" s="12">
        <f t="shared" si="79"/>
        <v>1</v>
      </c>
      <c r="Q422" s="13">
        <f t="shared" si="80"/>
        <v>-3.9199412489334451E-2</v>
      </c>
      <c r="R422" s="13">
        <f t="shared" si="81"/>
        <v>1.5365939395089896E-3</v>
      </c>
      <c r="T422" s="12">
        <f t="shared" si="82"/>
        <v>1</v>
      </c>
    </row>
    <row r="423" spans="1:23" x14ac:dyDescent="0.3">
      <c r="A423" s="23"/>
      <c r="B423" s="12">
        <v>14</v>
      </c>
      <c r="C423" s="12">
        <v>5</v>
      </c>
      <c r="D423" s="12">
        <v>2.2999999999999998</v>
      </c>
      <c r="E423" s="12">
        <v>3.3</v>
      </c>
      <c r="F423" s="12">
        <v>1</v>
      </c>
      <c r="G423" s="12">
        <v>1</v>
      </c>
      <c r="I423" s="13">
        <f t="shared" si="83"/>
        <v>0.38006952281614992</v>
      </c>
      <c r="J423" s="13">
        <f t="shared" si="84"/>
        <v>-2.0599416024548407E-2</v>
      </c>
      <c r="K423" s="13">
        <f t="shared" si="85"/>
        <v>7.0780062233013349E-2</v>
      </c>
      <c r="L423" s="13">
        <f t="shared" si="86"/>
        <v>0.52338293564705451</v>
      </c>
      <c r="M423" s="13">
        <f t="shared" si="87"/>
        <v>0.55079359067612532</v>
      </c>
      <c r="N423" s="13">
        <f t="shared" si="77"/>
        <v>2.717823864140744</v>
      </c>
      <c r="O423" s="13">
        <f t="shared" si="78"/>
        <v>0.93807023272704959</v>
      </c>
      <c r="P423" s="12">
        <f t="shared" si="79"/>
        <v>1</v>
      </c>
      <c r="Q423" s="13">
        <f t="shared" si="80"/>
        <v>-6.1929767272950409E-2</v>
      </c>
      <c r="R423" s="13">
        <f t="shared" si="81"/>
        <v>3.8352960744817994E-3</v>
      </c>
      <c r="T423" s="12">
        <f t="shared" si="82"/>
        <v>1</v>
      </c>
    </row>
    <row r="424" spans="1:23" x14ac:dyDescent="0.3">
      <c r="A424" s="23"/>
      <c r="B424" s="12">
        <v>15</v>
      </c>
      <c r="C424" s="12">
        <v>5.6</v>
      </c>
      <c r="D424" s="12">
        <v>2.7</v>
      </c>
      <c r="E424" s="12">
        <v>4.2</v>
      </c>
      <c r="F424" s="12">
        <v>1.3</v>
      </c>
      <c r="G424" s="12">
        <v>1</v>
      </c>
      <c r="I424" s="13">
        <f t="shared" si="83"/>
        <v>0.38006952281614992</v>
      </c>
      <c r="J424" s="13">
        <f t="shared" si="84"/>
        <v>-2.0599416024548407E-2</v>
      </c>
      <c r="K424" s="13">
        <f t="shared" si="85"/>
        <v>7.0780062233013349E-2</v>
      </c>
      <c r="L424" s="13">
        <f t="shared" si="86"/>
        <v>0.52338293564705451</v>
      </c>
      <c r="M424" s="13">
        <f t="shared" si="87"/>
        <v>0.55079359067612532</v>
      </c>
      <c r="N424" s="13">
        <f t="shared" si="77"/>
        <v>3.3700589587044067</v>
      </c>
      <c r="O424" s="13">
        <f t="shared" si="78"/>
        <v>0.96675558609961232</v>
      </c>
      <c r="P424" s="12">
        <f t="shared" si="79"/>
        <v>1</v>
      </c>
      <c r="Q424" s="13">
        <f t="shared" si="80"/>
        <v>-3.3244413900387682E-2</v>
      </c>
      <c r="R424" s="13">
        <f t="shared" si="81"/>
        <v>1.1051910555802897E-3</v>
      </c>
      <c r="T424" s="12">
        <f t="shared" si="82"/>
        <v>1</v>
      </c>
    </row>
    <row r="425" spans="1:23" x14ac:dyDescent="0.3">
      <c r="A425" s="23"/>
      <c r="B425" s="12">
        <v>16</v>
      </c>
      <c r="C425" s="12">
        <v>5.7</v>
      </c>
      <c r="D425" s="12">
        <v>3</v>
      </c>
      <c r="E425" s="12">
        <v>4.2</v>
      </c>
      <c r="F425" s="12">
        <v>1.2</v>
      </c>
      <c r="G425" s="12">
        <v>1</v>
      </c>
      <c r="I425" s="13">
        <f t="shared" si="83"/>
        <v>0.38006952281614992</v>
      </c>
      <c r="J425" s="13">
        <f t="shared" si="84"/>
        <v>-2.0599416024548407E-2</v>
      </c>
      <c r="K425" s="13">
        <f t="shared" si="85"/>
        <v>7.0780062233013349E-2</v>
      </c>
      <c r="L425" s="13">
        <f t="shared" si="86"/>
        <v>0.52338293564705451</v>
      </c>
      <c r="M425" s="13">
        <f t="shared" si="87"/>
        <v>0.55079359067612532</v>
      </c>
      <c r="N425" s="13">
        <f t="shared" si="77"/>
        <v>3.334153676704243</v>
      </c>
      <c r="O425" s="13">
        <f t="shared" si="78"/>
        <v>0.96558207749012848</v>
      </c>
      <c r="P425" s="12">
        <f t="shared" si="79"/>
        <v>1</v>
      </c>
      <c r="Q425" s="13">
        <f t="shared" si="80"/>
        <v>-3.4417922509871524E-2</v>
      </c>
      <c r="R425" s="13">
        <f t="shared" si="81"/>
        <v>1.1845933898955209E-3</v>
      </c>
      <c r="T425" s="12">
        <f t="shared" si="82"/>
        <v>1</v>
      </c>
    </row>
    <row r="426" spans="1:23" x14ac:dyDescent="0.3">
      <c r="A426" s="23"/>
      <c r="B426" s="12">
        <v>17</v>
      </c>
      <c r="C426" s="12">
        <v>5.7</v>
      </c>
      <c r="D426" s="12">
        <v>2.9</v>
      </c>
      <c r="E426" s="12">
        <v>4.2</v>
      </c>
      <c r="F426" s="12">
        <v>1.3</v>
      </c>
      <c r="G426" s="12">
        <v>1</v>
      </c>
      <c r="I426" s="13">
        <f t="shared" si="83"/>
        <v>0.38006952281614992</v>
      </c>
      <c r="J426" s="13">
        <f t="shared" si="84"/>
        <v>-2.0599416024548407E-2</v>
      </c>
      <c r="K426" s="13">
        <f t="shared" si="85"/>
        <v>7.0780062233013349E-2</v>
      </c>
      <c r="L426" s="13">
        <f t="shared" si="86"/>
        <v>0.52338293564705451</v>
      </c>
      <c r="M426" s="13">
        <f t="shared" si="87"/>
        <v>0.55079359067612532</v>
      </c>
      <c r="N426" s="13">
        <f t="shared" si="77"/>
        <v>3.3821550295485547</v>
      </c>
      <c r="O426" s="13">
        <f t="shared" si="78"/>
        <v>0.96714215715772855</v>
      </c>
      <c r="P426" s="12">
        <f t="shared" si="79"/>
        <v>1</v>
      </c>
      <c r="Q426" s="13">
        <f t="shared" si="80"/>
        <v>-3.2857842842271445E-2</v>
      </c>
      <c r="R426" s="13">
        <f t="shared" si="81"/>
        <v>1.0796378362474088E-3</v>
      </c>
      <c r="T426" s="12">
        <f t="shared" si="82"/>
        <v>1</v>
      </c>
    </row>
    <row r="427" spans="1:23" x14ac:dyDescent="0.3">
      <c r="A427" s="23"/>
      <c r="B427" s="12">
        <v>18</v>
      </c>
      <c r="C427" s="12">
        <v>6.2</v>
      </c>
      <c r="D427" s="12">
        <v>2.9</v>
      </c>
      <c r="E427" s="12">
        <v>4.3</v>
      </c>
      <c r="F427" s="12">
        <v>1.3</v>
      </c>
      <c r="G427" s="12">
        <v>1</v>
      </c>
      <c r="I427" s="13">
        <f t="shared" si="83"/>
        <v>0.38006952281614992</v>
      </c>
      <c r="J427" s="13">
        <f t="shared" si="84"/>
        <v>-2.0599416024548407E-2</v>
      </c>
      <c r="K427" s="13">
        <f t="shared" si="85"/>
        <v>7.0780062233013349E-2</v>
      </c>
      <c r="L427" s="13">
        <f t="shared" si="86"/>
        <v>0.52338293564705451</v>
      </c>
      <c r="M427" s="13">
        <f t="shared" si="87"/>
        <v>0.55079359067612532</v>
      </c>
      <c r="N427" s="13">
        <f t="shared" si="77"/>
        <v>3.4241936151009855</v>
      </c>
      <c r="O427" s="13">
        <f t="shared" si="78"/>
        <v>0.96845214940843294</v>
      </c>
      <c r="P427" s="12">
        <f t="shared" si="79"/>
        <v>1</v>
      </c>
      <c r="Q427" s="13">
        <f t="shared" si="80"/>
        <v>-3.1547850591567062E-2</v>
      </c>
      <c r="R427" s="13">
        <f t="shared" si="81"/>
        <v>9.9526687694783821E-4</v>
      </c>
      <c r="T427" s="12">
        <f t="shared" si="82"/>
        <v>1</v>
      </c>
    </row>
    <row r="428" spans="1:23" x14ac:dyDescent="0.3">
      <c r="A428" s="23"/>
      <c r="B428" s="12">
        <v>19</v>
      </c>
      <c r="C428" s="12">
        <v>5.0999999999999996</v>
      </c>
      <c r="D428" s="12">
        <v>2.5</v>
      </c>
      <c r="E428" s="12">
        <v>3</v>
      </c>
      <c r="F428" s="12">
        <v>1.1000000000000001</v>
      </c>
      <c r="G428" s="12">
        <v>1</v>
      </c>
      <c r="I428" s="13">
        <f t="shared" si="83"/>
        <v>0.38006952281614992</v>
      </c>
      <c r="J428" s="13">
        <f t="shared" si="84"/>
        <v>-2.0599416024548407E-2</v>
      </c>
      <c r="K428" s="13">
        <f t="shared" si="85"/>
        <v>7.0780062233013349E-2</v>
      </c>
      <c r="L428" s="13">
        <f t="shared" si="86"/>
        <v>0.52338293564705451</v>
      </c>
      <c r="M428" s="13">
        <f t="shared" si="87"/>
        <v>0.55079359067612532</v>
      </c>
      <c r="N428" s="13">
        <f t="shared" si="77"/>
        <v>2.6279844133583881</v>
      </c>
      <c r="O428" s="13">
        <f t="shared" si="78"/>
        <v>0.93264103713109725</v>
      </c>
      <c r="P428" s="12">
        <f t="shared" si="79"/>
        <v>1</v>
      </c>
      <c r="Q428" s="13">
        <f t="shared" si="80"/>
        <v>-6.735896286890275E-2</v>
      </c>
      <c r="R428" s="13">
        <f t="shared" si="81"/>
        <v>4.5372298787742195E-3</v>
      </c>
      <c r="T428" s="12">
        <f t="shared" si="82"/>
        <v>1</v>
      </c>
    </row>
    <row r="429" spans="1:23" x14ac:dyDescent="0.3">
      <c r="A429" s="23"/>
      <c r="B429" s="12">
        <v>20</v>
      </c>
      <c r="C429" s="12">
        <v>5.7</v>
      </c>
      <c r="D429" s="12">
        <v>2.8</v>
      </c>
      <c r="E429" s="12">
        <v>4.0999999999999996</v>
      </c>
      <c r="F429" s="12">
        <v>1.3</v>
      </c>
      <c r="G429" s="12">
        <v>1</v>
      </c>
      <c r="I429" s="13">
        <f t="shared" si="83"/>
        <v>0.38006952281614992</v>
      </c>
      <c r="J429" s="13">
        <f t="shared" si="84"/>
        <v>-2.0599416024548407E-2</v>
      </c>
      <c r="K429" s="13">
        <f t="shared" si="85"/>
        <v>7.0780062233013349E-2</v>
      </c>
      <c r="L429" s="13">
        <f t="shared" si="86"/>
        <v>0.52338293564705451</v>
      </c>
      <c r="M429" s="13">
        <f t="shared" si="87"/>
        <v>0.55079359067612532</v>
      </c>
      <c r="N429" s="13">
        <f t="shared" si="77"/>
        <v>3.3227387297605473</v>
      </c>
      <c r="O429" s="13">
        <f t="shared" si="78"/>
        <v>0.96520069806555631</v>
      </c>
      <c r="P429" s="12">
        <f t="shared" si="79"/>
        <v>1</v>
      </c>
      <c r="Q429" s="13">
        <f t="shared" si="80"/>
        <v>-3.4799301934443694E-2</v>
      </c>
      <c r="R429" s="13">
        <f t="shared" si="81"/>
        <v>1.2109914151245767E-3</v>
      </c>
      <c r="T429" s="12">
        <f t="shared" si="82"/>
        <v>1</v>
      </c>
      <c r="V429" s="17">
        <f>AVERAGE(T410:T429)</f>
        <v>0.5</v>
      </c>
      <c r="W429" s="16">
        <f>AVERAGE(R410:R429)</f>
        <v>0.32757315043824775</v>
      </c>
    </row>
    <row r="430" spans="1:23" x14ac:dyDescent="0.3">
      <c r="A430" s="23" t="s">
        <v>90</v>
      </c>
      <c r="B430" s="12">
        <v>1</v>
      </c>
      <c r="C430" s="12">
        <v>5</v>
      </c>
      <c r="D430" s="12">
        <v>3.5</v>
      </c>
      <c r="E430" s="12">
        <v>1.3</v>
      </c>
      <c r="F430" s="12">
        <v>0.3</v>
      </c>
      <c r="G430" s="12">
        <v>0</v>
      </c>
      <c r="I430" s="13">
        <f>I164</f>
        <v>0.34229138422269678</v>
      </c>
      <c r="J430" s="13">
        <f>J164</f>
        <v>-9.4390655835536241E-2</v>
      </c>
      <c r="K430" s="13">
        <f>K164</f>
        <v>-7.642483296622618E-2</v>
      </c>
      <c r="L430" s="13">
        <f>L164</f>
        <v>0.70574450442871894</v>
      </c>
      <c r="M430" s="13">
        <f>M164</f>
        <v>0.63587955203565039</v>
      </c>
      <c r="N430" s="13">
        <f t="shared" si="77"/>
        <v>0.71108291103125376</v>
      </c>
      <c r="O430" s="13">
        <f t="shared" si="78"/>
        <v>0.67064039939058573</v>
      </c>
      <c r="P430" s="12">
        <f t="shared" si="79"/>
        <v>1</v>
      </c>
      <c r="Q430" s="13">
        <f t="shared" si="80"/>
        <v>0.67064039939058573</v>
      </c>
      <c r="R430" s="13">
        <f t="shared" si="81"/>
        <v>0.44975854529476433</v>
      </c>
      <c r="T430" s="12">
        <f t="shared" si="82"/>
        <v>0</v>
      </c>
    </row>
    <row r="431" spans="1:23" x14ac:dyDescent="0.3">
      <c r="A431" s="23"/>
      <c r="B431" s="12">
        <v>2</v>
      </c>
      <c r="C431" s="12">
        <v>4.5</v>
      </c>
      <c r="D431" s="12">
        <v>2.2999999999999998</v>
      </c>
      <c r="E431" s="12">
        <v>1.3</v>
      </c>
      <c r="F431" s="12">
        <v>0.3</v>
      </c>
      <c r="G431" s="12">
        <v>0</v>
      </c>
      <c r="I431" s="13">
        <f t="shared" ref="I431:I449" si="88">I430</f>
        <v>0.34229138422269678</v>
      </c>
      <c r="J431" s="13">
        <f t="shared" ref="J431:J449" si="89">J430</f>
        <v>-9.4390655835536241E-2</v>
      </c>
      <c r="K431" s="13">
        <f t="shared" ref="K431:K449" si="90">K430</f>
        <v>-7.642483296622618E-2</v>
      </c>
      <c r="L431" s="13">
        <f t="shared" ref="L431:L449" si="91">L430</f>
        <v>0.70574450442871894</v>
      </c>
      <c r="M431" s="13">
        <f t="shared" ref="M431:M449" si="92">M430</f>
        <v>0.63587955203565039</v>
      </c>
      <c r="N431" s="13">
        <f t="shared" si="77"/>
        <v>0.84998803850849325</v>
      </c>
      <c r="O431" s="13">
        <f t="shared" si="78"/>
        <v>0.70056463327213214</v>
      </c>
      <c r="P431" s="12">
        <f t="shared" si="79"/>
        <v>1</v>
      </c>
      <c r="Q431" s="13">
        <f t="shared" si="80"/>
        <v>0.70056463327213214</v>
      </c>
      <c r="R431" s="13">
        <f t="shared" si="81"/>
        <v>0.49079080539171699</v>
      </c>
      <c r="T431" s="12">
        <f t="shared" si="82"/>
        <v>0</v>
      </c>
    </row>
    <row r="432" spans="1:23" x14ac:dyDescent="0.3">
      <c r="A432" s="23"/>
      <c r="B432" s="12">
        <v>3</v>
      </c>
      <c r="C432" s="12">
        <v>4.4000000000000004</v>
      </c>
      <c r="D432" s="12">
        <v>3.2</v>
      </c>
      <c r="E432" s="12">
        <v>1.3</v>
      </c>
      <c r="F432" s="12">
        <v>0.2</v>
      </c>
      <c r="G432" s="12">
        <v>0</v>
      </c>
      <c r="I432" s="13">
        <f t="shared" si="88"/>
        <v>0.34229138422269678</v>
      </c>
      <c r="J432" s="13">
        <f t="shared" si="89"/>
        <v>-9.4390655835536241E-2</v>
      </c>
      <c r="K432" s="13">
        <f t="shared" si="90"/>
        <v>-7.642483296622618E-2</v>
      </c>
      <c r="L432" s="13">
        <f t="shared" si="91"/>
        <v>0.70574450442871894</v>
      </c>
      <c r="M432" s="13">
        <f t="shared" si="92"/>
        <v>0.63587955203565039</v>
      </c>
      <c r="N432" s="13">
        <f t="shared" si="77"/>
        <v>0.72705679921887822</v>
      </c>
      <c r="O432" s="13">
        <f t="shared" si="78"/>
        <v>0.67415907543632592</v>
      </c>
      <c r="P432" s="12">
        <f t="shared" si="79"/>
        <v>1</v>
      </c>
      <c r="Q432" s="13">
        <f t="shared" si="80"/>
        <v>0.67415907543632592</v>
      </c>
      <c r="R432" s="13">
        <f t="shared" si="81"/>
        <v>0.45449045899316176</v>
      </c>
      <c r="T432" s="12">
        <f t="shared" si="82"/>
        <v>0</v>
      </c>
    </row>
    <row r="433" spans="1:20" x14ac:dyDescent="0.3">
      <c r="A433" s="23"/>
      <c r="B433" s="12">
        <v>4</v>
      </c>
      <c r="C433" s="12">
        <v>5</v>
      </c>
      <c r="D433" s="12">
        <v>3.5</v>
      </c>
      <c r="E433" s="12">
        <v>1.6</v>
      </c>
      <c r="F433" s="12">
        <v>0.6</v>
      </c>
      <c r="G433" s="12">
        <v>0</v>
      </c>
      <c r="I433" s="13">
        <f t="shared" si="88"/>
        <v>0.34229138422269678</v>
      </c>
      <c r="J433" s="13">
        <f t="shared" si="89"/>
        <v>-9.4390655835536241E-2</v>
      </c>
      <c r="K433" s="13">
        <f t="shared" si="90"/>
        <v>-7.642483296622618E-2</v>
      </c>
      <c r="L433" s="13">
        <f t="shared" si="91"/>
        <v>0.70574450442871894</v>
      </c>
      <c r="M433" s="13">
        <f t="shared" si="92"/>
        <v>0.63587955203565039</v>
      </c>
      <c r="N433" s="13">
        <f t="shared" si="77"/>
        <v>1.1135701279705645</v>
      </c>
      <c r="O433" s="13">
        <f t="shared" si="78"/>
        <v>0.75279409437057598</v>
      </c>
      <c r="P433" s="12">
        <f t="shared" si="79"/>
        <v>1</v>
      </c>
      <c r="Q433" s="13">
        <f t="shared" si="80"/>
        <v>0.75279409437057598</v>
      </c>
      <c r="R433" s="13">
        <f t="shared" si="81"/>
        <v>0.56669894851921565</v>
      </c>
      <c r="T433" s="12">
        <f t="shared" si="82"/>
        <v>0</v>
      </c>
    </row>
    <row r="434" spans="1:20" x14ac:dyDescent="0.3">
      <c r="A434" s="23"/>
      <c r="B434" s="12">
        <v>5</v>
      </c>
      <c r="C434" s="12">
        <v>5.0999999999999996</v>
      </c>
      <c r="D434" s="12">
        <v>3.8</v>
      </c>
      <c r="E434" s="12">
        <v>1.9</v>
      </c>
      <c r="F434" s="12">
        <v>0.4</v>
      </c>
      <c r="G434" s="12">
        <v>0</v>
      </c>
      <c r="I434" s="13">
        <f t="shared" si="88"/>
        <v>0.34229138422269678</v>
      </c>
      <c r="J434" s="13">
        <f t="shared" si="89"/>
        <v>-9.4390655835536241E-2</v>
      </c>
      <c r="K434" s="13">
        <f t="shared" si="90"/>
        <v>-7.642483296622618E-2</v>
      </c>
      <c r="L434" s="13">
        <f t="shared" si="91"/>
        <v>0.70574450442871894</v>
      </c>
      <c r="M434" s="13">
        <f t="shared" si="92"/>
        <v>0.63587955203565039</v>
      </c>
      <c r="N434" s="13">
        <f t="shared" si="77"/>
        <v>1.1657510534186286</v>
      </c>
      <c r="O434" s="13">
        <f t="shared" si="78"/>
        <v>0.76237614014458199</v>
      </c>
      <c r="P434" s="12">
        <f t="shared" si="79"/>
        <v>1</v>
      </c>
      <c r="Q434" s="13">
        <f t="shared" si="80"/>
        <v>0.76237614014458199</v>
      </c>
      <c r="R434" s="13">
        <f t="shared" si="81"/>
        <v>0.5812173790617513</v>
      </c>
      <c r="T434" s="12">
        <f t="shared" si="82"/>
        <v>0</v>
      </c>
    </row>
    <row r="435" spans="1:20" x14ac:dyDescent="0.3">
      <c r="A435" s="23"/>
      <c r="B435" s="12">
        <v>6</v>
      </c>
      <c r="C435" s="12">
        <v>4.8</v>
      </c>
      <c r="D435" s="12">
        <v>3</v>
      </c>
      <c r="E435" s="12">
        <v>1.4</v>
      </c>
      <c r="F435" s="12">
        <v>0.3</v>
      </c>
      <c r="G435" s="12">
        <v>0</v>
      </c>
      <c r="I435" s="13">
        <f t="shared" si="88"/>
        <v>0.34229138422269678</v>
      </c>
      <c r="J435" s="13">
        <f t="shared" si="89"/>
        <v>-9.4390655835536241E-2</v>
      </c>
      <c r="K435" s="13">
        <f t="shared" si="90"/>
        <v>-7.642483296622618E-2</v>
      </c>
      <c r="L435" s="13">
        <f t="shared" si="91"/>
        <v>0.70574450442871894</v>
      </c>
      <c r="M435" s="13">
        <f t="shared" si="92"/>
        <v>0.63587955203565039</v>
      </c>
      <c r="N435" s="13">
        <f t="shared" si="77"/>
        <v>0.83874790912434594</v>
      </c>
      <c r="O435" s="13">
        <f t="shared" si="78"/>
        <v>0.69820144568087528</v>
      </c>
      <c r="P435" s="12">
        <f t="shared" si="79"/>
        <v>1</v>
      </c>
      <c r="Q435" s="13">
        <f t="shared" si="80"/>
        <v>0.69820144568087528</v>
      </c>
      <c r="R435" s="13">
        <f t="shared" si="81"/>
        <v>0.48748525875086424</v>
      </c>
      <c r="T435" s="12">
        <f t="shared" si="82"/>
        <v>0</v>
      </c>
    </row>
    <row r="436" spans="1:20" x14ac:dyDescent="0.3">
      <c r="A436" s="23"/>
      <c r="B436" s="12">
        <v>7</v>
      </c>
      <c r="C436" s="12">
        <v>5.0999999999999996</v>
      </c>
      <c r="D436" s="12">
        <v>3.8</v>
      </c>
      <c r="E436" s="12">
        <v>1.6</v>
      </c>
      <c r="F436" s="12">
        <v>0.2</v>
      </c>
      <c r="G436" s="12">
        <v>0</v>
      </c>
      <c r="I436" s="13">
        <f t="shared" si="88"/>
        <v>0.34229138422269678</v>
      </c>
      <c r="J436" s="13">
        <f t="shared" si="89"/>
        <v>-9.4390655835536241E-2</v>
      </c>
      <c r="K436" s="13">
        <f t="shared" si="90"/>
        <v>-7.642483296622618E-2</v>
      </c>
      <c r="L436" s="13">
        <f t="shared" si="91"/>
        <v>0.70574450442871894</v>
      </c>
      <c r="M436" s="13">
        <f t="shared" si="92"/>
        <v>0.63587955203565039</v>
      </c>
      <c r="N436" s="13">
        <f t="shared" si="77"/>
        <v>0.82685179168288303</v>
      </c>
      <c r="O436" s="13">
        <f t="shared" si="78"/>
        <v>0.69568884652987362</v>
      </c>
      <c r="P436" s="12">
        <f t="shared" si="79"/>
        <v>1</v>
      </c>
      <c r="Q436" s="13">
        <f t="shared" si="80"/>
        <v>0.69568884652987362</v>
      </c>
      <c r="R436" s="13">
        <f t="shared" si="81"/>
        <v>0.48398297118606604</v>
      </c>
      <c r="T436" s="12">
        <f t="shared" si="82"/>
        <v>0</v>
      </c>
    </row>
    <row r="437" spans="1:20" x14ac:dyDescent="0.3">
      <c r="A437" s="23"/>
      <c r="B437" s="12">
        <v>8</v>
      </c>
      <c r="C437" s="12">
        <v>4.5999999999999996</v>
      </c>
      <c r="D437" s="12">
        <v>3.2</v>
      </c>
      <c r="E437" s="12">
        <v>1.4</v>
      </c>
      <c r="F437" s="12">
        <v>0.2</v>
      </c>
      <c r="G437" s="12">
        <v>0</v>
      </c>
      <c r="I437" s="13">
        <f t="shared" si="88"/>
        <v>0.34229138422269678</v>
      </c>
      <c r="J437" s="13">
        <f t="shared" si="89"/>
        <v>-9.4390655835536241E-2</v>
      </c>
      <c r="K437" s="13">
        <f t="shared" si="90"/>
        <v>-7.642483296622618E-2</v>
      </c>
      <c r="L437" s="13">
        <f t="shared" si="91"/>
        <v>0.70574450442871894</v>
      </c>
      <c r="M437" s="13">
        <f t="shared" si="92"/>
        <v>0.63587955203565039</v>
      </c>
      <c r="N437" s="13">
        <f t="shared" si="77"/>
        <v>0.7787531184946429</v>
      </c>
      <c r="O437" s="13">
        <f t="shared" si="78"/>
        <v>0.68541132022954798</v>
      </c>
      <c r="P437" s="12">
        <f t="shared" si="79"/>
        <v>1</v>
      </c>
      <c r="Q437" s="13">
        <f t="shared" si="80"/>
        <v>0.68541132022954798</v>
      </c>
      <c r="R437" s="13">
        <f t="shared" si="81"/>
        <v>0.46978867789881196</v>
      </c>
      <c r="T437" s="12">
        <f t="shared" si="82"/>
        <v>0</v>
      </c>
    </row>
    <row r="438" spans="1:20" x14ac:dyDescent="0.3">
      <c r="A438" s="23"/>
      <c r="B438" s="12">
        <v>9</v>
      </c>
      <c r="C438" s="12">
        <v>5.3</v>
      </c>
      <c r="D438" s="12">
        <v>3.7</v>
      </c>
      <c r="E438" s="12">
        <v>1.5</v>
      </c>
      <c r="F438" s="12">
        <v>0.2</v>
      </c>
      <c r="G438" s="12">
        <v>0</v>
      </c>
      <c r="I438" s="13">
        <f t="shared" si="88"/>
        <v>0.34229138422269678</v>
      </c>
      <c r="J438" s="13">
        <f t="shared" si="89"/>
        <v>-9.4390655835536241E-2</v>
      </c>
      <c r="K438" s="13">
        <f t="shared" si="90"/>
        <v>-7.642483296622618E-2</v>
      </c>
      <c r="L438" s="13">
        <f t="shared" si="91"/>
        <v>0.70574450442871894</v>
      </c>
      <c r="M438" s="13">
        <f t="shared" si="92"/>
        <v>0.63587955203565039</v>
      </c>
      <c r="N438" s="13">
        <f t="shared" si="77"/>
        <v>0.7450416933695263</v>
      </c>
      <c r="O438" s="13">
        <f t="shared" si="78"/>
        <v>0.67809735050351361</v>
      </c>
      <c r="P438" s="12">
        <f t="shared" si="79"/>
        <v>1</v>
      </c>
      <c r="Q438" s="13">
        <f t="shared" si="80"/>
        <v>0.67809735050351361</v>
      </c>
      <c r="R438" s="13">
        <f t="shared" si="81"/>
        <v>0.45981601675988498</v>
      </c>
      <c r="T438" s="12">
        <f t="shared" si="82"/>
        <v>0</v>
      </c>
    </row>
    <row r="439" spans="1:20" x14ac:dyDescent="0.3">
      <c r="A439" s="23"/>
      <c r="B439" s="12">
        <v>10</v>
      </c>
      <c r="C439" s="12">
        <v>5</v>
      </c>
      <c r="D439" s="12">
        <v>3.3</v>
      </c>
      <c r="E439" s="12">
        <v>1.4</v>
      </c>
      <c r="F439" s="12">
        <v>0.2</v>
      </c>
      <c r="G439" s="12">
        <v>0</v>
      </c>
      <c r="I439" s="13">
        <f t="shared" si="88"/>
        <v>0.34229138422269678</v>
      </c>
      <c r="J439" s="13">
        <f t="shared" si="89"/>
        <v>-9.4390655835536241E-2</v>
      </c>
      <c r="K439" s="13">
        <f t="shared" si="90"/>
        <v>-7.642483296622618E-2</v>
      </c>
      <c r="L439" s="13">
        <f t="shared" si="91"/>
        <v>0.70574450442871894</v>
      </c>
      <c r="M439" s="13">
        <f t="shared" si="92"/>
        <v>0.63587955203565039</v>
      </c>
      <c r="N439" s="13">
        <f t="shared" si="77"/>
        <v>0.73335437286380578</v>
      </c>
      <c r="O439" s="13">
        <f t="shared" si="78"/>
        <v>0.67554093456397379</v>
      </c>
      <c r="P439" s="12">
        <f t="shared" si="79"/>
        <v>1</v>
      </c>
      <c r="Q439" s="13">
        <f t="shared" si="80"/>
        <v>0.67554093456397379</v>
      </c>
      <c r="R439" s="13">
        <f t="shared" si="81"/>
        <v>0.4563555542715671</v>
      </c>
      <c r="T439" s="12">
        <f t="shared" si="82"/>
        <v>0</v>
      </c>
    </row>
    <row r="440" spans="1:20" x14ac:dyDescent="0.3">
      <c r="A440" s="23"/>
      <c r="B440" s="12">
        <v>11</v>
      </c>
      <c r="C440" s="12">
        <v>5.5</v>
      </c>
      <c r="D440" s="12">
        <v>2.6</v>
      </c>
      <c r="E440" s="12">
        <v>4.4000000000000004</v>
      </c>
      <c r="F440" s="12">
        <v>1.2</v>
      </c>
      <c r="G440" s="12">
        <v>1</v>
      </c>
      <c r="I440" s="13">
        <f t="shared" si="88"/>
        <v>0.34229138422269678</v>
      </c>
      <c r="J440" s="13">
        <f t="shared" si="89"/>
        <v>-9.4390655835536241E-2</v>
      </c>
      <c r="K440" s="13">
        <f t="shared" si="90"/>
        <v>-7.642483296622618E-2</v>
      </c>
      <c r="L440" s="13">
        <f t="shared" si="91"/>
        <v>0.70574450442871894</v>
      </c>
      <c r="M440" s="13">
        <f t="shared" si="92"/>
        <v>0.63587955203565039</v>
      </c>
      <c r="N440" s="13">
        <f t="shared" si="77"/>
        <v>3.4927694933442033</v>
      </c>
      <c r="O440" s="13">
        <f t="shared" si="78"/>
        <v>0.97048133781909485</v>
      </c>
      <c r="P440" s="12">
        <f t="shared" si="79"/>
        <v>1</v>
      </c>
      <c r="Q440" s="13">
        <f t="shared" si="80"/>
        <v>-2.9518662180905153E-2</v>
      </c>
      <c r="R440" s="13">
        <f t="shared" si="81"/>
        <v>8.7135141695040012E-4</v>
      </c>
      <c r="T440" s="12">
        <f t="shared" si="82"/>
        <v>1</v>
      </c>
    </row>
    <row r="441" spans="1:20" x14ac:dyDescent="0.3">
      <c r="A441" s="23"/>
      <c r="B441" s="12">
        <v>12</v>
      </c>
      <c r="C441" s="12">
        <v>6.1</v>
      </c>
      <c r="D441" s="12">
        <v>3</v>
      </c>
      <c r="E441" s="12">
        <v>4.5999999999999996</v>
      </c>
      <c r="F441" s="12">
        <v>1.4</v>
      </c>
      <c r="G441" s="12">
        <v>1</v>
      </c>
      <c r="I441" s="13">
        <f t="shared" si="88"/>
        <v>0.34229138422269678</v>
      </c>
      <c r="J441" s="13">
        <f t="shared" si="89"/>
        <v>-9.4390655835536241E-2</v>
      </c>
      <c r="K441" s="13">
        <f t="shared" si="90"/>
        <v>-7.642483296622618E-2</v>
      </c>
      <c r="L441" s="13">
        <f t="shared" si="91"/>
        <v>0.70574450442871894</v>
      </c>
      <c r="M441" s="13">
        <f t="shared" si="92"/>
        <v>0.63587955203565039</v>
      </c>
      <c r="N441" s="13">
        <f t="shared" si="77"/>
        <v>3.6738899779492646</v>
      </c>
      <c r="O441" s="13">
        <f t="shared" si="78"/>
        <v>0.97525052181169458</v>
      </c>
      <c r="P441" s="12">
        <f t="shared" si="79"/>
        <v>1</v>
      </c>
      <c r="Q441" s="13">
        <f t="shared" si="80"/>
        <v>-2.4749478188305418E-2</v>
      </c>
      <c r="R441" s="13">
        <f t="shared" si="81"/>
        <v>6.1253667059340568E-4</v>
      </c>
      <c r="T441" s="12">
        <f t="shared" si="82"/>
        <v>1</v>
      </c>
    </row>
    <row r="442" spans="1:20" x14ac:dyDescent="0.3">
      <c r="A442" s="23"/>
      <c r="B442" s="12">
        <v>13</v>
      </c>
      <c r="C442" s="12">
        <v>5.8</v>
      </c>
      <c r="D442" s="12">
        <v>2.6</v>
      </c>
      <c r="E442" s="12">
        <v>4</v>
      </c>
      <c r="F442" s="12">
        <v>1.2</v>
      </c>
      <c r="G442" s="12">
        <v>1</v>
      </c>
      <c r="I442" s="13">
        <f t="shared" si="88"/>
        <v>0.34229138422269678</v>
      </c>
      <c r="J442" s="13">
        <f t="shared" si="89"/>
        <v>-9.4390655835536241E-2</v>
      </c>
      <c r="K442" s="13">
        <f t="shared" si="90"/>
        <v>-7.642483296622618E-2</v>
      </c>
      <c r="L442" s="13">
        <f t="shared" si="91"/>
        <v>0.70574450442871894</v>
      </c>
      <c r="M442" s="13">
        <f t="shared" si="92"/>
        <v>0.63587955203565039</v>
      </c>
      <c r="N442" s="13">
        <f t="shared" ref="N442:N473" si="93">I442+J442*C442+K442*D442+L442*E442+M442*F442</f>
        <v>3.182154494822055</v>
      </c>
      <c r="O442" s="13">
        <f t="shared" ref="O442:O473" si="94">1/(1+EXP(-N442))</f>
        <v>0.96015716882711921</v>
      </c>
      <c r="P442" s="12">
        <f t="shared" ref="P442:P473" si="95">IF(O442&gt;0.5,1,0)</f>
        <v>1</v>
      </c>
      <c r="Q442" s="13">
        <f t="shared" ref="Q442:Q473" si="96">O442-G442</f>
        <v>-3.9842831172880788E-2</v>
      </c>
      <c r="R442" s="13">
        <f t="shared" ref="R442:R473" si="97">Q442^2</f>
        <v>1.5874511958706811E-3</v>
      </c>
      <c r="T442" s="12">
        <f t="shared" ref="T442:T473" si="98">IF(P442=G442,1,0)</f>
        <v>1</v>
      </c>
    </row>
    <row r="443" spans="1:20" x14ac:dyDescent="0.3">
      <c r="A443" s="23"/>
      <c r="B443" s="12">
        <v>14</v>
      </c>
      <c r="C443" s="12">
        <v>5</v>
      </c>
      <c r="D443" s="12">
        <v>2.2999999999999998</v>
      </c>
      <c r="E443" s="12">
        <v>3.3</v>
      </c>
      <c r="F443" s="12">
        <v>1</v>
      </c>
      <c r="G443" s="12">
        <v>1</v>
      </c>
      <c r="I443" s="13">
        <f t="shared" si="88"/>
        <v>0.34229138422269678</v>
      </c>
      <c r="J443" s="13">
        <f t="shared" si="89"/>
        <v>-9.4390655835536241E-2</v>
      </c>
      <c r="K443" s="13">
        <f t="shared" si="90"/>
        <v>-7.642483296622618E-2</v>
      </c>
      <c r="L443" s="13">
        <f t="shared" si="91"/>
        <v>0.70574450442871894</v>
      </c>
      <c r="M443" s="13">
        <f t="shared" si="92"/>
        <v>0.63587955203565039</v>
      </c>
      <c r="N443" s="13">
        <f t="shared" si="93"/>
        <v>2.6593974058731185</v>
      </c>
      <c r="O443" s="13">
        <f t="shared" si="94"/>
        <v>0.9345878375856409</v>
      </c>
      <c r="P443" s="12">
        <f t="shared" si="95"/>
        <v>1</v>
      </c>
      <c r="Q443" s="13">
        <f t="shared" si="96"/>
        <v>-6.5412162414359099E-2</v>
      </c>
      <c r="R443" s="13">
        <f t="shared" si="97"/>
        <v>4.2787509917224928E-3</v>
      </c>
      <c r="T443" s="12">
        <f t="shared" si="98"/>
        <v>1</v>
      </c>
    </row>
    <row r="444" spans="1:20" x14ac:dyDescent="0.3">
      <c r="A444" s="23"/>
      <c r="B444" s="12">
        <v>15</v>
      </c>
      <c r="C444" s="12">
        <v>5.6</v>
      </c>
      <c r="D444" s="12">
        <v>2.7</v>
      </c>
      <c r="E444" s="12">
        <v>4.2</v>
      </c>
      <c r="F444" s="12">
        <v>1.3</v>
      </c>
      <c r="G444" s="12">
        <v>1</v>
      </c>
      <c r="I444" s="13">
        <f t="shared" si="88"/>
        <v>0.34229138422269678</v>
      </c>
      <c r="J444" s="13">
        <f t="shared" si="89"/>
        <v>-9.4390655835536241E-2</v>
      </c>
      <c r="K444" s="13">
        <f t="shared" si="90"/>
        <v>-7.642483296622618E-2</v>
      </c>
      <c r="L444" s="13">
        <f t="shared" si="91"/>
        <v>0.70574450442871894</v>
      </c>
      <c r="M444" s="13">
        <f t="shared" si="92"/>
        <v>0.63587955203565039</v>
      </c>
      <c r="N444" s="13">
        <f t="shared" si="93"/>
        <v>3.3981269987818488</v>
      </c>
      <c r="O444" s="13">
        <f t="shared" si="94"/>
        <v>0.96764594808562754</v>
      </c>
      <c r="P444" s="12">
        <f t="shared" si="95"/>
        <v>1</v>
      </c>
      <c r="Q444" s="13">
        <f t="shared" si="96"/>
        <v>-3.2354051914372461E-2</v>
      </c>
      <c r="R444" s="13">
        <f t="shared" si="97"/>
        <v>1.0467846752779083E-3</v>
      </c>
      <c r="T444" s="12">
        <f t="shared" si="98"/>
        <v>1</v>
      </c>
    </row>
    <row r="445" spans="1:20" x14ac:dyDescent="0.3">
      <c r="A445" s="23"/>
      <c r="B445" s="12">
        <v>16</v>
      </c>
      <c r="C445" s="12">
        <v>5.7</v>
      </c>
      <c r="D445" s="12">
        <v>3</v>
      </c>
      <c r="E445" s="12">
        <v>4.2</v>
      </c>
      <c r="F445" s="12">
        <v>1.2</v>
      </c>
      <c r="G445" s="12">
        <v>1</v>
      </c>
      <c r="I445" s="13">
        <f t="shared" si="88"/>
        <v>0.34229138422269678</v>
      </c>
      <c r="J445" s="13">
        <f t="shared" si="89"/>
        <v>-9.4390655835536241E-2</v>
      </c>
      <c r="K445" s="13">
        <f t="shared" si="90"/>
        <v>-7.642483296622618E-2</v>
      </c>
      <c r="L445" s="13">
        <f t="shared" si="91"/>
        <v>0.70574450442871894</v>
      </c>
      <c r="M445" s="13">
        <f t="shared" si="92"/>
        <v>0.63587955203565039</v>
      </c>
      <c r="N445" s="13">
        <f t="shared" si="93"/>
        <v>3.3021725281048617</v>
      </c>
      <c r="O445" s="13">
        <f t="shared" si="94"/>
        <v>0.96450326606174419</v>
      </c>
      <c r="P445" s="12">
        <f t="shared" si="95"/>
        <v>1</v>
      </c>
      <c r="Q445" s="13">
        <f t="shared" si="96"/>
        <v>-3.5496733938255809E-2</v>
      </c>
      <c r="R445" s="13">
        <f t="shared" si="97"/>
        <v>1.2600181202833218E-3</v>
      </c>
      <c r="T445" s="12">
        <f t="shared" si="98"/>
        <v>1</v>
      </c>
    </row>
    <row r="446" spans="1:20" x14ac:dyDescent="0.3">
      <c r="A446" s="23"/>
      <c r="B446" s="12">
        <v>17</v>
      </c>
      <c r="C446" s="12">
        <v>5.7</v>
      </c>
      <c r="D446" s="12">
        <v>2.9</v>
      </c>
      <c r="E446" s="12">
        <v>4.2</v>
      </c>
      <c r="F446" s="12">
        <v>1.3</v>
      </c>
      <c r="G446" s="12">
        <v>1</v>
      </c>
      <c r="I446" s="13">
        <f t="shared" si="88"/>
        <v>0.34229138422269678</v>
      </c>
      <c r="J446" s="13">
        <f t="shared" si="89"/>
        <v>-9.4390655835536241E-2</v>
      </c>
      <c r="K446" s="13">
        <f t="shared" si="90"/>
        <v>-7.642483296622618E-2</v>
      </c>
      <c r="L446" s="13">
        <f t="shared" si="91"/>
        <v>0.70574450442871894</v>
      </c>
      <c r="M446" s="13">
        <f t="shared" si="92"/>
        <v>0.63587955203565039</v>
      </c>
      <c r="N446" s="13">
        <f t="shared" si="93"/>
        <v>3.3734029666050498</v>
      </c>
      <c r="O446" s="13">
        <f t="shared" si="94"/>
        <v>0.96686289232748257</v>
      </c>
      <c r="P446" s="12">
        <f t="shared" si="95"/>
        <v>1</v>
      </c>
      <c r="Q446" s="13">
        <f t="shared" si="96"/>
        <v>-3.313710767251743E-2</v>
      </c>
      <c r="R446" s="13">
        <f t="shared" si="97"/>
        <v>1.0980679049000135E-3</v>
      </c>
      <c r="T446" s="12">
        <f t="shared" si="98"/>
        <v>1</v>
      </c>
    </row>
    <row r="447" spans="1:20" x14ac:dyDescent="0.3">
      <c r="A447" s="23"/>
      <c r="B447" s="12">
        <v>18</v>
      </c>
      <c r="C447" s="12">
        <v>6.2</v>
      </c>
      <c r="D447" s="12">
        <v>2.9</v>
      </c>
      <c r="E447" s="12">
        <v>4.3</v>
      </c>
      <c r="F447" s="12">
        <v>1.3</v>
      </c>
      <c r="G447" s="12">
        <v>1</v>
      </c>
      <c r="I447" s="13">
        <f t="shared" si="88"/>
        <v>0.34229138422269678</v>
      </c>
      <c r="J447" s="13">
        <f t="shared" si="89"/>
        <v>-9.4390655835536241E-2</v>
      </c>
      <c r="K447" s="13">
        <f t="shared" si="90"/>
        <v>-7.642483296622618E-2</v>
      </c>
      <c r="L447" s="13">
        <f t="shared" si="91"/>
        <v>0.70574450442871894</v>
      </c>
      <c r="M447" s="13">
        <f t="shared" si="92"/>
        <v>0.63587955203565039</v>
      </c>
      <c r="N447" s="13">
        <f t="shared" si="93"/>
        <v>3.396782089130153</v>
      </c>
      <c r="O447" s="13">
        <f t="shared" si="94"/>
        <v>0.96760381614757374</v>
      </c>
      <c r="P447" s="12">
        <f t="shared" si="95"/>
        <v>1</v>
      </c>
      <c r="Q447" s="13">
        <f t="shared" si="96"/>
        <v>-3.2396183852426264E-2</v>
      </c>
      <c r="R447" s="13">
        <f t="shared" si="97"/>
        <v>1.0495127282002042E-3</v>
      </c>
      <c r="T447" s="12">
        <f t="shared" si="98"/>
        <v>1</v>
      </c>
    </row>
    <row r="448" spans="1:20" x14ac:dyDescent="0.3">
      <c r="A448" s="23"/>
      <c r="B448" s="12">
        <v>19</v>
      </c>
      <c r="C448" s="12">
        <v>5.0999999999999996</v>
      </c>
      <c r="D448" s="12">
        <v>2.5</v>
      </c>
      <c r="E448" s="12">
        <v>3</v>
      </c>
      <c r="F448" s="12">
        <v>1.1000000000000001</v>
      </c>
      <c r="G448" s="12">
        <v>1</v>
      </c>
      <c r="I448" s="13">
        <f t="shared" si="88"/>
        <v>0.34229138422269678</v>
      </c>
      <c r="J448" s="13">
        <f t="shared" si="89"/>
        <v>-9.4390655835536241E-2</v>
      </c>
      <c r="K448" s="13">
        <f t="shared" si="90"/>
        <v>-7.642483296622618E-2</v>
      </c>
      <c r="L448" s="13">
        <f t="shared" si="91"/>
        <v>0.70574450442871894</v>
      </c>
      <c r="M448" s="13">
        <f t="shared" si="92"/>
        <v>0.63587955203565039</v>
      </c>
      <c r="N448" s="13">
        <f t="shared" si="93"/>
        <v>2.486537977571269</v>
      </c>
      <c r="O448" s="13">
        <f t="shared" si="94"/>
        <v>0.92319267708592079</v>
      </c>
      <c r="P448" s="12">
        <f t="shared" si="95"/>
        <v>1</v>
      </c>
      <c r="Q448" s="13">
        <f t="shared" si="96"/>
        <v>-7.6807322914079212E-2</v>
      </c>
      <c r="R448" s="13">
        <f t="shared" si="97"/>
        <v>5.8993648532276377E-3</v>
      </c>
      <c r="T448" s="12">
        <f t="shared" si="98"/>
        <v>1</v>
      </c>
    </row>
    <row r="449" spans="1:23" x14ac:dyDescent="0.3">
      <c r="A449" s="23"/>
      <c r="B449" s="12">
        <v>20</v>
      </c>
      <c r="C449" s="12">
        <v>5.7</v>
      </c>
      <c r="D449" s="12">
        <v>2.8</v>
      </c>
      <c r="E449" s="12">
        <v>4.0999999999999996</v>
      </c>
      <c r="F449" s="12">
        <v>1.3</v>
      </c>
      <c r="G449" s="12">
        <v>1</v>
      </c>
      <c r="I449" s="13">
        <f t="shared" si="88"/>
        <v>0.34229138422269678</v>
      </c>
      <c r="J449" s="13">
        <f t="shared" si="89"/>
        <v>-9.4390655835536241E-2</v>
      </c>
      <c r="K449" s="13">
        <f t="shared" si="90"/>
        <v>-7.642483296622618E-2</v>
      </c>
      <c r="L449" s="13">
        <f t="shared" si="91"/>
        <v>0.70574450442871894</v>
      </c>
      <c r="M449" s="13">
        <f t="shared" si="92"/>
        <v>0.63587955203565039</v>
      </c>
      <c r="N449" s="13">
        <f t="shared" si="93"/>
        <v>3.3104709994587997</v>
      </c>
      <c r="O449" s="13">
        <f t="shared" si="94"/>
        <v>0.96478628589581517</v>
      </c>
      <c r="P449" s="12">
        <f t="shared" si="95"/>
        <v>1</v>
      </c>
      <c r="Q449" s="13">
        <f t="shared" si="96"/>
        <v>-3.5213714104184834E-2</v>
      </c>
      <c r="R449" s="13">
        <f t="shared" si="97"/>
        <v>1.2400056610112659E-3</v>
      </c>
      <c r="T449" s="12">
        <f t="shared" si="98"/>
        <v>1</v>
      </c>
      <c r="V449" s="17">
        <f>AVERAGE(T430:T449)</f>
        <v>0.5</v>
      </c>
      <c r="W449" s="16">
        <f>AVERAGE(R430:R449)</f>
        <v>0.24596642301729213</v>
      </c>
    </row>
    <row r="450" spans="1:23" x14ac:dyDescent="0.3">
      <c r="A450" s="23" t="s">
        <v>93</v>
      </c>
      <c r="B450" s="12">
        <v>1</v>
      </c>
      <c r="C450" s="12">
        <v>5</v>
      </c>
      <c r="D450" s="12">
        <v>3.5</v>
      </c>
      <c r="E450" s="12">
        <v>1.3</v>
      </c>
      <c r="F450" s="12">
        <v>0.3</v>
      </c>
      <c r="G450" s="12">
        <v>0</v>
      </c>
      <c r="I450" s="13">
        <f>I244</f>
        <v>0.31031446875768592</v>
      </c>
      <c r="J450" s="13">
        <f>J244</f>
        <v>-0.15316870996719134</v>
      </c>
      <c r="K450" s="13">
        <f>K244</f>
        <v>-0.20366149804379771</v>
      </c>
      <c r="L450" s="13">
        <f>L244</f>
        <v>0.86393589091464207</v>
      </c>
      <c r="M450" s="13">
        <f>M244</f>
        <v>0.7086351137033905</v>
      </c>
      <c r="N450" s="13">
        <f t="shared" si="93"/>
        <v>0.16736286806848921</v>
      </c>
      <c r="O450" s="13">
        <f t="shared" si="94"/>
        <v>0.54174332544879744</v>
      </c>
      <c r="P450" s="12">
        <f t="shared" si="95"/>
        <v>1</v>
      </c>
      <c r="Q450" s="13">
        <f t="shared" si="96"/>
        <v>0.54174332544879744</v>
      </c>
      <c r="R450" s="13">
        <f t="shared" si="97"/>
        <v>0.29348583066832168</v>
      </c>
      <c r="T450" s="12">
        <f t="shared" si="98"/>
        <v>0</v>
      </c>
    </row>
    <row r="451" spans="1:23" x14ac:dyDescent="0.3">
      <c r="A451" s="23"/>
      <c r="B451" s="12">
        <v>2</v>
      </c>
      <c r="C451" s="12">
        <v>4.5</v>
      </c>
      <c r="D451" s="12">
        <v>2.2999999999999998</v>
      </c>
      <c r="E451" s="12">
        <v>1.3</v>
      </c>
      <c r="F451" s="12">
        <v>0.3</v>
      </c>
      <c r="G451" s="12">
        <v>0</v>
      </c>
      <c r="I451" s="13">
        <f t="shared" ref="I451:I469" si="99">I450</f>
        <v>0.31031446875768592</v>
      </c>
      <c r="J451" s="13">
        <f t="shared" ref="J451:J469" si="100">J450</f>
        <v>-0.15316870996719134</v>
      </c>
      <c r="K451" s="13">
        <f t="shared" ref="K451:K469" si="101">K450</f>
        <v>-0.20366149804379771</v>
      </c>
      <c r="L451" s="13">
        <f t="shared" ref="L451:L469" si="102">L450</f>
        <v>0.86393589091464207</v>
      </c>
      <c r="M451" s="13">
        <f t="shared" ref="M451:M469" si="103">M450</f>
        <v>0.7086351137033905</v>
      </c>
      <c r="N451" s="13">
        <f t="shared" si="93"/>
        <v>0.48834102070464225</v>
      </c>
      <c r="O451" s="13">
        <f t="shared" si="94"/>
        <v>0.61971554141950735</v>
      </c>
      <c r="P451" s="12">
        <f t="shared" si="95"/>
        <v>1</v>
      </c>
      <c r="Q451" s="13">
        <f t="shared" si="96"/>
        <v>0.61971554141950735</v>
      </c>
      <c r="R451" s="13">
        <f t="shared" si="97"/>
        <v>0.38404735227687314</v>
      </c>
      <c r="T451" s="12">
        <f t="shared" si="98"/>
        <v>0</v>
      </c>
    </row>
    <row r="452" spans="1:23" x14ac:dyDescent="0.3">
      <c r="A452" s="23"/>
      <c r="B452" s="12">
        <v>3</v>
      </c>
      <c r="C452" s="12">
        <v>4.4000000000000004</v>
      </c>
      <c r="D452" s="12">
        <v>3.2</v>
      </c>
      <c r="E452" s="12">
        <v>1.3</v>
      </c>
      <c r="F452" s="12">
        <v>0.2</v>
      </c>
      <c r="G452" s="12">
        <v>0</v>
      </c>
      <c r="I452" s="13">
        <f t="shared" si="99"/>
        <v>0.31031446875768592</v>
      </c>
      <c r="J452" s="13">
        <f t="shared" si="100"/>
        <v>-0.15316870996719134</v>
      </c>
      <c r="K452" s="13">
        <f t="shared" si="101"/>
        <v>-0.20366149804379771</v>
      </c>
      <c r="L452" s="13">
        <f t="shared" si="102"/>
        <v>0.86393589091464207</v>
      </c>
      <c r="M452" s="13">
        <f t="shared" si="103"/>
        <v>0.7086351137033905</v>
      </c>
      <c r="N452" s="13">
        <f t="shared" si="93"/>
        <v>0.24949903209160434</v>
      </c>
      <c r="O452" s="13">
        <f t="shared" si="94"/>
        <v>0.56205319177087754</v>
      </c>
      <c r="P452" s="12">
        <f t="shared" si="95"/>
        <v>1</v>
      </c>
      <c r="Q452" s="13">
        <f t="shared" si="96"/>
        <v>0.56205319177087754</v>
      </c>
      <c r="R452" s="13">
        <f t="shared" si="97"/>
        <v>0.31590379037983085</v>
      </c>
      <c r="T452" s="12">
        <f t="shared" si="98"/>
        <v>0</v>
      </c>
    </row>
    <row r="453" spans="1:23" x14ac:dyDescent="0.3">
      <c r="A453" s="23"/>
      <c r="B453" s="12">
        <v>4</v>
      </c>
      <c r="C453" s="12">
        <v>5</v>
      </c>
      <c r="D453" s="12">
        <v>3.5</v>
      </c>
      <c r="E453" s="12">
        <v>1.6</v>
      </c>
      <c r="F453" s="12">
        <v>0.6</v>
      </c>
      <c r="G453" s="12">
        <v>0</v>
      </c>
      <c r="I453" s="13">
        <f t="shared" si="99"/>
        <v>0.31031446875768592</v>
      </c>
      <c r="J453" s="13">
        <f t="shared" si="100"/>
        <v>-0.15316870996719134</v>
      </c>
      <c r="K453" s="13">
        <f t="shared" si="101"/>
        <v>-0.20366149804379771</v>
      </c>
      <c r="L453" s="13">
        <f t="shared" si="102"/>
        <v>0.86393589091464207</v>
      </c>
      <c r="M453" s="13">
        <f t="shared" si="103"/>
        <v>0.7086351137033905</v>
      </c>
      <c r="N453" s="13">
        <f t="shared" si="93"/>
        <v>0.639134169453899</v>
      </c>
      <c r="O453" s="13">
        <f t="shared" si="94"/>
        <v>0.65455771221212389</v>
      </c>
      <c r="P453" s="12">
        <f t="shared" si="95"/>
        <v>1</v>
      </c>
      <c r="Q453" s="13">
        <f t="shared" si="96"/>
        <v>0.65455771221212389</v>
      </c>
      <c r="R453" s="13">
        <f t="shared" si="97"/>
        <v>0.42844579861636961</v>
      </c>
      <c r="T453" s="12">
        <f t="shared" si="98"/>
        <v>0</v>
      </c>
    </row>
    <row r="454" spans="1:23" x14ac:dyDescent="0.3">
      <c r="A454" s="23"/>
      <c r="B454" s="12">
        <v>5</v>
      </c>
      <c r="C454" s="12">
        <v>5.0999999999999996</v>
      </c>
      <c r="D454" s="12">
        <v>3.8</v>
      </c>
      <c r="E454" s="12">
        <v>1.9</v>
      </c>
      <c r="F454" s="12">
        <v>0.4</v>
      </c>
      <c r="G454" s="12">
        <v>0</v>
      </c>
      <c r="I454" s="13">
        <f t="shared" si="99"/>
        <v>0.31031446875768592</v>
      </c>
      <c r="J454" s="13">
        <f t="shared" si="100"/>
        <v>-0.15316870996719134</v>
      </c>
      <c r="K454" s="13">
        <f t="shared" si="101"/>
        <v>-0.20366149804379771</v>
      </c>
      <c r="L454" s="13">
        <f t="shared" si="102"/>
        <v>0.86393589091464207</v>
      </c>
      <c r="M454" s="13">
        <f t="shared" si="103"/>
        <v>0.7086351137033905</v>
      </c>
      <c r="N454" s="13">
        <f t="shared" si="93"/>
        <v>0.68017259357775506</v>
      </c>
      <c r="O454" s="13">
        <f t="shared" si="94"/>
        <v>0.66377721741398021</v>
      </c>
      <c r="P454" s="12">
        <f t="shared" si="95"/>
        <v>1</v>
      </c>
      <c r="Q454" s="13">
        <f t="shared" si="96"/>
        <v>0.66377721741398021</v>
      </c>
      <c r="R454" s="13">
        <f t="shared" si="97"/>
        <v>0.44060019435784636</v>
      </c>
      <c r="T454" s="12">
        <f t="shared" si="98"/>
        <v>0</v>
      </c>
    </row>
    <row r="455" spans="1:23" x14ac:dyDescent="0.3">
      <c r="A455" s="23"/>
      <c r="B455" s="12">
        <v>6</v>
      </c>
      <c r="C455" s="12">
        <v>4.8</v>
      </c>
      <c r="D455" s="12">
        <v>3</v>
      </c>
      <c r="E455" s="12">
        <v>1.4</v>
      </c>
      <c r="F455" s="12">
        <v>0.3</v>
      </c>
      <c r="G455" s="12">
        <v>0</v>
      </c>
      <c r="I455" s="13">
        <f t="shared" si="99"/>
        <v>0.31031446875768592</v>
      </c>
      <c r="J455" s="13">
        <f t="shared" si="100"/>
        <v>-0.15316870996719134</v>
      </c>
      <c r="K455" s="13">
        <f t="shared" si="101"/>
        <v>-0.20366149804379771</v>
      </c>
      <c r="L455" s="13">
        <f t="shared" si="102"/>
        <v>0.86393589091464207</v>
      </c>
      <c r="M455" s="13">
        <f t="shared" si="103"/>
        <v>0.7086351137033905</v>
      </c>
      <c r="N455" s="13">
        <f t="shared" si="93"/>
        <v>0.3862209481752904</v>
      </c>
      <c r="O455" s="13">
        <f t="shared" si="94"/>
        <v>0.59537263945575924</v>
      </c>
      <c r="P455" s="12">
        <f t="shared" si="95"/>
        <v>1</v>
      </c>
      <c r="Q455" s="13">
        <f t="shared" si="96"/>
        <v>0.59537263945575924</v>
      </c>
      <c r="R455" s="13">
        <f t="shared" si="97"/>
        <v>0.3544685798125175</v>
      </c>
      <c r="T455" s="12">
        <f t="shared" si="98"/>
        <v>0</v>
      </c>
    </row>
    <row r="456" spans="1:23" x14ac:dyDescent="0.3">
      <c r="A456" s="23"/>
      <c r="B456" s="12">
        <v>7</v>
      </c>
      <c r="C456" s="12">
        <v>5.0999999999999996</v>
      </c>
      <c r="D456" s="12">
        <v>3.8</v>
      </c>
      <c r="E456" s="12">
        <v>1.6</v>
      </c>
      <c r="F456" s="12">
        <v>0.2</v>
      </c>
      <c r="G456" s="12">
        <v>0</v>
      </c>
      <c r="I456" s="13">
        <f t="shared" si="99"/>
        <v>0.31031446875768592</v>
      </c>
      <c r="J456" s="13">
        <f t="shared" si="100"/>
        <v>-0.15316870996719134</v>
      </c>
      <c r="K456" s="13">
        <f t="shared" si="101"/>
        <v>-0.20366149804379771</v>
      </c>
      <c r="L456" s="13">
        <f t="shared" si="102"/>
        <v>0.86393589091464207</v>
      </c>
      <c r="M456" s="13">
        <f t="shared" si="103"/>
        <v>0.7086351137033905</v>
      </c>
      <c r="N456" s="13">
        <f t="shared" si="93"/>
        <v>0.27926480356268452</v>
      </c>
      <c r="O456" s="13">
        <f t="shared" si="94"/>
        <v>0.56936597152958213</v>
      </c>
      <c r="P456" s="12">
        <f t="shared" si="95"/>
        <v>1</v>
      </c>
      <c r="Q456" s="13">
        <f t="shared" si="96"/>
        <v>0.56936597152958213</v>
      </c>
      <c r="R456" s="13">
        <f t="shared" si="97"/>
        <v>0.32417760953582492</v>
      </c>
      <c r="T456" s="12">
        <f t="shared" si="98"/>
        <v>0</v>
      </c>
    </row>
    <row r="457" spans="1:23" x14ac:dyDescent="0.3">
      <c r="A457" s="23"/>
      <c r="B457" s="12">
        <v>8</v>
      </c>
      <c r="C457" s="12">
        <v>4.5999999999999996</v>
      </c>
      <c r="D457" s="12">
        <v>3.2</v>
      </c>
      <c r="E457" s="12">
        <v>1.4</v>
      </c>
      <c r="F457" s="12">
        <v>0.2</v>
      </c>
      <c r="G457" s="12">
        <v>0</v>
      </c>
      <c r="I457" s="13">
        <f t="shared" si="99"/>
        <v>0.31031446875768592</v>
      </c>
      <c r="J457" s="13">
        <f t="shared" si="100"/>
        <v>-0.15316870996719134</v>
      </c>
      <c r="K457" s="13">
        <f t="shared" si="101"/>
        <v>-0.20366149804379771</v>
      </c>
      <c r="L457" s="13">
        <f t="shared" si="102"/>
        <v>0.86393589091464207</v>
      </c>
      <c r="M457" s="13">
        <f t="shared" si="103"/>
        <v>0.7086351137033905</v>
      </c>
      <c r="N457" s="13">
        <f t="shared" si="93"/>
        <v>0.30525887918962996</v>
      </c>
      <c r="O457" s="13">
        <f t="shared" si="94"/>
        <v>0.57572758749323272</v>
      </c>
      <c r="P457" s="12">
        <f t="shared" si="95"/>
        <v>1</v>
      </c>
      <c r="Q457" s="13">
        <f t="shared" si="96"/>
        <v>0.57572758749323272</v>
      </c>
      <c r="R457" s="13">
        <f t="shared" si="97"/>
        <v>0.33146225500077792</v>
      </c>
      <c r="T457" s="12">
        <f t="shared" si="98"/>
        <v>0</v>
      </c>
    </row>
    <row r="458" spans="1:23" x14ac:dyDescent="0.3">
      <c r="A458" s="23"/>
      <c r="B458" s="12">
        <v>9</v>
      </c>
      <c r="C458" s="12">
        <v>5.3</v>
      </c>
      <c r="D458" s="12">
        <v>3.7</v>
      </c>
      <c r="E458" s="12">
        <v>1.5</v>
      </c>
      <c r="F458" s="12">
        <v>0.2</v>
      </c>
      <c r="G458" s="12">
        <v>0</v>
      </c>
      <c r="I458" s="13">
        <f t="shared" si="99"/>
        <v>0.31031446875768592</v>
      </c>
      <c r="J458" s="13">
        <f t="shared" si="100"/>
        <v>-0.15316870996719134</v>
      </c>
      <c r="K458" s="13">
        <f t="shared" si="101"/>
        <v>-0.20366149804379771</v>
      </c>
      <c r="L458" s="13">
        <f t="shared" si="102"/>
        <v>0.86393589091464207</v>
      </c>
      <c r="M458" s="13">
        <f t="shared" si="103"/>
        <v>0.7086351137033905</v>
      </c>
      <c r="N458" s="13">
        <f t="shared" si="93"/>
        <v>0.18260362228216137</v>
      </c>
      <c r="O458" s="13">
        <f t="shared" si="94"/>
        <v>0.54552447814958105</v>
      </c>
      <c r="P458" s="12">
        <f t="shared" si="95"/>
        <v>1</v>
      </c>
      <c r="Q458" s="13">
        <f t="shared" si="96"/>
        <v>0.54552447814958105</v>
      </c>
      <c r="R458" s="13">
        <f t="shared" si="97"/>
        <v>0.29759695626037275</v>
      </c>
      <c r="T458" s="12">
        <f t="shared" si="98"/>
        <v>0</v>
      </c>
    </row>
    <row r="459" spans="1:23" x14ac:dyDescent="0.3">
      <c r="A459" s="23"/>
      <c r="B459" s="12">
        <v>10</v>
      </c>
      <c r="C459" s="12">
        <v>5</v>
      </c>
      <c r="D459" s="12">
        <v>3.3</v>
      </c>
      <c r="E459" s="12">
        <v>1.4</v>
      </c>
      <c r="F459" s="12">
        <v>0.2</v>
      </c>
      <c r="G459" s="12">
        <v>0</v>
      </c>
      <c r="I459" s="13">
        <f t="shared" si="99"/>
        <v>0.31031446875768592</v>
      </c>
      <c r="J459" s="13">
        <f t="shared" si="100"/>
        <v>-0.15316870996719134</v>
      </c>
      <c r="K459" s="13">
        <f t="shared" si="101"/>
        <v>-0.20366149804379771</v>
      </c>
      <c r="L459" s="13">
        <f t="shared" si="102"/>
        <v>0.86393589091464207</v>
      </c>
      <c r="M459" s="13">
        <f t="shared" si="103"/>
        <v>0.7086351137033905</v>
      </c>
      <c r="N459" s="13">
        <f t="shared" si="93"/>
        <v>0.22362524539837375</v>
      </c>
      <c r="O459" s="13">
        <f t="shared" si="94"/>
        <v>0.55567448918140372</v>
      </c>
      <c r="P459" s="12">
        <f t="shared" si="95"/>
        <v>1</v>
      </c>
      <c r="Q459" s="13">
        <f t="shared" si="96"/>
        <v>0.55567448918140372</v>
      </c>
      <c r="R459" s="13">
        <f t="shared" si="97"/>
        <v>0.30877413792701397</v>
      </c>
      <c r="T459" s="12">
        <f t="shared" si="98"/>
        <v>0</v>
      </c>
    </row>
    <row r="460" spans="1:23" x14ac:dyDescent="0.3">
      <c r="A460" s="23"/>
      <c r="B460" s="12">
        <v>11</v>
      </c>
      <c r="C460" s="12">
        <v>5.5</v>
      </c>
      <c r="D460" s="12">
        <v>2.6</v>
      </c>
      <c r="E460" s="12">
        <v>4.4000000000000004</v>
      </c>
      <c r="F460" s="12">
        <v>1.2</v>
      </c>
      <c r="G460" s="12">
        <v>1</v>
      </c>
      <c r="I460" s="13">
        <f t="shared" si="99"/>
        <v>0.31031446875768592</v>
      </c>
      <c r="J460" s="13">
        <f t="shared" si="100"/>
        <v>-0.15316870996719134</v>
      </c>
      <c r="K460" s="13">
        <f t="shared" si="101"/>
        <v>-0.20366149804379771</v>
      </c>
      <c r="L460" s="13">
        <f t="shared" si="102"/>
        <v>0.86393589091464207</v>
      </c>
      <c r="M460" s="13">
        <f t="shared" si="103"/>
        <v>0.7086351137033905</v>
      </c>
      <c r="N460" s="13">
        <f t="shared" si="93"/>
        <v>3.5900467254927535</v>
      </c>
      <c r="O460" s="13">
        <f t="shared" si="94"/>
        <v>0.97314410239697802</v>
      </c>
      <c r="P460" s="12">
        <f t="shared" si="95"/>
        <v>1</v>
      </c>
      <c r="Q460" s="13">
        <f t="shared" si="96"/>
        <v>-2.6855897603021983E-2</v>
      </c>
      <c r="R460" s="13">
        <f t="shared" si="97"/>
        <v>7.2123923606400193E-4</v>
      </c>
      <c r="T460" s="12">
        <f t="shared" si="98"/>
        <v>1</v>
      </c>
    </row>
    <row r="461" spans="1:23" x14ac:dyDescent="0.3">
      <c r="A461" s="23"/>
      <c r="B461" s="12">
        <v>12</v>
      </c>
      <c r="C461" s="12">
        <v>6.1</v>
      </c>
      <c r="D461" s="12">
        <v>3</v>
      </c>
      <c r="E461" s="12">
        <v>4.5999999999999996</v>
      </c>
      <c r="F461" s="12">
        <v>1.4</v>
      </c>
      <c r="G461" s="12">
        <v>1</v>
      </c>
      <c r="I461" s="13">
        <f t="shared" si="99"/>
        <v>0.31031446875768592</v>
      </c>
      <c r="J461" s="13">
        <f t="shared" si="100"/>
        <v>-0.15316870996719134</v>
      </c>
      <c r="K461" s="13">
        <f t="shared" si="101"/>
        <v>-0.20366149804379771</v>
      </c>
      <c r="L461" s="13">
        <f t="shared" si="102"/>
        <v>0.86393589091464207</v>
      </c>
      <c r="M461" s="13">
        <f t="shared" si="103"/>
        <v>0.7086351137033905</v>
      </c>
      <c r="N461" s="13">
        <f t="shared" si="93"/>
        <v>3.7311951012185256</v>
      </c>
      <c r="O461" s="13">
        <f t="shared" si="94"/>
        <v>0.97659666267059264</v>
      </c>
      <c r="P461" s="12">
        <f t="shared" si="95"/>
        <v>1</v>
      </c>
      <c r="Q461" s="13">
        <f t="shared" si="96"/>
        <v>-2.3403337329407359E-2</v>
      </c>
      <c r="R461" s="13">
        <f t="shared" si="97"/>
        <v>5.4771619815403199E-4</v>
      </c>
      <c r="T461" s="12">
        <f t="shared" si="98"/>
        <v>1</v>
      </c>
    </row>
    <row r="462" spans="1:23" x14ac:dyDescent="0.3">
      <c r="A462" s="23"/>
      <c r="B462" s="12">
        <v>13</v>
      </c>
      <c r="C462" s="12">
        <v>5.8</v>
      </c>
      <c r="D462" s="12">
        <v>2.6</v>
      </c>
      <c r="E462" s="12">
        <v>4</v>
      </c>
      <c r="F462" s="12">
        <v>1.2</v>
      </c>
      <c r="G462" s="12">
        <v>1</v>
      </c>
      <c r="I462" s="13">
        <f t="shared" si="99"/>
        <v>0.31031446875768592</v>
      </c>
      <c r="J462" s="13">
        <f t="shared" si="100"/>
        <v>-0.15316870996719134</v>
      </c>
      <c r="K462" s="13">
        <f t="shared" si="101"/>
        <v>-0.20366149804379771</v>
      </c>
      <c r="L462" s="13">
        <f t="shared" si="102"/>
        <v>0.86393589091464207</v>
      </c>
      <c r="M462" s="13">
        <f t="shared" si="103"/>
        <v>0.7086351137033905</v>
      </c>
      <c r="N462" s="13">
        <f t="shared" si="93"/>
        <v>3.1985217561367389</v>
      </c>
      <c r="O462" s="13">
        <f t="shared" si="94"/>
        <v>0.96077861036018208</v>
      </c>
      <c r="P462" s="12">
        <f t="shared" si="95"/>
        <v>1</v>
      </c>
      <c r="Q462" s="13">
        <f t="shared" si="96"/>
        <v>-3.9221389639817916E-2</v>
      </c>
      <c r="R462" s="13">
        <f t="shared" si="97"/>
        <v>1.5383174052784163E-3</v>
      </c>
      <c r="T462" s="12">
        <f t="shared" si="98"/>
        <v>1</v>
      </c>
    </row>
    <row r="463" spans="1:23" x14ac:dyDescent="0.3">
      <c r="A463" s="23"/>
      <c r="B463" s="12">
        <v>14</v>
      </c>
      <c r="C463" s="12">
        <v>5</v>
      </c>
      <c r="D463" s="12">
        <v>2.2999999999999998</v>
      </c>
      <c r="E463" s="12">
        <v>3.3</v>
      </c>
      <c r="F463" s="12">
        <v>1</v>
      </c>
      <c r="G463" s="12">
        <v>1</v>
      </c>
      <c r="I463" s="13">
        <f t="shared" si="99"/>
        <v>0.31031446875768592</v>
      </c>
      <c r="J463" s="13">
        <f t="shared" si="100"/>
        <v>-0.15316870996719134</v>
      </c>
      <c r="K463" s="13">
        <f t="shared" si="101"/>
        <v>-0.20366149804379771</v>
      </c>
      <c r="L463" s="13">
        <f t="shared" si="102"/>
        <v>0.86393589091464207</v>
      </c>
      <c r="M463" s="13">
        <f t="shared" si="103"/>
        <v>0.7086351137033905</v>
      </c>
      <c r="N463" s="13">
        <f t="shared" si="93"/>
        <v>2.6356730271427038</v>
      </c>
      <c r="O463" s="13">
        <f t="shared" si="94"/>
        <v>0.93312244544045508</v>
      </c>
      <c r="P463" s="12">
        <f t="shared" si="95"/>
        <v>1</v>
      </c>
      <c r="Q463" s="13">
        <f t="shared" si="96"/>
        <v>-6.6877554559544916E-2</v>
      </c>
      <c r="R463" s="13">
        <f t="shared" si="97"/>
        <v>4.4726073038649072E-3</v>
      </c>
      <c r="T463" s="12">
        <f t="shared" si="98"/>
        <v>1</v>
      </c>
    </row>
    <row r="464" spans="1:23" x14ac:dyDescent="0.3">
      <c r="A464" s="23"/>
      <c r="B464" s="12">
        <v>15</v>
      </c>
      <c r="C464" s="12">
        <v>5.6</v>
      </c>
      <c r="D464" s="12">
        <v>2.7</v>
      </c>
      <c r="E464" s="12">
        <v>4.2</v>
      </c>
      <c r="F464" s="12">
        <v>1.3</v>
      </c>
      <c r="G464" s="12">
        <v>1</v>
      </c>
      <c r="I464" s="13">
        <f t="shared" si="99"/>
        <v>0.31031446875768592</v>
      </c>
      <c r="J464" s="13">
        <f t="shared" si="100"/>
        <v>-0.15316870996719134</v>
      </c>
      <c r="K464" s="13">
        <f t="shared" si="101"/>
        <v>-0.20366149804379771</v>
      </c>
      <c r="L464" s="13">
        <f t="shared" si="102"/>
        <v>0.86393589091464207</v>
      </c>
      <c r="M464" s="13">
        <f t="shared" si="103"/>
        <v>0.7086351137033905</v>
      </c>
      <c r="N464" s="13">
        <f t="shared" si="93"/>
        <v>3.4524400378790649</v>
      </c>
      <c r="O464" s="13">
        <f t="shared" si="94"/>
        <v>0.96930382453103447</v>
      </c>
      <c r="P464" s="12">
        <f t="shared" si="95"/>
        <v>1</v>
      </c>
      <c r="Q464" s="13">
        <f t="shared" si="96"/>
        <v>-3.0696175468965525E-2</v>
      </c>
      <c r="R464" s="13">
        <f t="shared" si="97"/>
        <v>9.4225518842152092E-4</v>
      </c>
      <c r="T464" s="12">
        <f t="shared" si="98"/>
        <v>1</v>
      </c>
    </row>
    <row r="465" spans="1:23" x14ac:dyDescent="0.3">
      <c r="A465" s="23"/>
      <c r="B465" s="12">
        <v>16</v>
      </c>
      <c r="C465" s="12">
        <v>5.7</v>
      </c>
      <c r="D465" s="12">
        <v>3</v>
      </c>
      <c r="E465" s="12">
        <v>4.2</v>
      </c>
      <c r="F465" s="12">
        <v>1.2</v>
      </c>
      <c r="G465" s="12">
        <v>1</v>
      </c>
      <c r="I465" s="13">
        <f t="shared" si="99"/>
        <v>0.31031446875768592</v>
      </c>
      <c r="J465" s="13">
        <f t="shared" si="100"/>
        <v>-0.15316870996719134</v>
      </c>
      <c r="K465" s="13">
        <f t="shared" si="101"/>
        <v>-0.20366149804379771</v>
      </c>
      <c r="L465" s="13">
        <f t="shared" si="102"/>
        <v>0.86393589091464207</v>
      </c>
      <c r="M465" s="13">
        <f t="shared" si="103"/>
        <v>0.7086351137033905</v>
      </c>
      <c r="N465" s="13">
        <f t="shared" si="93"/>
        <v>3.3051612060988673</v>
      </c>
      <c r="O465" s="13">
        <f t="shared" si="94"/>
        <v>0.96460544665256276</v>
      </c>
      <c r="P465" s="12">
        <f t="shared" si="95"/>
        <v>1</v>
      </c>
      <c r="Q465" s="13">
        <f t="shared" si="96"/>
        <v>-3.5394553347437241E-2</v>
      </c>
      <c r="R465" s="13">
        <f t="shared" si="97"/>
        <v>1.2527744066645808E-3</v>
      </c>
      <c r="T465" s="12">
        <f t="shared" si="98"/>
        <v>1</v>
      </c>
    </row>
    <row r="466" spans="1:23" x14ac:dyDescent="0.3">
      <c r="A466" s="23"/>
      <c r="B466" s="12">
        <v>17</v>
      </c>
      <c r="C466" s="12">
        <v>5.7</v>
      </c>
      <c r="D466" s="12">
        <v>2.9</v>
      </c>
      <c r="E466" s="12">
        <v>4.2</v>
      </c>
      <c r="F466" s="12">
        <v>1.3</v>
      </c>
      <c r="G466" s="12">
        <v>1</v>
      </c>
      <c r="I466" s="13">
        <f t="shared" si="99"/>
        <v>0.31031446875768592</v>
      </c>
      <c r="J466" s="13">
        <f t="shared" si="100"/>
        <v>-0.15316870996719134</v>
      </c>
      <c r="K466" s="13">
        <f t="shared" si="101"/>
        <v>-0.20366149804379771</v>
      </c>
      <c r="L466" s="13">
        <f t="shared" si="102"/>
        <v>0.86393589091464207</v>
      </c>
      <c r="M466" s="13">
        <f t="shared" si="103"/>
        <v>0.7086351137033905</v>
      </c>
      <c r="N466" s="13">
        <f t="shared" si="93"/>
        <v>3.3963908672735861</v>
      </c>
      <c r="O466" s="13">
        <f t="shared" si="94"/>
        <v>0.96759155040099898</v>
      </c>
      <c r="P466" s="12">
        <f t="shared" si="95"/>
        <v>1</v>
      </c>
      <c r="Q466" s="13">
        <f t="shared" si="96"/>
        <v>-3.2408449599001021E-2</v>
      </c>
      <c r="R466" s="13">
        <f t="shared" si="97"/>
        <v>1.0503076054109895E-3</v>
      </c>
      <c r="T466" s="12">
        <f t="shared" si="98"/>
        <v>1</v>
      </c>
    </row>
    <row r="467" spans="1:23" x14ac:dyDescent="0.3">
      <c r="A467" s="23"/>
      <c r="B467" s="12">
        <v>18</v>
      </c>
      <c r="C467" s="12">
        <v>6.2</v>
      </c>
      <c r="D467" s="12">
        <v>2.9</v>
      </c>
      <c r="E467" s="12">
        <v>4.3</v>
      </c>
      <c r="F467" s="12">
        <v>1.3</v>
      </c>
      <c r="G467" s="12">
        <v>1</v>
      </c>
      <c r="I467" s="13">
        <f t="shared" si="99"/>
        <v>0.31031446875768592</v>
      </c>
      <c r="J467" s="13">
        <f t="shared" si="100"/>
        <v>-0.15316870996719134</v>
      </c>
      <c r="K467" s="13">
        <f t="shared" si="101"/>
        <v>-0.20366149804379771</v>
      </c>
      <c r="L467" s="13">
        <f t="shared" si="102"/>
        <v>0.86393589091464207</v>
      </c>
      <c r="M467" s="13">
        <f t="shared" si="103"/>
        <v>0.7086351137033905</v>
      </c>
      <c r="N467" s="13">
        <f t="shared" si="93"/>
        <v>3.4062001013814549</v>
      </c>
      <c r="O467" s="13">
        <f t="shared" si="94"/>
        <v>0.96789774288417418</v>
      </c>
      <c r="P467" s="12">
        <f t="shared" si="95"/>
        <v>1</v>
      </c>
      <c r="Q467" s="13">
        <f t="shared" si="96"/>
        <v>-3.2102257115825816E-2</v>
      </c>
      <c r="R467" s="13">
        <f t="shared" si="97"/>
        <v>1.0305549119305894E-3</v>
      </c>
      <c r="T467" s="12">
        <f t="shared" si="98"/>
        <v>1</v>
      </c>
    </row>
    <row r="468" spans="1:23" x14ac:dyDescent="0.3">
      <c r="A468" s="23"/>
      <c r="B468" s="12">
        <v>19</v>
      </c>
      <c r="C468" s="12">
        <v>5.0999999999999996</v>
      </c>
      <c r="D468" s="12">
        <v>2.5</v>
      </c>
      <c r="E468" s="12">
        <v>3</v>
      </c>
      <c r="F468" s="12">
        <v>1.1000000000000001</v>
      </c>
      <c r="G468" s="12">
        <v>1</v>
      </c>
      <c r="I468" s="13">
        <f t="shared" si="99"/>
        <v>0.31031446875768592</v>
      </c>
      <c r="J468" s="13">
        <f t="shared" si="100"/>
        <v>-0.15316870996719134</v>
      </c>
      <c r="K468" s="13">
        <f t="shared" si="101"/>
        <v>-0.20366149804379771</v>
      </c>
      <c r="L468" s="13">
        <f t="shared" si="102"/>
        <v>0.86393589091464207</v>
      </c>
      <c r="M468" s="13">
        <f t="shared" si="103"/>
        <v>0.7086351137033905</v>
      </c>
      <c r="N468" s="13">
        <f t="shared" si="93"/>
        <v>2.3913066006331714</v>
      </c>
      <c r="O468" s="13">
        <f t="shared" si="94"/>
        <v>0.91616198164470408</v>
      </c>
      <c r="P468" s="12">
        <f t="shared" si="95"/>
        <v>1</v>
      </c>
      <c r="Q468" s="13">
        <f t="shared" si="96"/>
        <v>-8.3838018355295918E-2</v>
      </c>
      <c r="R468" s="13">
        <f t="shared" si="97"/>
        <v>7.0288133217429353E-3</v>
      </c>
      <c r="T468" s="12">
        <f t="shared" si="98"/>
        <v>1</v>
      </c>
    </row>
    <row r="469" spans="1:23" x14ac:dyDescent="0.3">
      <c r="A469" s="23"/>
      <c r="B469" s="12">
        <v>20</v>
      </c>
      <c r="C469" s="12">
        <v>5.7</v>
      </c>
      <c r="D469" s="12">
        <v>2.8</v>
      </c>
      <c r="E469" s="12">
        <v>4.0999999999999996</v>
      </c>
      <c r="F469" s="12">
        <v>1.3</v>
      </c>
      <c r="G469" s="12">
        <v>1</v>
      </c>
      <c r="I469" s="13">
        <f t="shared" si="99"/>
        <v>0.31031446875768592</v>
      </c>
      <c r="J469" s="13">
        <f t="shared" si="100"/>
        <v>-0.15316870996719134</v>
      </c>
      <c r="K469" s="13">
        <f t="shared" si="101"/>
        <v>-0.20366149804379771</v>
      </c>
      <c r="L469" s="13">
        <f t="shared" si="102"/>
        <v>0.86393589091464207</v>
      </c>
      <c r="M469" s="13">
        <f t="shared" si="103"/>
        <v>0.7086351137033905</v>
      </c>
      <c r="N469" s="13">
        <f t="shared" si="93"/>
        <v>3.3303634279865011</v>
      </c>
      <c r="O469" s="13">
        <f t="shared" si="94"/>
        <v>0.96545589238279983</v>
      </c>
      <c r="P469" s="12">
        <f t="shared" si="95"/>
        <v>1</v>
      </c>
      <c r="Q469" s="13">
        <f t="shared" si="96"/>
        <v>-3.454410761720017E-2</v>
      </c>
      <c r="R469" s="13">
        <f t="shared" si="97"/>
        <v>1.1932953710687068E-3</v>
      </c>
      <c r="T469" s="12">
        <f t="shared" si="98"/>
        <v>1</v>
      </c>
      <c r="V469" s="17">
        <f>AVERAGE(T450:T469)</f>
        <v>0.5</v>
      </c>
      <c r="W469" s="16">
        <f>AVERAGE(R450:R469)</f>
        <v>0.17493701928921751</v>
      </c>
    </row>
    <row r="470" spans="1:23" x14ac:dyDescent="0.3">
      <c r="A470" s="23" t="s">
        <v>96</v>
      </c>
      <c r="B470" s="12">
        <v>1</v>
      </c>
      <c r="C470" s="12">
        <v>5</v>
      </c>
      <c r="D470" s="12">
        <v>3.5</v>
      </c>
      <c r="E470" s="12">
        <v>1.3</v>
      </c>
      <c r="F470" s="12">
        <v>0.3</v>
      </c>
      <c r="G470" s="12">
        <v>0</v>
      </c>
      <c r="I470" s="13">
        <f>I324</f>
        <v>0.28221641098443218</v>
      </c>
      <c r="J470" s="13">
        <f>J324</f>
        <v>-0.20257496848701015</v>
      </c>
      <c r="K470" s="13">
        <f>K324</f>
        <v>-0.31774287136136764</v>
      </c>
      <c r="L470" s="13">
        <f>L324</f>
        <v>1.0005151269970174</v>
      </c>
      <c r="M470" s="13">
        <f>M324</f>
        <v>0.76995973893172753</v>
      </c>
      <c r="N470" s="13">
        <f t="shared" si="93"/>
        <v>-0.31110089443976424</v>
      </c>
      <c r="O470" s="13">
        <f t="shared" si="94"/>
        <v>0.42284604579307655</v>
      </c>
      <c r="P470" s="12">
        <f t="shared" si="95"/>
        <v>0</v>
      </c>
      <c r="Q470" s="13">
        <f t="shared" si="96"/>
        <v>0.42284604579307655</v>
      </c>
      <c r="R470" s="13">
        <f t="shared" si="97"/>
        <v>0.17879877844284059</v>
      </c>
      <c r="T470" s="12">
        <f t="shared" si="98"/>
        <v>1</v>
      </c>
    </row>
    <row r="471" spans="1:23" x14ac:dyDescent="0.3">
      <c r="A471" s="23"/>
      <c r="B471" s="12">
        <v>2</v>
      </c>
      <c r="C471" s="12">
        <v>4.5</v>
      </c>
      <c r="D471" s="12">
        <v>2.2999999999999998</v>
      </c>
      <c r="E471" s="12">
        <v>1.3</v>
      </c>
      <c r="F471" s="12">
        <v>0.3</v>
      </c>
      <c r="G471" s="12">
        <v>0</v>
      </c>
      <c r="I471" s="13">
        <f t="shared" ref="I471:I489" si="104">I470</f>
        <v>0.28221641098443218</v>
      </c>
      <c r="J471" s="13">
        <f t="shared" ref="J471:J489" si="105">J470</f>
        <v>-0.20257496848701015</v>
      </c>
      <c r="K471" s="13">
        <f t="shared" ref="K471:K489" si="106">K470</f>
        <v>-0.31774287136136764</v>
      </c>
      <c r="L471" s="13">
        <f t="shared" ref="L471:L489" si="107">L470</f>
        <v>1.0005151269970174</v>
      </c>
      <c r="M471" s="13">
        <f t="shared" ref="M471:M489" si="108">M470</f>
        <v>0.76995973893172753</v>
      </c>
      <c r="N471" s="13">
        <f t="shared" si="93"/>
        <v>0.17147803543738188</v>
      </c>
      <c r="O471" s="13">
        <f t="shared" si="94"/>
        <v>0.54276476968444409</v>
      </c>
      <c r="P471" s="12">
        <f t="shared" si="95"/>
        <v>1</v>
      </c>
      <c r="Q471" s="13">
        <f t="shared" si="96"/>
        <v>0.54276476968444409</v>
      </c>
      <c r="R471" s="13">
        <f t="shared" si="97"/>
        <v>0.29459359521060763</v>
      </c>
      <c r="T471" s="12">
        <f t="shared" si="98"/>
        <v>0</v>
      </c>
    </row>
    <row r="472" spans="1:23" x14ac:dyDescent="0.3">
      <c r="A472" s="23"/>
      <c r="B472" s="12">
        <v>3</v>
      </c>
      <c r="C472" s="12">
        <v>4.4000000000000004</v>
      </c>
      <c r="D472" s="12">
        <v>3.2</v>
      </c>
      <c r="E472" s="12">
        <v>1.3</v>
      </c>
      <c r="F472" s="12">
        <v>0.2</v>
      </c>
      <c r="G472" s="12">
        <v>0</v>
      </c>
      <c r="I472" s="13">
        <f t="shared" si="104"/>
        <v>0.28221641098443218</v>
      </c>
      <c r="J472" s="13">
        <f t="shared" si="105"/>
        <v>-0.20257496848701015</v>
      </c>
      <c r="K472" s="13">
        <f t="shared" si="106"/>
        <v>-0.31774287136136764</v>
      </c>
      <c r="L472" s="13">
        <f t="shared" si="107"/>
        <v>1.0005151269970174</v>
      </c>
      <c r="M472" s="13">
        <f t="shared" si="108"/>
        <v>0.76995973893172753</v>
      </c>
      <c r="N472" s="13">
        <f t="shared" si="93"/>
        <v>-0.17122902583232091</v>
      </c>
      <c r="O472" s="13">
        <f t="shared" si="94"/>
        <v>0.45729702797945321</v>
      </c>
      <c r="P472" s="12">
        <f t="shared" si="95"/>
        <v>0</v>
      </c>
      <c r="Q472" s="13">
        <f t="shared" si="96"/>
        <v>0.45729702797945321</v>
      </c>
      <c r="R472" s="13">
        <f t="shared" si="97"/>
        <v>0.2091205717988408</v>
      </c>
      <c r="T472" s="12">
        <f t="shared" si="98"/>
        <v>1</v>
      </c>
    </row>
    <row r="473" spans="1:23" x14ac:dyDescent="0.3">
      <c r="A473" s="23"/>
      <c r="B473" s="12">
        <v>4</v>
      </c>
      <c r="C473" s="12">
        <v>5</v>
      </c>
      <c r="D473" s="12">
        <v>3.5</v>
      </c>
      <c r="E473" s="12">
        <v>1.6</v>
      </c>
      <c r="F473" s="12">
        <v>0.6</v>
      </c>
      <c r="G473" s="12">
        <v>0</v>
      </c>
      <c r="I473" s="13">
        <f t="shared" si="104"/>
        <v>0.28221641098443218</v>
      </c>
      <c r="J473" s="13">
        <f t="shared" si="105"/>
        <v>-0.20257496848701015</v>
      </c>
      <c r="K473" s="13">
        <f t="shared" si="106"/>
        <v>-0.31774287136136764</v>
      </c>
      <c r="L473" s="13">
        <f t="shared" si="107"/>
        <v>1.0005151269970174</v>
      </c>
      <c r="M473" s="13">
        <f t="shared" si="108"/>
        <v>0.76995973893172753</v>
      </c>
      <c r="N473" s="13">
        <f t="shared" si="93"/>
        <v>0.22004156533885932</v>
      </c>
      <c r="O473" s="13">
        <f t="shared" si="94"/>
        <v>0.55478950169075458</v>
      </c>
      <c r="P473" s="12">
        <f t="shared" si="95"/>
        <v>1</v>
      </c>
      <c r="Q473" s="13">
        <f t="shared" si="96"/>
        <v>0.55478950169075458</v>
      </c>
      <c r="R473" s="13">
        <f t="shared" si="97"/>
        <v>0.3077913911862758</v>
      </c>
      <c r="T473" s="12">
        <f t="shared" si="98"/>
        <v>0</v>
      </c>
    </row>
    <row r="474" spans="1:23" x14ac:dyDescent="0.3">
      <c r="A474" s="23"/>
      <c r="B474" s="12">
        <v>5</v>
      </c>
      <c r="C474" s="12">
        <v>5.0999999999999996</v>
      </c>
      <c r="D474" s="12">
        <v>3.8</v>
      </c>
      <c r="E474" s="12">
        <v>1.9</v>
      </c>
      <c r="F474" s="12">
        <v>0.4</v>
      </c>
      <c r="G474" s="12">
        <v>0</v>
      </c>
      <c r="I474" s="13">
        <f t="shared" si="104"/>
        <v>0.28221641098443218</v>
      </c>
      <c r="J474" s="13">
        <f t="shared" si="105"/>
        <v>-0.20257496848701015</v>
      </c>
      <c r="K474" s="13">
        <f t="shared" si="106"/>
        <v>-0.31774287136136764</v>
      </c>
      <c r="L474" s="13">
        <f t="shared" si="107"/>
        <v>1.0005151269970174</v>
      </c>
      <c r="M474" s="13">
        <f t="shared" si="108"/>
        <v>0.76995973893172753</v>
      </c>
      <c r="N474" s="13">
        <f t="shared" ref="N474:N505" si="109">I474+J474*C474+K474*D474+L474*E474+M474*F474</f>
        <v>0.25062379739450757</v>
      </c>
      <c r="O474" s="13">
        <f t="shared" ref="O474:O505" si="110">1/(1+EXP(-N474))</f>
        <v>0.56233003272551563</v>
      </c>
      <c r="P474" s="12">
        <f t="shared" ref="P474:P505" si="111">IF(O474&gt;0.5,1,0)</f>
        <v>1</v>
      </c>
      <c r="Q474" s="13">
        <f t="shared" ref="Q474:Q509" si="112">O474-G474</f>
        <v>0.56233003272551563</v>
      </c>
      <c r="R474" s="13">
        <f t="shared" ref="R474:R505" si="113">Q474^2</f>
        <v>0.31621506570507946</v>
      </c>
      <c r="T474" s="12">
        <f t="shared" ref="T474:T509" si="114">IF(P474=G474,1,0)</f>
        <v>0</v>
      </c>
    </row>
    <row r="475" spans="1:23" x14ac:dyDescent="0.3">
      <c r="A475" s="23"/>
      <c r="B475" s="12">
        <v>6</v>
      </c>
      <c r="C475" s="12">
        <v>4.8</v>
      </c>
      <c r="D475" s="12">
        <v>3</v>
      </c>
      <c r="E475" s="12">
        <v>1.4</v>
      </c>
      <c r="F475" s="12">
        <v>0.3</v>
      </c>
      <c r="G475" s="12">
        <v>0</v>
      </c>
      <c r="I475" s="13">
        <f t="shared" si="104"/>
        <v>0.28221641098443218</v>
      </c>
      <c r="J475" s="13">
        <f t="shared" si="105"/>
        <v>-0.20257496848701015</v>
      </c>
      <c r="K475" s="13">
        <f t="shared" si="106"/>
        <v>-0.31774287136136764</v>
      </c>
      <c r="L475" s="13">
        <f t="shared" si="107"/>
        <v>1.0005151269970174</v>
      </c>
      <c r="M475" s="13">
        <f t="shared" si="108"/>
        <v>0.76995973893172753</v>
      </c>
      <c r="N475" s="13">
        <f t="shared" si="109"/>
        <v>-1.1662952361976953E-2</v>
      </c>
      <c r="O475" s="13">
        <f t="shared" si="110"/>
        <v>0.49708429496003059</v>
      </c>
      <c r="P475" s="12">
        <f t="shared" si="111"/>
        <v>0</v>
      </c>
      <c r="Q475" s="13">
        <f t="shared" si="112"/>
        <v>0.49708429496003059</v>
      </c>
      <c r="R475" s="13">
        <f t="shared" si="113"/>
        <v>0.24709279629591069</v>
      </c>
      <c r="T475" s="12">
        <f t="shared" si="114"/>
        <v>1</v>
      </c>
    </row>
    <row r="476" spans="1:23" x14ac:dyDescent="0.3">
      <c r="A476" s="23"/>
      <c r="B476" s="12">
        <v>7</v>
      </c>
      <c r="C476" s="12">
        <v>5.0999999999999996</v>
      </c>
      <c r="D476" s="12">
        <v>3.8</v>
      </c>
      <c r="E476" s="12">
        <v>1.6</v>
      </c>
      <c r="F476" s="12">
        <v>0.2</v>
      </c>
      <c r="G476" s="12">
        <v>0</v>
      </c>
      <c r="I476" s="13">
        <f t="shared" si="104"/>
        <v>0.28221641098443218</v>
      </c>
      <c r="J476" s="13">
        <f t="shared" si="105"/>
        <v>-0.20257496848701015</v>
      </c>
      <c r="K476" s="13">
        <f t="shared" si="106"/>
        <v>-0.31774287136136764</v>
      </c>
      <c r="L476" s="13">
        <f t="shared" si="107"/>
        <v>1.0005151269970174</v>
      </c>
      <c r="M476" s="13">
        <f t="shared" si="108"/>
        <v>0.76995973893172753</v>
      </c>
      <c r="N476" s="13">
        <f t="shared" si="109"/>
        <v>-0.20352268849094279</v>
      </c>
      <c r="O476" s="13">
        <f t="shared" si="110"/>
        <v>0.44929423284590869</v>
      </c>
      <c r="P476" s="12">
        <f t="shared" si="111"/>
        <v>0</v>
      </c>
      <c r="Q476" s="13">
        <f t="shared" si="112"/>
        <v>0.44929423284590869</v>
      </c>
      <c r="R476" s="13">
        <f t="shared" si="113"/>
        <v>0.20186530766859362</v>
      </c>
      <c r="T476" s="12">
        <f t="shared" si="114"/>
        <v>1</v>
      </c>
    </row>
    <row r="477" spans="1:23" x14ac:dyDescent="0.3">
      <c r="A477" s="23"/>
      <c r="B477" s="12">
        <v>8</v>
      </c>
      <c r="C477" s="12">
        <v>4.5999999999999996</v>
      </c>
      <c r="D477" s="12">
        <v>3.2</v>
      </c>
      <c r="E477" s="12">
        <v>1.4</v>
      </c>
      <c r="F477" s="12">
        <v>0.2</v>
      </c>
      <c r="G477" s="12">
        <v>0</v>
      </c>
      <c r="I477" s="13">
        <f t="shared" si="104"/>
        <v>0.28221641098443218</v>
      </c>
      <c r="J477" s="13">
        <f t="shared" si="105"/>
        <v>-0.20257496848701015</v>
      </c>
      <c r="K477" s="13">
        <f t="shared" si="106"/>
        <v>-0.31774287136136764</v>
      </c>
      <c r="L477" s="13">
        <f t="shared" si="107"/>
        <v>1.0005151269970174</v>
      </c>
      <c r="M477" s="13">
        <f t="shared" si="108"/>
        <v>0.76995973893172753</v>
      </c>
      <c r="N477" s="13">
        <f t="shared" si="109"/>
        <v>-0.1116925068300213</v>
      </c>
      <c r="O477" s="13">
        <f t="shared" si="110"/>
        <v>0.4721058660438946</v>
      </c>
      <c r="P477" s="12">
        <f t="shared" si="111"/>
        <v>0</v>
      </c>
      <c r="Q477" s="13">
        <f t="shared" si="112"/>
        <v>0.4721058660438946</v>
      </c>
      <c r="R477" s="13">
        <f t="shared" si="113"/>
        <v>0.22288394875305576</v>
      </c>
      <c r="T477" s="12">
        <f t="shared" si="114"/>
        <v>1</v>
      </c>
    </row>
    <row r="478" spans="1:23" x14ac:dyDescent="0.3">
      <c r="A478" s="23"/>
      <c r="B478" s="12">
        <v>9</v>
      </c>
      <c r="C478" s="12">
        <v>5.3</v>
      </c>
      <c r="D478" s="12">
        <v>3.7</v>
      </c>
      <c r="E478" s="12">
        <v>1.5</v>
      </c>
      <c r="F478" s="12">
        <v>0.2</v>
      </c>
      <c r="G478" s="12">
        <v>0</v>
      </c>
      <c r="I478" s="13">
        <f t="shared" si="104"/>
        <v>0.28221641098443218</v>
      </c>
      <c r="J478" s="13">
        <f t="shared" si="105"/>
        <v>-0.20257496848701015</v>
      </c>
      <c r="K478" s="13">
        <f t="shared" si="106"/>
        <v>-0.31774287136136764</v>
      </c>
      <c r="L478" s="13">
        <f t="shared" si="107"/>
        <v>1.0005151269970174</v>
      </c>
      <c r="M478" s="13">
        <f t="shared" si="108"/>
        <v>0.76995973893172753</v>
      </c>
      <c r="N478" s="13">
        <f t="shared" si="109"/>
        <v>-0.31231490775191018</v>
      </c>
      <c r="O478" s="13">
        <f t="shared" si="110"/>
        <v>0.4225497969465285</v>
      </c>
      <c r="P478" s="12">
        <f t="shared" si="111"/>
        <v>0</v>
      </c>
      <c r="Q478" s="13">
        <f t="shared" si="112"/>
        <v>0.4225497969465285</v>
      </c>
      <c r="R478" s="13">
        <f t="shared" si="113"/>
        <v>0.17854833089955247</v>
      </c>
      <c r="T478" s="12">
        <f t="shared" si="114"/>
        <v>1</v>
      </c>
    </row>
    <row r="479" spans="1:23" x14ac:dyDescent="0.3">
      <c r="A479" s="23"/>
      <c r="B479" s="12">
        <v>10</v>
      </c>
      <c r="C479" s="12">
        <v>5</v>
      </c>
      <c r="D479" s="12">
        <v>3.3</v>
      </c>
      <c r="E479" s="12">
        <v>1.4</v>
      </c>
      <c r="F479" s="12">
        <v>0.2</v>
      </c>
      <c r="G479" s="12">
        <v>0</v>
      </c>
      <c r="I479" s="13">
        <f t="shared" si="104"/>
        <v>0.28221641098443218</v>
      </c>
      <c r="J479" s="13">
        <f t="shared" si="105"/>
        <v>-0.20257496848701015</v>
      </c>
      <c r="K479" s="13">
        <f t="shared" si="106"/>
        <v>-0.31774287136136764</v>
      </c>
      <c r="L479" s="13">
        <f t="shared" si="107"/>
        <v>1.0005151269970174</v>
      </c>
      <c r="M479" s="13">
        <f t="shared" si="108"/>
        <v>0.76995973893172753</v>
      </c>
      <c r="N479" s="13">
        <f t="shared" si="109"/>
        <v>-0.22449678136096185</v>
      </c>
      <c r="O479" s="13">
        <f t="shared" si="110"/>
        <v>0.44411033873757089</v>
      </c>
      <c r="P479" s="12">
        <f t="shared" si="111"/>
        <v>0</v>
      </c>
      <c r="Q479" s="13">
        <f t="shared" si="112"/>
        <v>0.44411033873757089</v>
      </c>
      <c r="R479" s="13">
        <f t="shared" si="113"/>
        <v>0.19723399297359995</v>
      </c>
      <c r="T479" s="12">
        <f t="shared" si="114"/>
        <v>1</v>
      </c>
    </row>
    <row r="480" spans="1:23" x14ac:dyDescent="0.3">
      <c r="A480" s="23"/>
      <c r="B480" s="12">
        <v>11</v>
      </c>
      <c r="C480" s="12">
        <v>5.5</v>
      </c>
      <c r="D480" s="12">
        <v>2.6</v>
      </c>
      <c r="E480" s="12">
        <v>4.4000000000000004</v>
      </c>
      <c r="F480" s="12">
        <v>1.2</v>
      </c>
      <c r="G480" s="12">
        <v>1</v>
      </c>
      <c r="I480" s="13">
        <f t="shared" si="104"/>
        <v>0.28221641098443218</v>
      </c>
      <c r="J480" s="13">
        <f t="shared" si="105"/>
        <v>-0.20257496848701015</v>
      </c>
      <c r="K480" s="13">
        <f t="shared" si="106"/>
        <v>-0.31774287136136764</v>
      </c>
      <c r="L480" s="13">
        <f t="shared" si="107"/>
        <v>1.0005151269970174</v>
      </c>
      <c r="M480" s="13">
        <f t="shared" si="108"/>
        <v>0.76995973893172753</v>
      </c>
      <c r="N480" s="13">
        <f t="shared" si="109"/>
        <v>3.6681408642712707</v>
      </c>
      <c r="O480" s="13">
        <f t="shared" si="110"/>
        <v>0.97511137599047559</v>
      </c>
      <c r="P480" s="12">
        <f t="shared" si="111"/>
        <v>1</v>
      </c>
      <c r="Q480" s="13">
        <f t="shared" si="112"/>
        <v>-2.4888624009524407E-2</v>
      </c>
      <c r="R480" s="13">
        <f t="shared" si="113"/>
        <v>6.1944360508747482E-4</v>
      </c>
      <c r="T480" s="12">
        <f t="shared" si="114"/>
        <v>1</v>
      </c>
    </row>
    <row r="481" spans="1:23" x14ac:dyDescent="0.3">
      <c r="A481" s="23"/>
      <c r="B481" s="12">
        <v>12</v>
      </c>
      <c r="C481" s="12">
        <v>6.1</v>
      </c>
      <c r="D481" s="12">
        <v>3</v>
      </c>
      <c r="E481" s="12">
        <v>4.5999999999999996</v>
      </c>
      <c r="F481" s="12">
        <v>1.4</v>
      </c>
      <c r="G481" s="12">
        <v>1</v>
      </c>
      <c r="I481" s="13">
        <f t="shared" si="104"/>
        <v>0.28221641098443218</v>
      </c>
      <c r="J481" s="13">
        <f t="shared" si="105"/>
        <v>-0.20257496848701015</v>
      </c>
      <c r="K481" s="13">
        <f t="shared" si="106"/>
        <v>-0.31774287136136764</v>
      </c>
      <c r="L481" s="13">
        <f t="shared" si="107"/>
        <v>1.0005151269970174</v>
      </c>
      <c r="M481" s="13">
        <f t="shared" si="108"/>
        <v>0.76995973893172753</v>
      </c>
      <c r="N481" s="13">
        <f t="shared" si="109"/>
        <v>3.7735937078202655</v>
      </c>
      <c r="O481" s="13">
        <f t="shared" si="110"/>
        <v>0.97754637600347305</v>
      </c>
      <c r="P481" s="12">
        <f t="shared" si="111"/>
        <v>1</v>
      </c>
      <c r="Q481" s="13">
        <f t="shared" si="112"/>
        <v>-2.245362399652695E-2</v>
      </c>
      <c r="R481" s="13">
        <f t="shared" si="113"/>
        <v>5.0416523057741089E-4</v>
      </c>
      <c r="T481" s="12">
        <f t="shared" si="114"/>
        <v>1</v>
      </c>
    </row>
    <row r="482" spans="1:23" x14ac:dyDescent="0.3">
      <c r="A482" s="23"/>
      <c r="B482" s="12">
        <v>13</v>
      </c>
      <c r="C482" s="12">
        <v>5.8</v>
      </c>
      <c r="D482" s="12">
        <v>2.6</v>
      </c>
      <c r="E482" s="12">
        <v>4</v>
      </c>
      <c r="F482" s="12">
        <v>1.2</v>
      </c>
      <c r="G482" s="12">
        <v>1</v>
      </c>
      <c r="I482" s="13">
        <f t="shared" si="104"/>
        <v>0.28221641098443218</v>
      </c>
      <c r="J482" s="13">
        <f t="shared" si="105"/>
        <v>-0.20257496848701015</v>
      </c>
      <c r="K482" s="13">
        <f t="shared" si="106"/>
        <v>-0.31774287136136764</v>
      </c>
      <c r="L482" s="13">
        <f t="shared" si="107"/>
        <v>1.0005151269970174</v>
      </c>
      <c r="M482" s="13">
        <f t="shared" si="108"/>
        <v>0.76995973893172753</v>
      </c>
      <c r="N482" s="13">
        <f t="shared" si="109"/>
        <v>3.2071623229263606</v>
      </c>
      <c r="O482" s="13">
        <f t="shared" si="110"/>
        <v>0.96110292024134825</v>
      </c>
      <c r="P482" s="12">
        <f t="shared" si="111"/>
        <v>1</v>
      </c>
      <c r="Q482" s="13">
        <f t="shared" si="112"/>
        <v>-3.8897079758651754E-2</v>
      </c>
      <c r="R482" s="13">
        <f t="shared" si="113"/>
        <v>1.512982813750916E-3</v>
      </c>
      <c r="T482" s="12">
        <f t="shared" si="114"/>
        <v>1</v>
      </c>
    </row>
    <row r="483" spans="1:23" x14ac:dyDescent="0.3">
      <c r="A483" s="23"/>
      <c r="B483" s="12">
        <v>14</v>
      </c>
      <c r="C483" s="12">
        <v>5</v>
      </c>
      <c r="D483" s="12">
        <v>2.2999999999999998</v>
      </c>
      <c r="E483" s="12">
        <v>3.3</v>
      </c>
      <c r="F483" s="12">
        <v>1</v>
      </c>
      <c r="G483" s="12">
        <v>1</v>
      </c>
      <c r="I483" s="13">
        <f t="shared" si="104"/>
        <v>0.28221641098443218</v>
      </c>
      <c r="J483" s="13">
        <f t="shared" si="105"/>
        <v>-0.20257496848701015</v>
      </c>
      <c r="K483" s="13">
        <f t="shared" si="106"/>
        <v>-0.31774287136136764</v>
      </c>
      <c r="L483" s="13">
        <f t="shared" si="107"/>
        <v>1.0005151269970174</v>
      </c>
      <c r="M483" s="13">
        <f t="shared" si="108"/>
        <v>0.76995973893172753</v>
      </c>
      <c r="N483" s="13">
        <f t="shared" si="109"/>
        <v>2.6101926224401204</v>
      </c>
      <c r="O483" s="13">
        <f t="shared" si="110"/>
        <v>0.93151468566034046</v>
      </c>
      <c r="P483" s="12">
        <f t="shared" si="111"/>
        <v>1</v>
      </c>
      <c r="Q483" s="13">
        <f t="shared" si="112"/>
        <v>-6.8485314339659542E-2</v>
      </c>
      <c r="R483" s="13">
        <f t="shared" si="113"/>
        <v>4.6902382802019773E-3</v>
      </c>
      <c r="T483" s="12">
        <f t="shared" si="114"/>
        <v>1</v>
      </c>
    </row>
    <row r="484" spans="1:23" x14ac:dyDescent="0.3">
      <c r="A484" s="23"/>
      <c r="B484" s="12">
        <v>15</v>
      </c>
      <c r="C484" s="12">
        <v>5.6</v>
      </c>
      <c r="D484" s="12">
        <v>2.7</v>
      </c>
      <c r="E484" s="12">
        <v>4.2</v>
      </c>
      <c r="F484" s="12">
        <v>1.3</v>
      </c>
      <c r="G484" s="12">
        <v>1</v>
      </c>
      <c r="I484" s="13">
        <f t="shared" si="104"/>
        <v>0.28221641098443218</v>
      </c>
      <c r="J484" s="13">
        <f t="shared" si="105"/>
        <v>-0.20257496848701015</v>
      </c>
      <c r="K484" s="13">
        <f t="shared" si="106"/>
        <v>-0.31774287136136764</v>
      </c>
      <c r="L484" s="13">
        <f t="shared" si="107"/>
        <v>1.0005151269970174</v>
      </c>
      <c r="M484" s="13">
        <f t="shared" si="108"/>
        <v>0.76995973893172753</v>
      </c>
      <c r="N484" s="13">
        <f t="shared" si="109"/>
        <v>3.4930020287802019</v>
      </c>
      <c r="O484" s="13">
        <f t="shared" si="110"/>
        <v>0.97048799860524959</v>
      </c>
      <c r="P484" s="12">
        <f t="shared" si="111"/>
        <v>1</v>
      </c>
      <c r="Q484" s="13">
        <f t="shared" si="112"/>
        <v>-2.9512001394750409E-2</v>
      </c>
      <c r="R484" s="13">
        <f t="shared" si="113"/>
        <v>8.7095822632375012E-4</v>
      </c>
      <c r="T484" s="12">
        <f t="shared" si="114"/>
        <v>1</v>
      </c>
    </row>
    <row r="485" spans="1:23" x14ac:dyDescent="0.3">
      <c r="A485" s="23"/>
      <c r="B485" s="12">
        <v>16</v>
      </c>
      <c r="C485" s="12">
        <v>5.7</v>
      </c>
      <c r="D485" s="12">
        <v>3</v>
      </c>
      <c r="E485" s="12">
        <v>4.2</v>
      </c>
      <c r="F485" s="12">
        <v>1.2</v>
      </c>
      <c r="G485" s="12">
        <v>1</v>
      </c>
      <c r="I485" s="13">
        <f t="shared" si="104"/>
        <v>0.28221641098443218</v>
      </c>
      <c r="J485" s="13">
        <f t="shared" si="105"/>
        <v>-0.20257496848701015</v>
      </c>
      <c r="K485" s="13">
        <f t="shared" si="106"/>
        <v>-0.31774287136136764</v>
      </c>
      <c r="L485" s="13">
        <f t="shared" si="107"/>
        <v>1.0005151269970174</v>
      </c>
      <c r="M485" s="13">
        <f t="shared" si="108"/>
        <v>0.76995973893172753</v>
      </c>
      <c r="N485" s="13">
        <f t="shared" si="109"/>
        <v>3.3004256966299179</v>
      </c>
      <c r="O485" s="13">
        <f t="shared" si="110"/>
        <v>0.96444341173784209</v>
      </c>
      <c r="P485" s="12">
        <f t="shared" si="111"/>
        <v>1</v>
      </c>
      <c r="Q485" s="13">
        <f t="shared" si="112"/>
        <v>-3.5556588262157907E-2</v>
      </c>
      <c r="R485" s="13">
        <f t="shared" si="113"/>
        <v>1.2642709688446255E-3</v>
      </c>
      <c r="T485" s="12">
        <f t="shared" si="114"/>
        <v>1</v>
      </c>
    </row>
    <row r="486" spans="1:23" x14ac:dyDescent="0.3">
      <c r="A486" s="23"/>
      <c r="B486" s="12">
        <v>17</v>
      </c>
      <c r="C486" s="12">
        <v>5.7</v>
      </c>
      <c r="D486" s="12">
        <v>2.9</v>
      </c>
      <c r="E486" s="12">
        <v>4.2</v>
      </c>
      <c r="F486" s="12">
        <v>1.3</v>
      </c>
      <c r="G486" s="12">
        <v>1</v>
      </c>
      <c r="I486" s="13">
        <f t="shared" si="104"/>
        <v>0.28221641098443218</v>
      </c>
      <c r="J486" s="13">
        <f t="shared" si="105"/>
        <v>-0.20257496848701015</v>
      </c>
      <c r="K486" s="13">
        <f t="shared" si="106"/>
        <v>-0.31774287136136764</v>
      </c>
      <c r="L486" s="13">
        <f t="shared" si="107"/>
        <v>1.0005151269970174</v>
      </c>
      <c r="M486" s="13">
        <f t="shared" si="108"/>
        <v>0.76995973893172753</v>
      </c>
      <c r="N486" s="13">
        <f t="shared" si="109"/>
        <v>3.409195957659227</v>
      </c>
      <c r="O486" s="13">
        <f t="shared" si="110"/>
        <v>0.96799069886730094</v>
      </c>
      <c r="P486" s="12">
        <f t="shared" si="111"/>
        <v>1</v>
      </c>
      <c r="Q486" s="13">
        <f t="shared" si="112"/>
        <v>-3.2009301132699064E-2</v>
      </c>
      <c r="R486" s="13">
        <f t="shared" si="113"/>
        <v>1.0245953590038096E-3</v>
      </c>
      <c r="T486" s="12">
        <f t="shared" si="114"/>
        <v>1</v>
      </c>
    </row>
    <row r="487" spans="1:23" x14ac:dyDescent="0.3">
      <c r="A487" s="23"/>
      <c r="B487" s="12">
        <v>18</v>
      </c>
      <c r="C487" s="12">
        <v>6.2</v>
      </c>
      <c r="D487" s="12">
        <v>2.9</v>
      </c>
      <c r="E487" s="12">
        <v>4.3</v>
      </c>
      <c r="F487" s="12">
        <v>1.3</v>
      </c>
      <c r="G487" s="12">
        <v>1</v>
      </c>
      <c r="I487" s="13">
        <f t="shared" si="104"/>
        <v>0.28221641098443218</v>
      </c>
      <c r="J487" s="13">
        <f t="shared" si="105"/>
        <v>-0.20257496848701015</v>
      </c>
      <c r="K487" s="13">
        <f t="shared" si="106"/>
        <v>-0.31774287136136764</v>
      </c>
      <c r="L487" s="13">
        <f t="shared" si="107"/>
        <v>1.0005151269970174</v>
      </c>
      <c r="M487" s="13">
        <f t="shared" si="108"/>
        <v>0.76995973893172753</v>
      </c>
      <c r="N487" s="13">
        <f t="shared" si="109"/>
        <v>3.4079599861154231</v>
      </c>
      <c r="O487" s="13">
        <f t="shared" si="110"/>
        <v>0.96795238049331345</v>
      </c>
      <c r="P487" s="12">
        <f t="shared" si="111"/>
        <v>1</v>
      </c>
      <c r="Q487" s="13">
        <f t="shared" si="112"/>
        <v>-3.2047619506686553E-2</v>
      </c>
      <c r="R487" s="13">
        <f t="shared" si="113"/>
        <v>1.0270499160453565E-3</v>
      </c>
      <c r="T487" s="12">
        <f t="shared" si="114"/>
        <v>1</v>
      </c>
    </row>
    <row r="488" spans="1:23" x14ac:dyDescent="0.3">
      <c r="A488" s="23"/>
      <c r="B488" s="12">
        <v>19</v>
      </c>
      <c r="C488" s="12">
        <v>5.0999999999999996</v>
      </c>
      <c r="D488" s="12">
        <v>2.5</v>
      </c>
      <c r="E488" s="12">
        <v>3</v>
      </c>
      <c r="F488" s="12">
        <v>1.1000000000000001</v>
      </c>
      <c r="G488" s="12">
        <v>1</v>
      </c>
      <c r="I488" s="13">
        <f t="shared" si="104"/>
        <v>0.28221641098443218</v>
      </c>
      <c r="J488" s="13">
        <f t="shared" si="105"/>
        <v>-0.20257496848701015</v>
      </c>
      <c r="K488" s="13">
        <f t="shared" si="106"/>
        <v>-0.31774287136136764</v>
      </c>
      <c r="L488" s="13">
        <f t="shared" si="107"/>
        <v>1.0005151269970174</v>
      </c>
      <c r="M488" s="13">
        <f t="shared" si="108"/>
        <v>0.76995973893172753</v>
      </c>
      <c r="N488" s="13">
        <f t="shared" si="109"/>
        <v>2.303227987113214</v>
      </c>
      <c r="O488" s="13">
        <f t="shared" si="110"/>
        <v>0.90914402686437734</v>
      </c>
      <c r="P488" s="12">
        <f t="shared" si="111"/>
        <v>1</v>
      </c>
      <c r="Q488" s="13">
        <f t="shared" si="112"/>
        <v>-9.0855973135622659E-2</v>
      </c>
      <c r="R488" s="13">
        <f t="shared" si="113"/>
        <v>8.2548078544209865E-3</v>
      </c>
      <c r="T488" s="12">
        <f t="shared" si="114"/>
        <v>1</v>
      </c>
    </row>
    <row r="489" spans="1:23" x14ac:dyDescent="0.3">
      <c r="A489" s="23"/>
      <c r="B489" s="12">
        <v>20</v>
      </c>
      <c r="C489" s="12">
        <v>5.7</v>
      </c>
      <c r="D489" s="12">
        <v>2.8</v>
      </c>
      <c r="E489" s="12">
        <v>4.0999999999999996</v>
      </c>
      <c r="F489" s="12">
        <v>1.3</v>
      </c>
      <c r="G489" s="12">
        <v>1</v>
      </c>
      <c r="I489" s="13">
        <f t="shared" si="104"/>
        <v>0.28221641098443218</v>
      </c>
      <c r="J489" s="13">
        <f t="shared" si="105"/>
        <v>-0.20257496848701015</v>
      </c>
      <c r="K489" s="13">
        <f t="shared" si="106"/>
        <v>-0.31774287136136764</v>
      </c>
      <c r="L489" s="13">
        <f t="shared" si="107"/>
        <v>1.0005151269970174</v>
      </c>
      <c r="M489" s="13">
        <f t="shared" si="108"/>
        <v>0.76995973893172753</v>
      </c>
      <c r="N489" s="13">
        <f t="shared" si="109"/>
        <v>3.3409187320956613</v>
      </c>
      <c r="O489" s="13">
        <f t="shared" si="110"/>
        <v>0.96580619604407492</v>
      </c>
      <c r="P489" s="12">
        <f t="shared" si="111"/>
        <v>1</v>
      </c>
      <c r="Q489" s="13">
        <f t="shared" si="112"/>
        <v>-3.4193803955925084E-2</v>
      </c>
      <c r="R489" s="13">
        <f t="shared" si="113"/>
        <v>1.169216228976238E-3</v>
      </c>
      <c r="T489" s="12">
        <f t="shared" si="114"/>
        <v>1</v>
      </c>
      <c r="V489" s="17">
        <f>AVERAGE(T470:T489)</f>
        <v>0.85</v>
      </c>
      <c r="W489" s="16">
        <f>AVERAGE(R470:R489)</f>
        <v>0.11875407537087945</v>
      </c>
    </row>
    <row r="490" spans="1:23" x14ac:dyDescent="0.3">
      <c r="A490" s="23" t="s">
        <v>99</v>
      </c>
      <c r="B490" s="12">
        <v>1</v>
      </c>
      <c r="C490" s="12">
        <v>5</v>
      </c>
      <c r="D490" s="12">
        <v>3.5</v>
      </c>
      <c r="E490" s="12">
        <v>1.3</v>
      </c>
      <c r="F490" s="12">
        <v>0.3</v>
      </c>
      <c r="G490" s="12">
        <v>0</v>
      </c>
      <c r="I490" s="13">
        <f>I404</f>
        <v>0.25769964063461936</v>
      </c>
      <c r="J490" s="13">
        <f>J404</f>
        <v>-0.2423042161127886</v>
      </c>
      <c r="K490" s="13">
        <f>K404</f>
        <v>-0.41624610224583619</v>
      </c>
      <c r="L490" s="13">
        <f>L404</f>
        <v>1.1200192708032315</v>
      </c>
      <c r="M490" s="13">
        <f>M404</f>
        <v>0.82313369972527439</v>
      </c>
      <c r="N490" s="13">
        <f t="shared" si="109"/>
        <v>-0.70771763582796687</v>
      </c>
      <c r="O490" s="13">
        <f t="shared" si="110"/>
        <v>0.33010335523644718</v>
      </c>
      <c r="P490" s="12">
        <f t="shared" si="111"/>
        <v>0</v>
      </c>
      <c r="Q490" s="13">
        <f t="shared" si="112"/>
        <v>0.33010335523644718</v>
      </c>
      <c r="R490" s="13">
        <f t="shared" si="113"/>
        <v>0.10896822513836005</v>
      </c>
      <c r="T490" s="12">
        <f t="shared" si="114"/>
        <v>1</v>
      </c>
    </row>
    <row r="491" spans="1:23" x14ac:dyDescent="0.3">
      <c r="A491" s="23"/>
      <c r="B491" s="12">
        <v>2</v>
      </c>
      <c r="C491" s="12">
        <v>4.5</v>
      </c>
      <c r="D491" s="12">
        <v>2.2999999999999998</v>
      </c>
      <c r="E491" s="12">
        <v>1.3</v>
      </c>
      <c r="F491" s="12">
        <v>0.3</v>
      </c>
      <c r="G491" s="12">
        <v>0</v>
      </c>
      <c r="I491" s="13">
        <f t="shared" ref="I491:I509" si="115">I490</f>
        <v>0.25769964063461936</v>
      </c>
      <c r="J491" s="13">
        <f t="shared" ref="J491:J509" si="116">J490</f>
        <v>-0.2423042161127886</v>
      </c>
      <c r="K491" s="13">
        <f t="shared" ref="K491:K509" si="117">K490</f>
        <v>-0.41624610224583619</v>
      </c>
      <c r="L491" s="13">
        <f t="shared" ref="L491:L509" si="118">L490</f>
        <v>1.1200192708032315</v>
      </c>
      <c r="M491" s="13">
        <f t="shared" ref="M491:M509" si="119">M490</f>
        <v>0.82313369972527439</v>
      </c>
      <c r="N491" s="13">
        <f t="shared" si="109"/>
        <v>-8.7070205076569263E-2</v>
      </c>
      <c r="O491" s="13">
        <f t="shared" si="110"/>
        <v>0.47824619036381294</v>
      </c>
      <c r="P491" s="12">
        <f t="shared" si="111"/>
        <v>0</v>
      </c>
      <c r="Q491" s="13">
        <f t="shared" si="112"/>
        <v>0.47824619036381294</v>
      </c>
      <c r="R491" s="13">
        <f t="shared" si="113"/>
        <v>0.22871941859750042</v>
      </c>
      <c r="T491" s="12">
        <f t="shared" si="114"/>
        <v>1</v>
      </c>
    </row>
    <row r="492" spans="1:23" x14ac:dyDescent="0.3">
      <c r="A492" s="23"/>
      <c r="B492" s="12">
        <v>3</v>
      </c>
      <c r="C492" s="12">
        <v>4.4000000000000004</v>
      </c>
      <c r="D492" s="12">
        <v>3.2</v>
      </c>
      <c r="E492" s="12">
        <v>1.3</v>
      </c>
      <c r="F492" s="12">
        <v>0.2</v>
      </c>
      <c r="G492" s="12">
        <v>0</v>
      </c>
      <c r="I492" s="13">
        <f t="shared" si="115"/>
        <v>0.25769964063461936</v>
      </c>
      <c r="J492" s="13">
        <f t="shared" si="116"/>
        <v>-0.2423042161127886</v>
      </c>
      <c r="K492" s="13">
        <f t="shared" si="117"/>
        <v>-0.41624610224583619</v>
      </c>
      <c r="L492" s="13">
        <f t="shared" si="118"/>
        <v>1.1200192708032315</v>
      </c>
      <c r="M492" s="13">
        <f t="shared" si="119"/>
        <v>0.82313369972527439</v>
      </c>
      <c r="N492" s="13">
        <f t="shared" si="109"/>
        <v>-0.51977464545907059</v>
      </c>
      <c r="O492" s="13">
        <f t="shared" si="110"/>
        <v>0.37290493062529345</v>
      </c>
      <c r="P492" s="12">
        <f t="shared" si="111"/>
        <v>0</v>
      </c>
      <c r="Q492" s="13">
        <f t="shared" si="112"/>
        <v>0.37290493062529345</v>
      </c>
      <c r="R492" s="13">
        <f t="shared" si="113"/>
        <v>0.13905808728465494</v>
      </c>
      <c r="T492" s="12">
        <f t="shared" si="114"/>
        <v>1</v>
      </c>
    </row>
    <row r="493" spans="1:23" x14ac:dyDescent="0.3">
      <c r="A493" s="23"/>
      <c r="B493" s="12">
        <v>4</v>
      </c>
      <c r="C493" s="12">
        <v>5</v>
      </c>
      <c r="D493" s="12">
        <v>3.5</v>
      </c>
      <c r="E493" s="12">
        <v>1.6</v>
      </c>
      <c r="F493" s="12">
        <v>0.6</v>
      </c>
      <c r="G493" s="12">
        <v>0</v>
      </c>
      <c r="I493" s="13">
        <f t="shared" si="115"/>
        <v>0.25769964063461936</v>
      </c>
      <c r="J493" s="13">
        <f t="shared" si="116"/>
        <v>-0.2423042161127886</v>
      </c>
      <c r="K493" s="13">
        <f t="shared" si="117"/>
        <v>-0.41624610224583619</v>
      </c>
      <c r="L493" s="13">
        <f t="shared" si="118"/>
        <v>1.1200192708032315</v>
      </c>
      <c r="M493" s="13">
        <f t="shared" si="119"/>
        <v>0.82313369972527439</v>
      </c>
      <c r="N493" s="13">
        <f t="shared" si="109"/>
        <v>-0.12477174466941521</v>
      </c>
      <c r="O493" s="13">
        <f t="shared" si="110"/>
        <v>0.46884746853717291</v>
      </c>
      <c r="P493" s="12">
        <f t="shared" si="111"/>
        <v>0</v>
      </c>
      <c r="Q493" s="13">
        <f t="shared" si="112"/>
        <v>0.46884746853717291</v>
      </c>
      <c r="R493" s="13">
        <f t="shared" si="113"/>
        <v>0.21981794875371533</v>
      </c>
      <c r="T493" s="12">
        <f t="shared" si="114"/>
        <v>1</v>
      </c>
    </row>
    <row r="494" spans="1:23" x14ac:dyDescent="0.3">
      <c r="A494" s="23"/>
      <c r="B494" s="12">
        <v>5</v>
      </c>
      <c r="C494" s="12">
        <v>5.0999999999999996</v>
      </c>
      <c r="D494" s="12">
        <v>3.8</v>
      </c>
      <c r="E494" s="12">
        <v>1.9</v>
      </c>
      <c r="F494" s="12">
        <v>0.4</v>
      </c>
      <c r="G494" s="12">
        <v>0</v>
      </c>
      <c r="I494" s="13">
        <f t="shared" si="115"/>
        <v>0.25769964063461936</v>
      </c>
      <c r="J494" s="13">
        <f t="shared" si="116"/>
        <v>-0.2423042161127886</v>
      </c>
      <c r="K494" s="13">
        <f t="shared" si="117"/>
        <v>-0.41624610224583619</v>
      </c>
      <c r="L494" s="13">
        <f t="shared" si="118"/>
        <v>1.1200192708032315</v>
      </c>
      <c r="M494" s="13">
        <f t="shared" si="119"/>
        <v>0.82313369972527439</v>
      </c>
      <c r="N494" s="13">
        <f t="shared" si="109"/>
        <v>-0.10249695565853056</v>
      </c>
      <c r="O494" s="13">
        <f t="shared" si="110"/>
        <v>0.47439817076526564</v>
      </c>
      <c r="P494" s="12">
        <f t="shared" si="111"/>
        <v>0</v>
      </c>
      <c r="Q494" s="13">
        <f t="shared" si="112"/>
        <v>0.47439817076526564</v>
      </c>
      <c r="R494" s="13">
        <f t="shared" si="113"/>
        <v>0.22505362442543014</v>
      </c>
      <c r="T494" s="12">
        <f t="shared" si="114"/>
        <v>1</v>
      </c>
    </row>
    <row r="495" spans="1:23" x14ac:dyDescent="0.3">
      <c r="A495" s="23"/>
      <c r="B495" s="12">
        <v>6</v>
      </c>
      <c r="C495" s="12">
        <v>4.8</v>
      </c>
      <c r="D495" s="12">
        <v>3</v>
      </c>
      <c r="E495" s="12">
        <v>1.4</v>
      </c>
      <c r="F495" s="12">
        <v>0.3</v>
      </c>
      <c r="G495" s="12">
        <v>0</v>
      </c>
      <c r="I495" s="13">
        <f t="shared" si="115"/>
        <v>0.25769964063461936</v>
      </c>
      <c r="J495" s="13">
        <f t="shared" si="116"/>
        <v>-0.2423042161127886</v>
      </c>
      <c r="K495" s="13">
        <f t="shared" si="117"/>
        <v>-0.41624610224583619</v>
      </c>
      <c r="L495" s="13">
        <f t="shared" si="118"/>
        <v>1.1200192708032315</v>
      </c>
      <c r="M495" s="13">
        <f t="shared" si="119"/>
        <v>0.82313369972527439</v>
      </c>
      <c r="N495" s="13">
        <f t="shared" si="109"/>
        <v>-0.339131814402168</v>
      </c>
      <c r="O495" s="13">
        <f t="shared" si="110"/>
        <v>0.41602038512885642</v>
      </c>
      <c r="P495" s="12">
        <f t="shared" si="111"/>
        <v>0</v>
      </c>
      <c r="Q495" s="13">
        <f t="shared" si="112"/>
        <v>0.41602038512885642</v>
      </c>
      <c r="R495" s="13">
        <f t="shared" si="113"/>
        <v>0.17307296084276202</v>
      </c>
      <c r="T495" s="12">
        <f t="shared" si="114"/>
        <v>1</v>
      </c>
    </row>
    <row r="496" spans="1:23" x14ac:dyDescent="0.3">
      <c r="A496" s="23"/>
      <c r="B496" s="12">
        <v>7</v>
      </c>
      <c r="C496" s="12">
        <v>5.0999999999999996</v>
      </c>
      <c r="D496" s="12">
        <v>3.8</v>
      </c>
      <c r="E496" s="12">
        <v>1.6</v>
      </c>
      <c r="F496" s="12">
        <v>0.2</v>
      </c>
      <c r="G496" s="12">
        <v>0</v>
      </c>
      <c r="I496" s="13">
        <f t="shared" si="115"/>
        <v>0.25769964063461936</v>
      </c>
      <c r="J496" s="13">
        <f t="shared" si="116"/>
        <v>-0.2423042161127886</v>
      </c>
      <c r="K496" s="13">
        <f t="shared" si="117"/>
        <v>-0.41624610224583619</v>
      </c>
      <c r="L496" s="13">
        <f t="shared" si="118"/>
        <v>1.1200192708032315</v>
      </c>
      <c r="M496" s="13">
        <f t="shared" si="119"/>
        <v>0.82313369972527439</v>
      </c>
      <c r="N496" s="13">
        <f t="shared" si="109"/>
        <v>-0.60312947684455454</v>
      </c>
      <c r="O496" s="13">
        <f t="shared" si="110"/>
        <v>0.35362804558787059</v>
      </c>
      <c r="P496" s="12">
        <f t="shared" si="111"/>
        <v>0</v>
      </c>
      <c r="Q496" s="13">
        <f t="shared" si="112"/>
        <v>0.35362804558787059</v>
      </c>
      <c r="R496" s="13">
        <f t="shared" si="113"/>
        <v>0.12505279462629706</v>
      </c>
      <c r="T496" s="12">
        <f t="shared" si="114"/>
        <v>1</v>
      </c>
    </row>
    <row r="497" spans="1:23" x14ac:dyDescent="0.3">
      <c r="A497" s="23"/>
      <c r="B497" s="12">
        <v>8</v>
      </c>
      <c r="C497" s="12">
        <v>4.5999999999999996</v>
      </c>
      <c r="D497" s="12">
        <v>3.2</v>
      </c>
      <c r="E497" s="12">
        <v>1.4</v>
      </c>
      <c r="F497" s="12">
        <v>0.2</v>
      </c>
      <c r="G497" s="12">
        <v>0</v>
      </c>
      <c r="I497" s="13">
        <f t="shared" si="115"/>
        <v>0.25769964063461936</v>
      </c>
      <c r="J497" s="13">
        <f t="shared" si="116"/>
        <v>-0.2423042161127886</v>
      </c>
      <c r="K497" s="13">
        <f t="shared" si="117"/>
        <v>-0.41624610224583619</v>
      </c>
      <c r="L497" s="13">
        <f t="shared" si="118"/>
        <v>1.1200192708032315</v>
      </c>
      <c r="M497" s="13">
        <f t="shared" si="119"/>
        <v>0.82313369972527439</v>
      </c>
      <c r="N497" s="13">
        <f t="shared" si="109"/>
        <v>-0.45623356160130518</v>
      </c>
      <c r="O497" s="13">
        <f t="shared" si="110"/>
        <v>0.38787970717520703</v>
      </c>
      <c r="P497" s="12">
        <f t="shared" si="111"/>
        <v>0</v>
      </c>
      <c r="Q497" s="13">
        <f t="shared" si="112"/>
        <v>0.38787970717520703</v>
      </c>
      <c r="R497" s="13">
        <f t="shared" si="113"/>
        <v>0.15045066723832434</v>
      </c>
      <c r="T497" s="12">
        <f t="shared" si="114"/>
        <v>1</v>
      </c>
    </row>
    <row r="498" spans="1:23" x14ac:dyDescent="0.3">
      <c r="A498" s="23"/>
      <c r="B498" s="12">
        <v>9</v>
      </c>
      <c r="C498" s="12">
        <v>5.3</v>
      </c>
      <c r="D498" s="12">
        <v>3.7</v>
      </c>
      <c r="E498" s="12">
        <v>1.5</v>
      </c>
      <c r="F498" s="12">
        <v>0.2</v>
      </c>
      <c r="G498" s="12">
        <v>0</v>
      </c>
      <c r="I498" s="13">
        <f t="shared" si="115"/>
        <v>0.25769964063461936</v>
      </c>
      <c r="J498" s="13">
        <f t="shared" si="116"/>
        <v>-0.2423042161127886</v>
      </c>
      <c r="K498" s="13">
        <f t="shared" si="117"/>
        <v>-0.41624610224583619</v>
      </c>
      <c r="L498" s="13">
        <f t="shared" si="118"/>
        <v>1.1200192708032315</v>
      </c>
      <c r="M498" s="13">
        <f t="shared" si="119"/>
        <v>0.82313369972527439</v>
      </c>
      <c r="N498" s="13">
        <f t="shared" si="109"/>
        <v>-0.72196763692285226</v>
      </c>
      <c r="O498" s="13">
        <f t="shared" si="110"/>
        <v>0.32695984311327958</v>
      </c>
      <c r="P498" s="12">
        <f t="shared" si="111"/>
        <v>0</v>
      </c>
      <c r="Q498" s="13">
        <f t="shared" si="112"/>
        <v>0.32695984311327958</v>
      </c>
      <c r="R498" s="13">
        <f t="shared" si="113"/>
        <v>0.1069027390086604</v>
      </c>
      <c r="T498" s="12">
        <f t="shared" si="114"/>
        <v>1</v>
      </c>
    </row>
    <row r="499" spans="1:23" x14ac:dyDescent="0.3">
      <c r="A499" s="23"/>
      <c r="B499" s="12">
        <v>10</v>
      </c>
      <c r="C499" s="12">
        <v>5</v>
      </c>
      <c r="D499" s="12">
        <v>3.3</v>
      </c>
      <c r="E499" s="12">
        <v>1.4</v>
      </c>
      <c r="F499" s="12">
        <v>0.2</v>
      </c>
      <c r="G499" s="12">
        <v>0</v>
      </c>
      <c r="I499" s="13">
        <f t="shared" si="115"/>
        <v>0.25769964063461936</v>
      </c>
      <c r="J499" s="13">
        <f t="shared" si="116"/>
        <v>-0.2423042161127886</v>
      </c>
      <c r="K499" s="13">
        <f t="shared" si="117"/>
        <v>-0.41624610224583619</v>
      </c>
      <c r="L499" s="13">
        <f t="shared" si="118"/>
        <v>1.1200192708032315</v>
      </c>
      <c r="M499" s="13">
        <f t="shared" si="119"/>
        <v>0.82313369972527439</v>
      </c>
      <c r="N499" s="13">
        <f t="shared" si="109"/>
        <v>-0.59477985827100399</v>
      </c>
      <c r="O499" s="13">
        <f t="shared" si="110"/>
        <v>0.35553888598096556</v>
      </c>
      <c r="P499" s="12">
        <f t="shared" si="111"/>
        <v>0</v>
      </c>
      <c r="Q499" s="13">
        <f t="shared" si="112"/>
        <v>0.35553888598096556</v>
      </c>
      <c r="R499" s="13">
        <f t="shared" si="113"/>
        <v>0.12640789944458602</v>
      </c>
      <c r="T499" s="12">
        <f t="shared" si="114"/>
        <v>1</v>
      </c>
    </row>
    <row r="500" spans="1:23" x14ac:dyDescent="0.3">
      <c r="A500" s="23"/>
      <c r="B500" s="12">
        <v>11</v>
      </c>
      <c r="C500" s="12">
        <v>5.5</v>
      </c>
      <c r="D500" s="12">
        <v>2.6</v>
      </c>
      <c r="E500" s="12">
        <v>4.4000000000000004</v>
      </c>
      <c r="F500" s="12">
        <v>1.2</v>
      </c>
      <c r="G500" s="12">
        <v>1</v>
      </c>
      <c r="I500" s="13">
        <f t="shared" si="115"/>
        <v>0.25769964063461936</v>
      </c>
      <c r="J500" s="13">
        <f t="shared" si="116"/>
        <v>-0.2423042161127886</v>
      </c>
      <c r="K500" s="13">
        <f t="shared" si="117"/>
        <v>-0.41624610224583619</v>
      </c>
      <c r="L500" s="13">
        <f t="shared" si="118"/>
        <v>1.1200192708032315</v>
      </c>
      <c r="M500" s="13">
        <f t="shared" si="119"/>
        <v>0.82313369972527439</v>
      </c>
      <c r="N500" s="13">
        <f t="shared" si="109"/>
        <v>3.7586318173796558</v>
      </c>
      <c r="O500" s="13">
        <f t="shared" si="110"/>
        <v>0.97721561347939156</v>
      </c>
      <c r="P500" s="12">
        <f t="shared" si="111"/>
        <v>1</v>
      </c>
      <c r="Q500" s="13">
        <f t="shared" si="112"/>
        <v>-2.2784386520608435E-2</v>
      </c>
      <c r="R500" s="13">
        <f t="shared" si="113"/>
        <v>5.1912826912048338E-4</v>
      </c>
      <c r="T500" s="12">
        <f t="shared" si="114"/>
        <v>1</v>
      </c>
    </row>
    <row r="501" spans="1:23" x14ac:dyDescent="0.3">
      <c r="A501" s="23"/>
      <c r="B501" s="12">
        <v>12</v>
      </c>
      <c r="C501" s="12">
        <v>6.1</v>
      </c>
      <c r="D501" s="12">
        <v>3</v>
      </c>
      <c r="E501" s="12">
        <v>4.5999999999999996</v>
      </c>
      <c r="F501" s="12">
        <v>1.4</v>
      </c>
      <c r="G501" s="12">
        <v>1</v>
      </c>
      <c r="I501" s="13">
        <f t="shared" si="115"/>
        <v>0.25769964063461936</v>
      </c>
      <c r="J501" s="13">
        <f t="shared" si="116"/>
        <v>-0.2423042161127886</v>
      </c>
      <c r="K501" s="13">
        <f t="shared" si="117"/>
        <v>-0.41624610224583619</v>
      </c>
      <c r="L501" s="13">
        <f t="shared" si="118"/>
        <v>1.1200192708032315</v>
      </c>
      <c r="M501" s="13">
        <f t="shared" si="119"/>
        <v>0.82313369972527439</v>
      </c>
      <c r="N501" s="13">
        <f t="shared" si="109"/>
        <v>3.835381440919349</v>
      </c>
      <c r="O501" s="13">
        <f t="shared" si="110"/>
        <v>0.97886330634140506</v>
      </c>
      <c r="P501" s="12">
        <f t="shared" si="111"/>
        <v>1</v>
      </c>
      <c r="Q501" s="13">
        <f t="shared" si="112"/>
        <v>-2.1136693658594941E-2</v>
      </c>
      <c r="R501" s="13">
        <f t="shared" si="113"/>
        <v>4.467598188172876E-4</v>
      </c>
      <c r="T501" s="12">
        <f t="shared" si="114"/>
        <v>1</v>
      </c>
    </row>
    <row r="502" spans="1:23" x14ac:dyDescent="0.3">
      <c r="A502" s="23"/>
      <c r="B502" s="12">
        <v>13</v>
      </c>
      <c r="C502" s="12">
        <v>5.8</v>
      </c>
      <c r="D502" s="12">
        <v>2.6</v>
      </c>
      <c r="E502" s="12">
        <v>4</v>
      </c>
      <c r="F502" s="12">
        <v>1.2</v>
      </c>
      <c r="G502" s="12">
        <v>1</v>
      </c>
      <c r="I502" s="13">
        <f t="shared" si="115"/>
        <v>0.25769964063461936</v>
      </c>
      <c r="J502" s="13">
        <f t="shared" si="116"/>
        <v>-0.2423042161127886</v>
      </c>
      <c r="K502" s="13">
        <f t="shared" si="117"/>
        <v>-0.41624610224583619</v>
      </c>
      <c r="L502" s="13">
        <f t="shared" si="118"/>
        <v>1.1200192708032315</v>
      </c>
      <c r="M502" s="13">
        <f t="shared" si="119"/>
        <v>0.82313369972527439</v>
      </c>
      <c r="N502" s="13">
        <f t="shared" si="109"/>
        <v>3.2379328442245265</v>
      </c>
      <c r="O502" s="13">
        <f t="shared" si="110"/>
        <v>0.96223706720254265</v>
      </c>
      <c r="P502" s="12">
        <f t="shared" si="111"/>
        <v>1</v>
      </c>
      <c r="Q502" s="13">
        <f t="shared" si="112"/>
        <v>-3.7762932797457349E-2</v>
      </c>
      <c r="R502" s="13">
        <f t="shared" si="113"/>
        <v>1.42603909346528E-3</v>
      </c>
      <c r="T502" s="12">
        <f t="shared" si="114"/>
        <v>1</v>
      </c>
    </row>
    <row r="503" spans="1:23" x14ac:dyDescent="0.3">
      <c r="A503" s="23"/>
      <c r="B503" s="12">
        <v>14</v>
      </c>
      <c r="C503" s="12">
        <v>5</v>
      </c>
      <c r="D503" s="12">
        <v>2.2999999999999998</v>
      </c>
      <c r="E503" s="12">
        <v>3.3</v>
      </c>
      <c r="F503" s="12">
        <v>1</v>
      </c>
      <c r="G503" s="12">
        <v>1</v>
      </c>
      <c r="I503" s="13">
        <f t="shared" si="115"/>
        <v>0.25769964063461936</v>
      </c>
      <c r="J503" s="13">
        <f t="shared" si="116"/>
        <v>-0.2423042161127886</v>
      </c>
      <c r="K503" s="13">
        <f t="shared" si="117"/>
        <v>-0.41624610224583619</v>
      </c>
      <c r="L503" s="13">
        <f t="shared" si="118"/>
        <v>1.1200192708032315</v>
      </c>
      <c r="M503" s="13">
        <f t="shared" si="119"/>
        <v>0.82313369972527439</v>
      </c>
      <c r="N503" s="13">
        <f t="shared" si="109"/>
        <v>2.6080098182811917</v>
      </c>
      <c r="O503" s="13">
        <f t="shared" si="110"/>
        <v>0.93137530227144771</v>
      </c>
      <c r="P503" s="12">
        <f t="shared" si="111"/>
        <v>1</v>
      </c>
      <c r="Q503" s="13">
        <f t="shared" si="112"/>
        <v>-6.8624697728552286E-2</v>
      </c>
      <c r="R503" s="13">
        <f t="shared" si="113"/>
        <v>4.7093491383351695E-3</v>
      </c>
      <c r="T503" s="12">
        <f t="shared" si="114"/>
        <v>1</v>
      </c>
    </row>
    <row r="504" spans="1:23" x14ac:dyDescent="0.3">
      <c r="A504" s="23"/>
      <c r="B504" s="12">
        <v>15</v>
      </c>
      <c r="C504" s="12">
        <v>5.6</v>
      </c>
      <c r="D504" s="12">
        <v>2.7</v>
      </c>
      <c r="E504" s="12">
        <v>4.2</v>
      </c>
      <c r="F504" s="12">
        <v>1.3</v>
      </c>
      <c r="G504" s="12">
        <v>1</v>
      </c>
      <c r="I504" s="13">
        <f t="shared" si="115"/>
        <v>0.25769964063461936</v>
      </c>
      <c r="J504" s="13">
        <f t="shared" si="116"/>
        <v>-0.2423042161127886</v>
      </c>
      <c r="K504" s="13">
        <f t="shared" si="117"/>
        <v>-0.41624610224583619</v>
      </c>
      <c r="L504" s="13">
        <f t="shared" si="118"/>
        <v>1.1200192708032315</v>
      </c>
      <c r="M504" s="13">
        <f t="shared" si="119"/>
        <v>0.82313369972527439</v>
      </c>
      <c r="N504" s="13">
        <f t="shared" si="109"/>
        <v>3.5510863013556753</v>
      </c>
      <c r="O504" s="13">
        <f t="shared" si="110"/>
        <v>0.97210689647318016</v>
      </c>
      <c r="P504" s="12">
        <f t="shared" si="111"/>
        <v>1</v>
      </c>
      <c r="Q504" s="13">
        <f t="shared" si="112"/>
        <v>-2.789310352681984E-2</v>
      </c>
      <c r="R504" s="13">
        <f t="shared" si="113"/>
        <v>7.7802522435788937E-4</v>
      </c>
      <c r="T504" s="12">
        <f t="shared" si="114"/>
        <v>1</v>
      </c>
    </row>
    <row r="505" spans="1:23" x14ac:dyDescent="0.3">
      <c r="A505" s="23"/>
      <c r="B505" s="12">
        <v>16</v>
      </c>
      <c r="C505" s="12">
        <v>5.7</v>
      </c>
      <c r="D505" s="12">
        <v>3</v>
      </c>
      <c r="E505" s="12">
        <v>4.2</v>
      </c>
      <c r="F505" s="12">
        <v>1.2</v>
      </c>
      <c r="G505" s="12">
        <v>1</v>
      </c>
      <c r="I505" s="13">
        <f t="shared" si="115"/>
        <v>0.25769964063461936</v>
      </c>
      <c r="J505" s="13">
        <f t="shared" si="116"/>
        <v>-0.2423042161127886</v>
      </c>
      <c r="K505" s="13">
        <f t="shared" si="117"/>
        <v>-0.41624610224583619</v>
      </c>
      <c r="L505" s="13">
        <f t="shared" si="118"/>
        <v>1.1200192708032315</v>
      </c>
      <c r="M505" s="13">
        <f t="shared" si="119"/>
        <v>0.82313369972527439</v>
      </c>
      <c r="N505" s="13">
        <f t="shared" si="109"/>
        <v>3.3196686790981178</v>
      </c>
      <c r="O505" s="13">
        <f t="shared" si="110"/>
        <v>0.96509743284938532</v>
      </c>
      <c r="P505" s="12">
        <f t="shared" si="111"/>
        <v>1</v>
      </c>
      <c r="Q505" s="13">
        <f t="shared" si="112"/>
        <v>-3.4902567150614683E-2</v>
      </c>
      <c r="R505" s="13">
        <f t="shared" si="113"/>
        <v>1.2181891937031672E-3</v>
      </c>
      <c r="T505" s="12">
        <f t="shared" si="114"/>
        <v>1</v>
      </c>
    </row>
    <row r="506" spans="1:23" x14ac:dyDescent="0.3">
      <c r="A506" s="23"/>
      <c r="B506" s="12">
        <v>17</v>
      </c>
      <c r="C506" s="12">
        <v>5.7</v>
      </c>
      <c r="D506" s="12">
        <v>2.9</v>
      </c>
      <c r="E506" s="12">
        <v>4.2</v>
      </c>
      <c r="F506" s="12">
        <v>1.3</v>
      </c>
      <c r="G506" s="12">
        <v>1</v>
      </c>
      <c r="I506" s="13">
        <f t="shared" si="115"/>
        <v>0.25769964063461936</v>
      </c>
      <c r="J506" s="13">
        <f t="shared" si="116"/>
        <v>-0.2423042161127886</v>
      </c>
      <c r="K506" s="13">
        <f t="shared" si="117"/>
        <v>-0.41624610224583619</v>
      </c>
      <c r="L506" s="13">
        <f t="shared" si="118"/>
        <v>1.1200192708032315</v>
      </c>
      <c r="M506" s="13">
        <f t="shared" si="119"/>
        <v>0.82313369972527439</v>
      </c>
      <c r="N506" s="13">
        <f t="shared" ref="N506:N509" si="120">I506+J506*C506+K506*D506+L506*E506+M506*F506</f>
        <v>3.443606659295229</v>
      </c>
      <c r="O506" s="13">
        <f t="shared" ref="O506:O509" si="121">1/(1+EXP(-N506))</f>
        <v>0.96903990451439848</v>
      </c>
      <c r="P506" s="12">
        <f t="shared" ref="P506:P509" si="122">IF(O506&gt;0.5,1,0)</f>
        <v>1</v>
      </c>
      <c r="Q506" s="13">
        <f t="shared" si="112"/>
        <v>-3.0960095485601524E-2</v>
      </c>
      <c r="R506" s="13">
        <f t="shared" ref="R506:R509" si="123">Q506^2</f>
        <v>9.5852751247756389E-4</v>
      </c>
      <c r="T506" s="12">
        <f t="shared" si="114"/>
        <v>1</v>
      </c>
    </row>
    <row r="507" spans="1:23" x14ac:dyDescent="0.3">
      <c r="A507" s="23"/>
      <c r="B507" s="12">
        <v>18</v>
      </c>
      <c r="C507" s="12">
        <v>6.2</v>
      </c>
      <c r="D507" s="12">
        <v>2.9</v>
      </c>
      <c r="E507" s="12">
        <v>4.3</v>
      </c>
      <c r="F507" s="12">
        <v>1.3</v>
      </c>
      <c r="G507" s="12">
        <v>1</v>
      </c>
      <c r="I507" s="13">
        <f t="shared" si="115"/>
        <v>0.25769964063461936</v>
      </c>
      <c r="J507" s="13">
        <f t="shared" si="116"/>
        <v>-0.2423042161127886</v>
      </c>
      <c r="K507" s="13">
        <f t="shared" si="117"/>
        <v>-0.41624610224583619</v>
      </c>
      <c r="L507" s="13">
        <f t="shared" si="118"/>
        <v>1.1200192708032315</v>
      </c>
      <c r="M507" s="13">
        <f t="shared" si="119"/>
        <v>0.82313369972527439</v>
      </c>
      <c r="N507" s="13">
        <f t="shared" si="120"/>
        <v>3.4344564783191567</v>
      </c>
      <c r="O507" s="13">
        <f t="shared" si="121"/>
        <v>0.96876420340747016</v>
      </c>
      <c r="P507" s="12">
        <f t="shared" si="122"/>
        <v>1</v>
      </c>
      <c r="Q507" s="13">
        <f t="shared" si="112"/>
        <v>-3.1235796592529841E-2</v>
      </c>
      <c r="R507" s="13">
        <f t="shared" si="123"/>
        <v>9.756749887698988E-4</v>
      </c>
      <c r="T507" s="12">
        <f t="shared" si="114"/>
        <v>1</v>
      </c>
    </row>
    <row r="508" spans="1:23" x14ac:dyDescent="0.3">
      <c r="A508" s="23"/>
      <c r="B508" s="12">
        <v>19</v>
      </c>
      <c r="C508" s="12">
        <v>5.0999999999999996</v>
      </c>
      <c r="D508" s="12">
        <v>2.5</v>
      </c>
      <c r="E508" s="12">
        <v>3</v>
      </c>
      <c r="F508" s="12">
        <v>1.1000000000000001</v>
      </c>
      <c r="G508" s="12">
        <v>1</v>
      </c>
      <c r="I508" s="13">
        <f t="shared" si="115"/>
        <v>0.25769964063461936</v>
      </c>
      <c r="J508" s="13">
        <f t="shared" si="116"/>
        <v>-0.2423042161127886</v>
      </c>
      <c r="K508" s="13">
        <f t="shared" si="117"/>
        <v>-0.41624610224583619</v>
      </c>
      <c r="L508" s="13">
        <f t="shared" si="118"/>
        <v>1.1200192708032315</v>
      </c>
      <c r="M508" s="13">
        <f t="shared" si="119"/>
        <v>0.82313369972527439</v>
      </c>
      <c r="N508" s="13">
        <f t="shared" si="120"/>
        <v>2.2468377649523035</v>
      </c>
      <c r="O508" s="13">
        <f t="shared" si="121"/>
        <v>0.90437741795269211</v>
      </c>
      <c r="P508" s="12">
        <f t="shared" si="122"/>
        <v>1</v>
      </c>
      <c r="Q508" s="13">
        <f t="shared" si="112"/>
        <v>-9.5622582047307891E-2</v>
      </c>
      <c r="R508" s="13">
        <f t="shared" si="123"/>
        <v>9.1436781973941294E-3</v>
      </c>
      <c r="T508" s="12">
        <f t="shared" si="114"/>
        <v>1</v>
      </c>
    </row>
    <row r="509" spans="1:23" x14ac:dyDescent="0.3">
      <c r="A509" s="23"/>
      <c r="B509" s="12">
        <v>20</v>
      </c>
      <c r="C509" s="12">
        <v>5.7</v>
      </c>
      <c r="D509" s="12">
        <v>2.8</v>
      </c>
      <c r="E509" s="12">
        <v>4.0999999999999996</v>
      </c>
      <c r="F509" s="12">
        <v>1.3</v>
      </c>
      <c r="G509" s="12">
        <v>1</v>
      </c>
      <c r="I509" s="13">
        <f t="shared" si="115"/>
        <v>0.25769964063461936</v>
      </c>
      <c r="J509" s="13">
        <f t="shared" si="116"/>
        <v>-0.2423042161127886</v>
      </c>
      <c r="K509" s="13">
        <f t="shared" si="117"/>
        <v>-0.41624610224583619</v>
      </c>
      <c r="L509" s="13">
        <f t="shared" si="118"/>
        <v>1.1200192708032315</v>
      </c>
      <c r="M509" s="13">
        <f t="shared" si="119"/>
        <v>0.82313369972527439</v>
      </c>
      <c r="N509" s="13">
        <f t="shared" si="120"/>
        <v>3.3732293424394886</v>
      </c>
      <c r="O509" s="13">
        <f t="shared" si="121"/>
        <v>0.96685732912500566</v>
      </c>
      <c r="P509" s="12">
        <f t="shared" si="122"/>
        <v>1</v>
      </c>
      <c r="Q509" s="13">
        <f t="shared" si="112"/>
        <v>-3.314267087499434E-2</v>
      </c>
      <c r="R509" s="13">
        <f t="shared" si="123"/>
        <v>1.0984366327281981E-3</v>
      </c>
      <c r="T509" s="12">
        <f t="shared" si="114"/>
        <v>1</v>
      </c>
      <c r="V509" s="17">
        <f>AVERAGE(T490:T509)</f>
        <v>1</v>
      </c>
      <c r="W509" s="16">
        <f>AVERAGE(R490:R509)</f>
        <v>8.1238908671473001E-2</v>
      </c>
    </row>
    <row r="512" spans="1:23" x14ac:dyDescent="0.3">
      <c r="A512" s="2" t="s">
        <v>112</v>
      </c>
    </row>
    <row r="514" spans="1:5" x14ac:dyDescent="0.3">
      <c r="A514" s="27" t="s">
        <v>102</v>
      </c>
      <c r="B514" s="27" t="s">
        <v>103</v>
      </c>
      <c r="C514" s="27"/>
      <c r="D514" s="27" t="s">
        <v>72</v>
      </c>
      <c r="E514" s="27"/>
    </row>
    <row r="515" spans="1:5" x14ac:dyDescent="0.3">
      <c r="A515" s="27"/>
      <c r="B515" s="19" t="s">
        <v>104</v>
      </c>
      <c r="C515" s="19" t="s">
        <v>105</v>
      </c>
      <c r="D515" s="19" t="s">
        <v>104</v>
      </c>
      <c r="E515" s="19" t="s">
        <v>105</v>
      </c>
    </row>
    <row r="516" spans="1:5" x14ac:dyDescent="0.3">
      <c r="A516" s="12">
        <v>1</v>
      </c>
      <c r="B516" s="20">
        <f>AB84</f>
        <v>0.44988865513952919</v>
      </c>
      <c r="C516" s="20">
        <f>W429</f>
        <v>0.32757315043824775</v>
      </c>
      <c r="D516" s="21">
        <f>AA84</f>
        <v>0.52500000000000002</v>
      </c>
      <c r="E516" s="21">
        <f>V429</f>
        <v>0.5</v>
      </c>
    </row>
    <row r="517" spans="1:5" x14ac:dyDescent="0.3">
      <c r="A517" s="12">
        <v>2</v>
      </c>
      <c r="B517" s="20">
        <f>AB164</f>
        <v>3.735536229040335E-2</v>
      </c>
      <c r="C517" s="20">
        <f>W449</f>
        <v>0.24596642301729213</v>
      </c>
      <c r="D517" s="21">
        <f>AA164</f>
        <v>0.95</v>
      </c>
      <c r="E517" s="21">
        <f>V449</f>
        <v>0.5</v>
      </c>
    </row>
    <row r="518" spans="1:5" x14ac:dyDescent="0.3">
      <c r="A518" s="12">
        <v>3</v>
      </c>
      <c r="B518" s="20">
        <f>AB244</f>
        <v>2.4337091440304374E-2</v>
      </c>
      <c r="C518" s="20">
        <f>W469</f>
        <v>0.17493701928921751</v>
      </c>
      <c r="D518" s="21">
        <f>AA244</f>
        <v>0.97499999999999998</v>
      </c>
      <c r="E518" s="21">
        <f>V469</f>
        <v>0.5</v>
      </c>
    </row>
    <row r="519" spans="1:5" x14ac:dyDescent="0.3">
      <c r="A519" s="12">
        <v>4</v>
      </c>
      <c r="B519" s="20">
        <f>AB324</f>
        <v>1.735241069643615E-2</v>
      </c>
      <c r="C519" s="20">
        <f>W489</f>
        <v>0.11875407537087945</v>
      </c>
      <c r="D519" s="21">
        <f>AA324</f>
        <v>0.97499999999999998</v>
      </c>
      <c r="E519" s="21">
        <f>V489</f>
        <v>0.85</v>
      </c>
    </row>
    <row r="520" spans="1:5" x14ac:dyDescent="0.3">
      <c r="A520" s="12">
        <v>5</v>
      </c>
      <c r="B520" s="20">
        <f>AB404</f>
        <v>1.2749798070801871E-2</v>
      </c>
      <c r="C520" s="20">
        <f>W509</f>
        <v>8.1238908671473001E-2</v>
      </c>
      <c r="D520" s="21">
        <f>AA404</f>
        <v>0.98750000000000004</v>
      </c>
      <c r="E520" s="21">
        <f>V509</f>
        <v>1</v>
      </c>
    </row>
    <row r="523" spans="1:5" x14ac:dyDescent="0.3">
      <c r="A523" s="2" t="s">
        <v>113</v>
      </c>
    </row>
    <row r="524" spans="1:5" x14ac:dyDescent="0.3">
      <c r="A524" s="3" t="s">
        <v>114</v>
      </c>
      <c r="B524" s="3" t="s">
        <v>115</v>
      </c>
      <c r="C524" s="3" t="s">
        <v>116</v>
      </c>
      <c r="D524" s="3" t="s">
        <v>117</v>
      </c>
      <c r="E524" s="3" t="s">
        <v>118</v>
      </c>
    </row>
    <row r="525" spans="1:5" x14ac:dyDescent="0.3">
      <c r="A525" s="12" t="s">
        <v>119</v>
      </c>
      <c r="B525" s="20">
        <f>'Hasil dan Visualisasi'!B9</f>
        <v>1.0836262608817917E-2</v>
      </c>
      <c r="C525" s="20">
        <f>'Hasil dan Visualisasi'!C9</f>
        <v>2.5099208240929149E-2</v>
      </c>
      <c r="D525" s="21">
        <f>'Hasil dan Visualisasi'!D9</f>
        <v>1</v>
      </c>
      <c r="E525" s="21">
        <f>'Hasil dan Visualisasi'!E9</f>
        <v>1</v>
      </c>
    </row>
    <row r="526" spans="1:5" x14ac:dyDescent="0.3">
      <c r="A526" s="12" t="s">
        <v>120</v>
      </c>
      <c r="B526" s="20">
        <f>B520</f>
        <v>1.2749798070801871E-2</v>
      </c>
      <c r="C526" s="20">
        <f>C520</f>
        <v>8.1238908671473001E-2</v>
      </c>
      <c r="D526" s="21">
        <f>D520</f>
        <v>0.98750000000000004</v>
      </c>
      <c r="E526" s="21">
        <f>E520</f>
        <v>1</v>
      </c>
    </row>
  </sheetData>
  <mergeCells count="25">
    <mergeCell ref="I2:J2"/>
    <mergeCell ref="K2:M2"/>
    <mergeCell ref="I3:M3"/>
    <mergeCell ref="P3:P4"/>
    <mergeCell ref="Q3:Q4"/>
    <mergeCell ref="R3:R4"/>
    <mergeCell ref="A5:A84"/>
    <mergeCell ref="A85:A164"/>
    <mergeCell ref="A165:A244"/>
    <mergeCell ref="A245:A324"/>
    <mergeCell ref="A325:A404"/>
    <mergeCell ref="I407:J407"/>
    <mergeCell ref="K407:M407"/>
    <mergeCell ref="I408:M408"/>
    <mergeCell ref="P408:P409"/>
    <mergeCell ref="Q408:Q409"/>
    <mergeCell ref="R408:R409"/>
    <mergeCell ref="A410:A429"/>
    <mergeCell ref="A430:A449"/>
    <mergeCell ref="A450:A469"/>
    <mergeCell ref="A470:A489"/>
    <mergeCell ref="A490:A509"/>
    <mergeCell ref="A514:A515"/>
    <mergeCell ref="B514:C514"/>
    <mergeCell ref="D514:E5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3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7" width="9" customWidth="1"/>
    <col min="8" max="8" width="17" customWidth="1"/>
  </cols>
  <sheetData>
    <row r="1" spans="1:8" ht="15.6" x14ac:dyDescent="0.3">
      <c r="A1" s="1" t="s">
        <v>121</v>
      </c>
    </row>
    <row r="3" spans="1:8" x14ac:dyDescent="0.3">
      <c r="A3" s="3" t="s">
        <v>122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123</v>
      </c>
    </row>
    <row r="4" spans="1:8" x14ac:dyDescent="0.3">
      <c r="A4" s="4" t="s">
        <v>104</v>
      </c>
      <c r="B4" s="12">
        <v>1</v>
      </c>
      <c r="C4" s="12">
        <v>5.0999999999999996</v>
      </c>
      <c r="D4" s="12">
        <v>3.5</v>
      </c>
      <c r="E4" s="12">
        <v>1.4</v>
      </c>
      <c r="F4" s="12">
        <v>0.2</v>
      </c>
      <c r="G4" s="12">
        <v>0</v>
      </c>
      <c r="H4" s="4" t="s">
        <v>124</v>
      </c>
    </row>
    <row r="5" spans="1:8" x14ac:dyDescent="0.3">
      <c r="A5" s="4" t="s">
        <v>104</v>
      </c>
      <c r="B5" s="12">
        <v>2</v>
      </c>
      <c r="C5" s="12">
        <v>4.9000000000000004</v>
      </c>
      <c r="D5" s="12">
        <v>3</v>
      </c>
      <c r="E5" s="12">
        <v>1.4</v>
      </c>
      <c r="F5" s="12">
        <v>0.2</v>
      </c>
      <c r="G5" s="12">
        <v>0</v>
      </c>
      <c r="H5" s="4" t="s">
        <v>124</v>
      </c>
    </row>
    <row r="6" spans="1:8" x14ac:dyDescent="0.3">
      <c r="A6" s="4" t="s">
        <v>104</v>
      </c>
      <c r="B6" s="12">
        <v>3</v>
      </c>
      <c r="C6" s="12">
        <v>4.7</v>
      </c>
      <c r="D6" s="12">
        <v>3.2</v>
      </c>
      <c r="E6" s="12">
        <v>1.3</v>
      </c>
      <c r="F6" s="12">
        <v>0.2</v>
      </c>
      <c r="G6" s="12">
        <v>0</v>
      </c>
      <c r="H6" s="4" t="s">
        <v>124</v>
      </c>
    </row>
    <row r="7" spans="1:8" x14ac:dyDescent="0.3">
      <c r="A7" s="4" t="s">
        <v>104</v>
      </c>
      <c r="B7" s="12">
        <v>4</v>
      </c>
      <c r="C7" s="12">
        <v>4.5999999999999996</v>
      </c>
      <c r="D7" s="12">
        <v>3.1</v>
      </c>
      <c r="E7" s="12">
        <v>1.5</v>
      </c>
      <c r="F7" s="12">
        <v>0.2</v>
      </c>
      <c r="G7" s="12">
        <v>0</v>
      </c>
      <c r="H7" s="4" t="s">
        <v>124</v>
      </c>
    </row>
    <row r="8" spans="1:8" x14ac:dyDescent="0.3">
      <c r="A8" s="4" t="s">
        <v>104</v>
      </c>
      <c r="B8" s="12">
        <v>5</v>
      </c>
      <c r="C8" s="12">
        <v>5</v>
      </c>
      <c r="D8" s="12">
        <v>3.6</v>
      </c>
      <c r="E8" s="12">
        <v>1.4</v>
      </c>
      <c r="F8" s="12">
        <v>0.2</v>
      </c>
      <c r="G8" s="12">
        <v>0</v>
      </c>
      <c r="H8" s="4" t="s">
        <v>124</v>
      </c>
    </row>
    <row r="9" spans="1:8" x14ac:dyDescent="0.3">
      <c r="A9" s="4" t="s">
        <v>104</v>
      </c>
      <c r="B9" s="12">
        <v>6</v>
      </c>
      <c r="C9" s="12">
        <v>5.4</v>
      </c>
      <c r="D9" s="12">
        <v>3.9</v>
      </c>
      <c r="E9" s="12">
        <v>1.7</v>
      </c>
      <c r="F9" s="12">
        <v>0.4</v>
      </c>
      <c r="G9" s="12">
        <v>0</v>
      </c>
      <c r="H9" s="4" t="s">
        <v>124</v>
      </c>
    </row>
    <row r="10" spans="1:8" x14ac:dyDescent="0.3">
      <c r="A10" s="4" t="s">
        <v>104</v>
      </c>
      <c r="B10" s="12">
        <v>7</v>
      </c>
      <c r="C10" s="12">
        <v>4.5999999999999996</v>
      </c>
      <c r="D10" s="12">
        <v>3.4</v>
      </c>
      <c r="E10" s="12">
        <v>1.4</v>
      </c>
      <c r="F10" s="12">
        <v>0.3</v>
      </c>
      <c r="G10" s="12">
        <v>0</v>
      </c>
      <c r="H10" s="4" t="s">
        <v>124</v>
      </c>
    </row>
    <row r="11" spans="1:8" x14ac:dyDescent="0.3">
      <c r="A11" s="4" t="s">
        <v>104</v>
      </c>
      <c r="B11" s="12">
        <v>8</v>
      </c>
      <c r="C11" s="12">
        <v>5</v>
      </c>
      <c r="D11" s="12">
        <v>3.4</v>
      </c>
      <c r="E11" s="12">
        <v>1.5</v>
      </c>
      <c r="F11" s="12">
        <v>0.2</v>
      </c>
      <c r="G11" s="12">
        <v>0</v>
      </c>
      <c r="H11" s="4" t="s">
        <v>124</v>
      </c>
    </row>
    <row r="12" spans="1:8" x14ac:dyDescent="0.3">
      <c r="A12" s="4" t="s">
        <v>104</v>
      </c>
      <c r="B12" s="12">
        <v>9</v>
      </c>
      <c r="C12" s="12">
        <v>4.4000000000000004</v>
      </c>
      <c r="D12" s="12">
        <v>2.9</v>
      </c>
      <c r="E12" s="12">
        <v>1.4</v>
      </c>
      <c r="F12" s="12">
        <v>0.2</v>
      </c>
      <c r="G12" s="12">
        <v>0</v>
      </c>
      <c r="H12" s="4" t="s">
        <v>124</v>
      </c>
    </row>
    <row r="13" spans="1:8" x14ac:dyDescent="0.3">
      <c r="A13" s="4" t="s">
        <v>104</v>
      </c>
      <c r="B13" s="12">
        <v>10</v>
      </c>
      <c r="C13" s="12">
        <v>4.9000000000000004</v>
      </c>
      <c r="D13" s="12">
        <v>3.1</v>
      </c>
      <c r="E13" s="12">
        <v>1.5</v>
      </c>
      <c r="F13" s="12">
        <v>0.1</v>
      </c>
      <c r="G13" s="12">
        <v>0</v>
      </c>
      <c r="H13" s="4" t="s">
        <v>124</v>
      </c>
    </row>
    <row r="14" spans="1:8" x14ac:dyDescent="0.3">
      <c r="A14" s="4" t="s">
        <v>104</v>
      </c>
      <c r="B14" s="12">
        <v>11</v>
      </c>
      <c r="C14" s="12">
        <v>5.4</v>
      </c>
      <c r="D14" s="12">
        <v>3.7</v>
      </c>
      <c r="E14" s="12">
        <v>1.5</v>
      </c>
      <c r="F14" s="12">
        <v>0.2</v>
      </c>
      <c r="G14" s="12">
        <v>0</v>
      </c>
      <c r="H14" s="4" t="s">
        <v>124</v>
      </c>
    </row>
    <row r="15" spans="1:8" x14ac:dyDescent="0.3">
      <c r="A15" s="4" t="s">
        <v>104</v>
      </c>
      <c r="B15" s="12">
        <v>12</v>
      </c>
      <c r="C15" s="12">
        <v>4.8</v>
      </c>
      <c r="D15" s="12">
        <v>3.4</v>
      </c>
      <c r="E15" s="12">
        <v>1.6</v>
      </c>
      <c r="F15" s="12">
        <v>0.2</v>
      </c>
      <c r="G15" s="12">
        <v>0</v>
      </c>
      <c r="H15" s="4" t="s">
        <v>124</v>
      </c>
    </row>
    <row r="16" spans="1:8" x14ac:dyDescent="0.3">
      <c r="A16" s="4" t="s">
        <v>104</v>
      </c>
      <c r="B16" s="12">
        <v>13</v>
      </c>
      <c r="C16" s="12">
        <v>4.8</v>
      </c>
      <c r="D16" s="12">
        <v>3</v>
      </c>
      <c r="E16" s="12">
        <v>1.4</v>
      </c>
      <c r="F16" s="12">
        <v>0.1</v>
      </c>
      <c r="G16" s="12">
        <v>0</v>
      </c>
      <c r="H16" s="4" t="s">
        <v>124</v>
      </c>
    </row>
    <row r="17" spans="1:8" x14ac:dyDescent="0.3">
      <c r="A17" s="4" t="s">
        <v>104</v>
      </c>
      <c r="B17" s="12">
        <v>14</v>
      </c>
      <c r="C17" s="12">
        <v>4.3</v>
      </c>
      <c r="D17" s="12">
        <v>3</v>
      </c>
      <c r="E17" s="12">
        <v>1.1000000000000001</v>
      </c>
      <c r="F17" s="12">
        <v>0.1</v>
      </c>
      <c r="G17" s="12">
        <v>0</v>
      </c>
      <c r="H17" s="4" t="s">
        <v>124</v>
      </c>
    </row>
    <row r="18" spans="1:8" x14ac:dyDescent="0.3">
      <c r="A18" s="4" t="s">
        <v>104</v>
      </c>
      <c r="B18" s="12">
        <v>15</v>
      </c>
      <c r="C18" s="12">
        <v>5.8</v>
      </c>
      <c r="D18" s="12">
        <v>4</v>
      </c>
      <c r="E18" s="12">
        <v>1.2</v>
      </c>
      <c r="F18" s="12">
        <v>0.2</v>
      </c>
      <c r="G18" s="12">
        <v>0</v>
      </c>
      <c r="H18" s="4" t="s">
        <v>124</v>
      </c>
    </row>
    <row r="19" spans="1:8" x14ac:dyDescent="0.3">
      <c r="A19" s="4" t="s">
        <v>104</v>
      </c>
      <c r="B19" s="12">
        <v>16</v>
      </c>
      <c r="C19" s="12">
        <v>5.7</v>
      </c>
      <c r="D19" s="12">
        <v>4.4000000000000004</v>
      </c>
      <c r="E19" s="12">
        <v>1.5</v>
      </c>
      <c r="F19" s="12">
        <v>0.4</v>
      </c>
      <c r="G19" s="12">
        <v>0</v>
      </c>
      <c r="H19" s="4" t="s">
        <v>124</v>
      </c>
    </row>
    <row r="20" spans="1:8" x14ac:dyDescent="0.3">
      <c r="A20" s="4" t="s">
        <v>104</v>
      </c>
      <c r="B20" s="12">
        <v>17</v>
      </c>
      <c r="C20" s="12">
        <v>5.4</v>
      </c>
      <c r="D20" s="12">
        <v>3.9</v>
      </c>
      <c r="E20" s="12">
        <v>1.3</v>
      </c>
      <c r="F20" s="12">
        <v>0.4</v>
      </c>
      <c r="G20" s="12">
        <v>0</v>
      </c>
      <c r="H20" s="4" t="s">
        <v>124</v>
      </c>
    </row>
    <row r="21" spans="1:8" x14ac:dyDescent="0.3">
      <c r="A21" s="4" t="s">
        <v>104</v>
      </c>
      <c r="B21" s="12">
        <v>18</v>
      </c>
      <c r="C21" s="12">
        <v>5.0999999999999996</v>
      </c>
      <c r="D21" s="12">
        <v>3.5</v>
      </c>
      <c r="E21" s="12">
        <v>1.4</v>
      </c>
      <c r="F21" s="12">
        <v>0.3</v>
      </c>
      <c r="G21" s="12">
        <v>0</v>
      </c>
      <c r="H21" s="4" t="s">
        <v>124</v>
      </c>
    </row>
    <row r="22" spans="1:8" x14ac:dyDescent="0.3">
      <c r="A22" s="4" t="s">
        <v>104</v>
      </c>
      <c r="B22" s="12">
        <v>19</v>
      </c>
      <c r="C22" s="12">
        <v>5.7</v>
      </c>
      <c r="D22" s="12">
        <v>3.8</v>
      </c>
      <c r="E22" s="12">
        <v>1.7</v>
      </c>
      <c r="F22" s="12">
        <v>0.3</v>
      </c>
      <c r="G22" s="12">
        <v>0</v>
      </c>
      <c r="H22" s="4" t="s">
        <v>124</v>
      </c>
    </row>
    <row r="23" spans="1:8" x14ac:dyDescent="0.3">
      <c r="A23" s="4" t="s">
        <v>104</v>
      </c>
      <c r="B23" s="12">
        <v>20</v>
      </c>
      <c r="C23" s="12">
        <v>5.0999999999999996</v>
      </c>
      <c r="D23" s="12">
        <v>3.8</v>
      </c>
      <c r="E23" s="12">
        <v>1.5</v>
      </c>
      <c r="F23" s="12">
        <v>0.3</v>
      </c>
      <c r="G23" s="12">
        <v>0</v>
      </c>
      <c r="H23" s="4" t="s">
        <v>124</v>
      </c>
    </row>
    <row r="24" spans="1:8" x14ac:dyDescent="0.3">
      <c r="A24" s="4" t="s">
        <v>104</v>
      </c>
      <c r="B24" s="12">
        <v>21</v>
      </c>
      <c r="C24" s="12">
        <v>7</v>
      </c>
      <c r="D24" s="12">
        <v>3.2</v>
      </c>
      <c r="E24" s="12">
        <v>4.7</v>
      </c>
      <c r="F24" s="12">
        <v>1.4</v>
      </c>
      <c r="G24" s="12">
        <v>1</v>
      </c>
      <c r="H24" s="4" t="s">
        <v>125</v>
      </c>
    </row>
    <row r="25" spans="1:8" x14ac:dyDescent="0.3">
      <c r="A25" s="4" t="s">
        <v>104</v>
      </c>
      <c r="B25" s="12">
        <v>22</v>
      </c>
      <c r="C25" s="12">
        <v>6.4</v>
      </c>
      <c r="D25" s="12">
        <v>3.2</v>
      </c>
      <c r="E25" s="12">
        <v>4.5</v>
      </c>
      <c r="F25" s="12">
        <v>1.5</v>
      </c>
      <c r="G25" s="12">
        <v>1</v>
      </c>
      <c r="H25" s="4" t="s">
        <v>125</v>
      </c>
    </row>
    <row r="26" spans="1:8" x14ac:dyDescent="0.3">
      <c r="A26" s="4" t="s">
        <v>104</v>
      </c>
      <c r="B26" s="12">
        <v>23</v>
      </c>
      <c r="C26" s="12">
        <v>6.9</v>
      </c>
      <c r="D26" s="12">
        <v>3.1</v>
      </c>
      <c r="E26" s="12">
        <v>4.9000000000000004</v>
      </c>
      <c r="F26" s="12">
        <v>1.5</v>
      </c>
      <c r="G26" s="12">
        <v>1</v>
      </c>
      <c r="H26" s="4" t="s">
        <v>125</v>
      </c>
    </row>
    <row r="27" spans="1:8" x14ac:dyDescent="0.3">
      <c r="A27" s="4" t="s">
        <v>104</v>
      </c>
      <c r="B27" s="12">
        <v>24</v>
      </c>
      <c r="C27" s="12">
        <v>5.5</v>
      </c>
      <c r="D27" s="12">
        <v>2.2999999999999998</v>
      </c>
      <c r="E27" s="12">
        <v>4</v>
      </c>
      <c r="F27" s="12">
        <v>1.3</v>
      </c>
      <c r="G27" s="12">
        <v>1</v>
      </c>
      <c r="H27" s="4" t="s">
        <v>125</v>
      </c>
    </row>
    <row r="28" spans="1:8" x14ac:dyDescent="0.3">
      <c r="A28" s="4" t="s">
        <v>104</v>
      </c>
      <c r="B28" s="12">
        <v>25</v>
      </c>
      <c r="C28" s="12">
        <v>6.5</v>
      </c>
      <c r="D28" s="12">
        <v>2.8</v>
      </c>
      <c r="E28" s="12">
        <v>4.5999999999999996</v>
      </c>
      <c r="F28" s="12">
        <v>1.5</v>
      </c>
      <c r="G28" s="12">
        <v>1</v>
      </c>
      <c r="H28" s="4" t="s">
        <v>125</v>
      </c>
    </row>
    <row r="29" spans="1:8" x14ac:dyDescent="0.3">
      <c r="A29" s="4" t="s">
        <v>104</v>
      </c>
      <c r="B29" s="12">
        <v>26</v>
      </c>
      <c r="C29" s="12">
        <v>5.7</v>
      </c>
      <c r="D29" s="12">
        <v>2.8</v>
      </c>
      <c r="E29" s="12">
        <v>4.5</v>
      </c>
      <c r="F29" s="12">
        <v>1.3</v>
      </c>
      <c r="G29" s="12">
        <v>1</v>
      </c>
      <c r="H29" s="4" t="s">
        <v>125</v>
      </c>
    </row>
    <row r="30" spans="1:8" x14ac:dyDescent="0.3">
      <c r="A30" s="4" t="s">
        <v>104</v>
      </c>
      <c r="B30" s="12">
        <v>27</v>
      </c>
      <c r="C30" s="12">
        <v>6.3</v>
      </c>
      <c r="D30" s="12">
        <v>3.3</v>
      </c>
      <c r="E30" s="12">
        <v>4.7</v>
      </c>
      <c r="F30" s="12">
        <v>1.6</v>
      </c>
      <c r="G30" s="12">
        <v>1</v>
      </c>
      <c r="H30" s="4" t="s">
        <v>125</v>
      </c>
    </row>
    <row r="31" spans="1:8" x14ac:dyDescent="0.3">
      <c r="A31" s="4" t="s">
        <v>104</v>
      </c>
      <c r="B31" s="12">
        <v>28</v>
      </c>
      <c r="C31" s="12">
        <v>4.9000000000000004</v>
      </c>
      <c r="D31" s="12">
        <v>2.4</v>
      </c>
      <c r="E31" s="12">
        <v>3.3</v>
      </c>
      <c r="F31" s="12">
        <v>1</v>
      </c>
      <c r="G31" s="12">
        <v>1</v>
      </c>
      <c r="H31" s="4" t="s">
        <v>125</v>
      </c>
    </row>
    <row r="32" spans="1:8" x14ac:dyDescent="0.3">
      <c r="A32" s="4" t="s">
        <v>104</v>
      </c>
      <c r="B32" s="12">
        <v>29</v>
      </c>
      <c r="C32" s="12">
        <v>6.6</v>
      </c>
      <c r="D32" s="12">
        <v>2.9</v>
      </c>
      <c r="E32" s="12">
        <v>4.5999999999999996</v>
      </c>
      <c r="F32" s="12">
        <v>1.3</v>
      </c>
      <c r="G32" s="12">
        <v>1</v>
      </c>
      <c r="H32" s="4" t="s">
        <v>125</v>
      </c>
    </row>
    <row r="33" spans="1:8" x14ac:dyDescent="0.3">
      <c r="A33" s="4" t="s">
        <v>104</v>
      </c>
      <c r="B33" s="12">
        <v>30</v>
      </c>
      <c r="C33" s="12">
        <v>5.2</v>
      </c>
      <c r="D33" s="12">
        <v>2.7</v>
      </c>
      <c r="E33" s="12">
        <v>3.9</v>
      </c>
      <c r="F33" s="12">
        <v>1.4</v>
      </c>
      <c r="G33" s="12">
        <v>1</v>
      </c>
      <c r="H33" s="4" t="s">
        <v>125</v>
      </c>
    </row>
    <row r="34" spans="1:8" x14ac:dyDescent="0.3">
      <c r="A34" s="4" t="s">
        <v>104</v>
      </c>
      <c r="B34" s="12">
        <v>31</v>
      </c>
      <c r="C34" s="12">
        <v>5</v>
      </c>
      <c r="D34" s="12">
        <v>2</v>
      </c>
      <c r="E34" s="12">
        <v>3.5</v>
      </c>
      <c r="F34" s="12">
        <v>1</v>
      </c>
      <c r="G34" s="12">
        <v>1</v>
      </c>
      <c r="H34" s="4" t="s">
        <v>125</v>
      </c>
    </row>
    <row r="35" spans="1:8" x14ac:dyDescent="0.3">
      <c r="A35" s="4" t="s">
        <v>104</v>
      </c>
      <c r="B35" s="12">
        <v>32</v>
      </c>
      <c r="C35" s="12">
        <v>5.9</v>
      </c>
      <c r="D35" s="12">
        <v>3</v>
      </c>
      <c r="E35" s="12">
        <v>4.2</v>
      </c>
      <c r="F35" s="12">
        <v>1.5</v>
      </c>
      <c r="G35" s="12">
        <v>1</v>
      </c>
      <c r="H35" s="4" t="s">
        <v>125</v>
      </c>
    </row>
    <row r="36" spans="1:8" x14ac:dyDescent="0.3">
      <c r="A36" s="4" t="s">
        <v>104</v>
      </c>
      <c r="B36" s="12">
        <v>33</v>
      </c>
      <c r="C36" s="12">
        <v>6</v>
      </c>
      <c r="D36" s="12">
        <v>2.2000000000000002</v>
      </c>
      <c r="E36" s="12">
        <v>4</v>
      </c>
      <c r="F36" s="12">
        <v>1</v>
      </c>
      <c r="G36" s="12">
        <v>1</v>
      </c>
      <c r="H36" s="4" t="s">
        <v>125</v>
      </c>
    </row>
    <row r="37" spans="1:8" x14ac:dyDescent="0.3">
      <c r="A37" s="4" t="s">
        <v>104</v>
      </c>
      <c r="B37" s="12">
        <v>34</v>
      </c>
      <c r="C37" s="12">
        <v>6.1</v>
      </c>
      <c r="D37" s="12">
        <v>2.9</v>
      </c>
      <c r="E37" s="12">
        <v>4.7</v>
      </c>
      <c r="F37" s="12">
        <v>1.4</v>
      </c>
      <c r="G37" s="12">
        <v>1</v>
      </c>
      <c r="H37" s="4" t="s">
        <v>125</v>
      </c>
    </row>
    <row r="38" spans="1:8" x14ac:dyDescent="0.3">
      <c r="A38" s="4" t="s">
        <v>104</v>
      </c>
      <c r="B38" s="12">
        <v>35</v>
      </c>
      <c r="C38" s="12">
        <v>5.6</v>
      </c>
      <c r="D38" s="12">
        <v>2.9</v>
      </c>
      <c r="E38" s="12">
        <v>3.6</v>
      </c>
      <c r="F38" s="12">
        <v>1.3</v>
      </c>
      <c r="G38" s="12">
        <v>1</v>
      </c>
      <c r="H38" s="4" t="s">
        <v>125</v>
      </c>
    </row>
    <row r="39" spans="1:8" x14ac:dyDescent="0.3">
      <c r="A39" s="4" t="s">
        <v>104</v>
      </c>
      <c r="B39" s="12">
        <v>36</v>
      </c>
      <c r="C39" s="12">
        <v>6.7</v>
      </c>
      <c r="D39" s="12">
        <v>3.1</v>
      </c>
      <c r="E39" s="12">
        <v>4.4000000000000004</v>
      </c>
      <c r="F39" s="12">
        <v>1.4</v>
      </c>
      <c r="G39" s="12">
        <v>1</v>
      </c>
      <c r="H39" s="4" t="s">
        <v>125</v>
      </c>
    </row>
    <row r="40" spans="1:8" x14ac:dyDescent="0.3">
      <c r="A40" s="4" t="s">
        <v>104</v>
      </c>
      <c r="B40" s="12">
        <v>37</v>
      </c>
      <c r="C40" s="12">
        <v>5.6</v>
      </c>
      <c r="D40" s="12">
        <v>3</v>
      </c>
      <c r="E40" s="12">
        <v>4.5</v>
      </c>
      <c r="F40" s="12">
        <v>1.5</v>
      </c>
      <c r="G40" s="12">
        <v>1</v>
      </c>
      <c r="H40" s="4" t="s">
        <v>125</v>
      </c>
    </row>
    <row r="41" spans="1:8" x14ac:dyDescent="0.3">
      <c r="A41" s="4" t="s">
        <v>104</v>
      </c>
      <c r="B41" s="12">
        <v>38</v>
      </c>
      <c r="C41" s="12">
        <v>5.8</v>
      </c>
      <c r="D41" s="12">
        <v>2.7</v>
      </c>
      <c r="E41" s="12">
        <v>4.0999999999999996</v>
      </c>
      <c r="F41" s="12">
        <v>1</v>
      </c>
      <c r="G41" s="12">
        <v>1</v>
      </c>
      <c r="H41" s="4" t="s">
        <v>125</v>
      </c>
    </row>
    <row r="42" spans="1:8" x14ac:dyDescent="0.3">
      <c r="A42" s="4" t="s">
        <v>104</v>
      </c>
      <c r="B42" s="12">
        <v>39</v>
      </c>
      <c r="C42" s="12">
        <v>6.2</v>
      </c>
      <c r="D42" s="12">
        <v>2.2000000000000002</v>
      </c>
      <c r="E42" s="12">
        <v>4.5</v>
      </c>
      <c r="F42" s="12">
        <v>1.5</v>
      </c>
      <c r="G42" s="12">
        <v>1</v>
      </c>
      <c r="H42" s="4" t="s">
        <v>125</v>
      </c>
    </row>
    <row r="43" spans="1:8" x14ac:dyDescent="0.3">
      <c r="A43" s="4" t="s">
        <v>104</v>
      </c>
      <c r="B43" s="12">
        <v>40</v>
      </c>
      <c r="C43" s="12">
        <v>5.6</v>
      </c>
      <c r="D43" s="12">
        <v>2.5</v>
      </c>
      <c r="E43" s="12">
        <v>3.9</v>
      </c>
      <c r="F43" s="12">
        <v>1.1000000000000001</v>
      </c>
      <c r="G43" s="12">
        <v>1</v>
      </c>
      <c r="H43" s="4" t="s">
        <v>125</v>
      </c>
    </row>
    <row r="44" spans="1:8" x14ac:dyDescent="0.3">
      <c r="A44" s="4" t="s">
        <v>104</v>
      </c>
      <c r="B44" s="12">
        <v>41</v>
      </c>
      <c r="C44" s="12">
        <v>5.4</v>
      </c>
      <c r="D44" s="12">
        <v>3.4</v>
      </c>
      <c r="E44" s="12">
        <v>1.7</v>
      </c>
      <c r="F44" s="12">
        <v>0.2</v>
      </c>
      <c r="G44" s="12">
        <v>0</v>
      </c>
      <c r="H44" s="4" t="s">
        <v>124</v>
      </c>
    </row>
    <row r="45" spans="1:8" x14ac:dyDescent="0.3">
      <c r="A45" s="4" t="s">
        <v>104</v>
      </c>
      <c r="B45" s="12">
        <v>42</v>
      </c>
      <c r="C45" s="12">
        <v>5.0999999999999996</v>
      </c>
      <c r="D45" s="12">
        <v>3.7</v>
      </c>
      <c r="E45" s="12">
        <v>1.5</v>
      </c>
      <c r="F45" s="12">
        <v>0.4</v>
      </c>
      <c r="G45" s="12">
        <v>0</v>
      </c>
      <c r="H45" s="4" t="s">
        <v>124</v>
      </c>
    </row>
    <row r="46" spans="1:8" x14ac:dyDescent="0.3">
      <c r="A46" s="4" t="s">
        <v>104</v>
      </c>
      <c r="B46" s="12">
        <v>43</v>
      </c>
      <c r="C46" s="12">
        <v>4.5999999999999996</v>
      </c>
      <c r="D46" s="12">
        <v>3.6</v>
      </c>
      <c r="E46" s="12">
        <v>1</v>
      </c>
      <c r="F46" s="12">
        <v>0.2</v>
      </c>
      <c r="G46" s="12">
        <v>0</v>
      </c>
      <c r="H46" s="4" t="s">
        <v>124</v>
      </c>
    </row>
    <row r="47" spans="1:8" x14ac:dyDescent="0.3">
      <c r="A47" s="4" t="s">
        <v>104</v>
      </c>
      <c r="B47" s="12">
        <v>44</v>
      </c>
      <c r="C47" s="12">
        <v>5.0999999999999996</v>
      </c>
      <c r="D47" s="12">
        <v>3.3</v>
      </c>
      <c r="E47" s="12">
        <v>1.7</v>
      </c>
      <c r="F47" s="12">
        <v>0.5</v>
      </c>
      <c r="G47" s="12">
        <v>0</v>
      </c>
      <c r="H47" s="4" t="s">
        <v>124</v>
      </c>
    </row>
    <row r="48" spans="1:8" x14ac:dyDescent="0.3">
      <c r="A48" s="4" t="s">
        <v>104</v>
      </c>
      <c r="B48" s="12">
        <v>45</v>
      </c>
      <c r="C48" s="12">
        <v>4.8</v>
      </c>
      <c r="D48" s="12">
        <v>3.4</v>
      </c>
      <c r="E48" s="12">
        <v>1.9</v>
      </c>
      <c r="F48" s="12">
        <v>0.2</v>
      </c>
      <c r="G48" s="12">
        <v>0</v>
      </c>
      <c r="H48" s="4" t="s">
        <v>124</v>
      </c>
    </row>
    <row r="49" spans="1:8" x14ac:dyDescent="0.3">
      <c r="A49" s="4" t="s">
        <v>104</v>
      </c>
      <c r="B49" s="12">
        <v>46</v>
      </c>
      <c r="C49" s="12">
        <v>5</v>
      </c>
      <c r="D49" s="12">
        <v>3</v>
      </c>
      <c r="E49" s="12">
        <v>1.6</v>
      </c>
      <c r="F49" s="12">
        <v>0.2</v>
      </c>
      <c r="G49" s="12">
        <v>0</v>
      </c>
      <c r="H49" s="4" t="s">
        <v>124</v>
      </c>
    </row>
    <row r="50" spans="1:8" x14ac:dyDescent="0.3">
      <c r="A50" s="4" t="s">
        <v>104</v>
      </c>
      <c r="B50" s="12">
        <v>47</v>
      </c>
      <c r="C50" s="12">
        <v>5</v>
      </c>
      <c r="D50" s="12">
        <v>3.4</v>
      </c>
      <c r="E50" s="12">
        <v>1.6</v>
      </c>
      <c r="F50" s="12">
        <v>0.4</v>
      </c>
      <c r="G50" s="12">
        <v>0</v>
      </c>
      <c r="H50" s="4" t="s">
        <v>124</v>
      </c>
    </row>
    <row r="51" spans="1:8" x14ac:dyDescent="0.3">
      <c r="A51" s="4" t="s">
        <v>104</v>
      </c>
      <c r="B51" s="12">
        <v>48</v>
      </c>
      <c r="C51" s="12">
        <v>5.2</v>
      </c>
      <c r="D51" s="12">
        <v>3.5</v>
      </c>
      <c r="E51" s="12">
        <v>1.5</v>
      </c>
      <c r="F51" s="12">
        <v>0.2</v>
      </c>
      <c r="G51" s="12">
        <v>0</v>
      </c>
      <c r="H51" s="4" t="s">
        <v>124</v>
      </c>
    </row>
    <row r="52" spans="1:8" x14ac:dyDescent="0.3">
      <c r="A52" s="4" t="s">
        <v>104</v>
      </c>
      <c r="B52" s="12">
        <v>49</v>
      </c>
      <c r="C52" s="12">
        <v>5.2</v>
      </c>
      <c r="D52" s="12">
        <v>3.4</v>
      </c>
      <c r="E52" s="12">
        <v>1.4</v>
      </c>
      <c r="F52" s="12">
        <v>0.2</v>
      </c>
      <c r="G52" s="12">
        <v>0</v>
      </c>
      <c r="H52" s="4" t="s">
        <v>124</v>
      </c>
    </row>
    <row r="53" spans="1:8" x14ac:dyDescent="0.3">
      <c r="A53" s="4" t="s">
        <v>104</v>
      </c>
      <c r="B53" s="12">
        <v>50</v>
      </c>
      <c r="C53" s="12">
        <v>4.7</v>
      </c>
      <c r="D53" s="12">
        <v>3.2</v>
      </c>
      <c r="E53" s="12">
        <v>1.6</v>
      </c>
      <c r="F53" s="12">
        <v>0.2</v>
      </c>
      <c r="G53" s="12">
        <v>0</v>
      </c>
      <c r="H53" s="4" t="s">
        <v>124</v>
      </c>
    </row>
    <row r="54" spans="1:8" x14ac:dyDescent="0.3">
      <c r="A54" s="4" t="s">
        <v>104</v>
      </c>
      <c r="B54" s="12">
        <v>51</v>
      </c>
      <c r="C54" s="12">
        <v>4.8</v>
      </c>
      <c r="D54" s="12">
        <v>3.1</v>
      </c>
      <c r="E54" s="12">
        <v>1.6</v>
      </c>
      <c r="F54" s="12">
        <v>0.2</v>
      </c>
      <c r="G54" s="12">
        <v>0</v>
      </c>
      <c r="H54" s="4" t="s">
        <v>124</v>
      </c>
    </row>
    <row r="55" spans="1:8" x14ac:dyDescent="0.3">
      <c r="A55" s="4" t="s">
        <v>104</v>
      </c>
      <c r="B55" s="12">
        <v>52</v>
      </c>
      <c r="C55" s="12">
        <v>5.4</v>
      </c>
      <c r="D55" s="12">
        <v>3.4</v>
      </c>
      <c r="E55" s="12">
        <v>1.5</v>
      </c>
      <c r="F55" s="12">
        <v>0.4</v>
      </c>
      <c r="G55" s="12">
        <v>0</v>
      </c>
      <c r="H55" s="4" t="s">
        <v>124</v>
      </c>
    </row>
    <row r="56" spans="1:8" x14ac:dyDescent="0.3">
      <c r="A56" s="4" t="s">
        <v>104</v>
      </c>
      <c r="B56" s="12">
        <v>53</v>
      </c>
      <c r="C56" s="12">
        <v>5.2</v>
      </c>
      <c r="D56" s="12">
        <v>4.0999999999999996</v>
      </c>
      <c r="E56" s="12">
        <v>1.5</v>
      </c>
      <c r="F56" s="12">
        <v>0.1</v>
      </c>
      <c r="G56" s="12">
        <v>0</v>
      </c>
      <c r="H56" s="4" t="s">
        <v>124</v>
      </c>
    </row>
    <row r="57" spans="1:8" x14ac:dyDescent="0.3">
      <c r="A57" s="4" t="s">
        <v>104</v>
      </c>
      <c r="B57" s="12">
        <v>54</v>
      </c>
      <c r="C57" s="12">
        <v>5.5</v>
      </c>
      <c r="D57" s="12">
        <v>4.2</v>
      </c>
      <c r="E57" s="12">
        <v>1.4</v>
      </c>
      <c r="F57" s="12">
        <v>0.2</v>
      </c>
      <c r="G57" s="12">
        <v>0</v>
      </c>
      <c r="H57" s="4" t="s">
        <v>124</v>
      </c>
    </row>
    <row r="58" spans="1:8" x14ac:dyDescent="0.3">
      <c r="A58" s="4" t="s">
        <v>104</v>
      </c>
      <c r="B58" s="12">
        <v>55</v>
      </c>
      <c r="C58" s="12">
        <v>4.9000000000000004</v>
      </c>
      <c r="D58" s="12">
        <v>3.1</v>
      </c>
      <c r="E58" s="12">
        <v>1.5</v>
      </c>
      <c r="F58" s="12">
        <v>0.1</v>
      </c>
      <c r="G58" s="12">
        <v>0</v>
      </c>
      <c r="H58" s="4" t="s">
        <v>124</v>
      </c>
    </row>
    <row r="59" spans="1:8" x14ac:dyDescent="0.3">
      <c r="A59" s="4" t="s">
        <v>104</v>
      </c>
      <c r="B59" s="12">
        <v>56</v>
      </c>
      <c r="C59" s="12">
        <v>5</v>
      </c>
      <c r="D59" s="12">
        <v>3.2</v>
      </c>
      <c r="E59" s="12">
        <v>1.2</v>
      </c>
      <c r="F59" s="12">
        <v>0.2</v>
      </c>
      <c r="G59" s="12">
        <v>0</v>
      </c>
      <c r="H59" s="4" t="s">
        <v>124</v>
      </c>
    </row>
    <row r="60" spans="1:8" x14ac:dyDescent="0.3">
      <c r="A60" s="4" t="s">
        <v>104</v>
      </c>
      <c r="B60" s="12">
        <v>57</v>
      </c>
      <c r="C60" s="12">
        <v>5.5</v>
      </c>
      <c r="D60" s="12">
        <v>3.5</v>
      </c>
      <c r="E60" s="12">
        <v>1.3</v>
      </c>
      <c r="F60" s="12">
        <v>0.2</v>
      </c>
      <c r="G60" s="12">
        <v>0</v>
      </c>
      <c r="H60" s="4" t="s">
        <v>124</v>
      </c>
    </row>
    <row r="61" spans="1:8" x14ac:dyDescent="0.3">
      <c r="A61" s="4" t="s">
        <v>104</v>
      </c>
      <c r="B61" s="12">
        <v>58</v>
      </c>
      <c r="C61" s="12">
        <v>4.9000000000000004</v>
      </c>
      <c r="D61" s="12">
        <v>3.1</v>
      </c>
      <c r="E61" s="12">
        <v>1.5</v>
      </c>
      <c r="F61" s="12">
        <v>0.1</v>
      </c>
      <c r="G61" s="12">
        <v>0</v>
      </c>
      <c r="H61" s="4" t="s">
        <v>124</v>
      </c>
    </row>
    <row r="62" spans="1:8" x14ac:dyDescent="0.3">
      <c r="A62" s="4" t="s">
        <v>104</v>
      </c>
      <c r="B62" s="12">
        <v>59</v>
      </c>
      <c r="C62" s="12">
        <v>4.4000000000000004</v>
      </c>
      <c r="D62" s="12">
        <v>3</v>
      </c>
      <c r="E62" s="12">
        <v>1.3</v>
      </c>
      <c r="F62" s="12">
        <v>0.2</v>
      </c>
      <c r="G62" s="12">
        <v>0</v>
      </c>
      <c r="H62" s="4" t="s">
        <v>124</v>
      </c>
    </row>
    <row r="63" spans="1:8" x14ac:dyDescent="0.3">
      <c r="A63" s="4" t="s">
        <v>104</v>
      </c>
      <c r="B63" s="12">
        <v>60</v>
      </c>
      <c r="C63" s="12">
        <v>5.0999999999999996</v>
      </c>
      <c r="D63" s="12">
        <v>3.4</v>
      </c>
      <c r="E63" s="12">
        <v>1.5</v>
      </c>
      <c r="F63" s="12">
        <v>0.2</v>
      </c>
      <c r="G63" s="12">
        <v>0</v>
      </c>
      <c r="H63" s="4" t="s">
        <v>124</v>
      </c>
    </row>
    <row r="64" spans="1:8" x14ac:dyDescent="0.3">
      <c r="A64" s="4" t="s">
        <v>104</v>
      </c>
      <c r="B64" s="12">
        <v>61</v>
      </c>
      <c r="C64" s="12">
        <v>5.9</v>
      </c>
      <c r="D64" s="12">
        <v>3.2</v>
      </c>
      <c r="E64" s="12">
        <v>4.8</v>
      </c>
      <c r="F64" s="12">
        <v>1.8</v>
      </c>
      <c r="G64" s="12">
        <v>1</v>
      </c>
      <c r="H64" s="4" t="s">
        <v>125</v>
      </c>
    </row>
    <row r="65" spans="1:8" x14ac:dyDescent="0.3">
      <c r="A65" s="4" t="s">
        <v>104</v>
      </c>
      <c r="B65" s="12">
        <v>62</v>
      </c>
      <c r="C65" s="12">
        <v>6.1</v>
      </c>
      <c r="D65" s="12">
        <v>2.8</v>
      </c>
      <c r="E65" s="12">
        <v>4</v>
      </c>
      <c r="F65" s="12">
        <v>1.3</v>
      </c>
      <c r="G65" s="12">
        <v>1</v>
      </c>
      <c r="H65" s="4" t="s">
        <v>125</v>
      </c>
    </row>
    <row r="66" spans="1:8" x14ac:dyDescent="0.3">
      <c r="A66" s="4" t="s">
        <v>104</v>
      </c>
      <c r="B66" s="12">
        <v>63</v>
      </c>
      <c r="C66" s="12">
        <v>6.3</v>
      </c>
      <c r="D66" s="12">
        <v>2.5</v>
      </c>
      <c r="E66" s="12">
        <v>4.9000000000000004</v>
      </c>
      <c r="F66" s="12">
        <v>1.5</v>
      </c>
      <c r="G66" s="12">
        <v>1</v>
      </c>
      <c r="H66" s="4" t="s">
        <v>125</v>
      </c>
    </row>
    <row r="67" spans="1:8" x14ac:dyDescent="0.3">
      <c r="A67" s="4" t="s">
        <v>104</v>
      </c>
      <c r="B67" s="12">
        <v>64</v>
      </c>
      <c r="C67" s="12">
        <v>6.1</v>
      </c>
      <c r="D67" s="12">
        <v>2.8</v>
      </c>
      <c r="E67" s="12">
        <v>4.7</v>
      </c>
      <c r="F67" s="12">
        <v>1.2</v>
      </c>
      <c r="G67" s="12">
        <v>1</v>
      </c>
      <c r="H67" s="4" t="s">
        <v>125</v>
      </c>
    </row>
    <row r="68" spans="1:8" x14ac:dyDescent="0.3">
      <c r="A68" s="4" t="s">
        <v>104</v>
      </c>
      <c r="B68" s="12">
        <v>65</v>
      </c>
      <c r="C68" s="12">
        <v>6.4</v>
      </c>
      <c r="D68" s="12">
        <v>2.9</v>
      </c>
      <c r="E68" s="12">
        <v>4.3</v>
      </c>
      <c r="F68" s="12">
        <v>1.3</v>
      </c>
      <c r="G68" s="12">
        <v>1</v>
      </c>
      <c r="H68" s="4" t="s">
        <v>125</v>
      </c>
    </row>
    <row r="69" spans="1:8" x14ac:dyDescent="0.3">
      <c r="A69" s="4" t="s">
        <v>104</v>
      </c>
      <c r="B69" s="12">
        <v>66</v>
      </c>
      <c r="C69" s="12">
        <v>6.6</v>
      </c>
      <c r="D69" s="12">
        <v>3</v>
      </c>
      <c r="E69" s="12">
        <v>4.4000000000000004</v>
      </c>
      <c r="F69" s="12">
        <v>1.4</v>
      </c>
      <c r="G69" s="12">
        <v>1</v>
      </c>
      <c r="H69" s="4" t="s">
        <v>125</v>
      </c>
    </row>
    <row r="70" spans="1:8" x14ac:dyDescent="0.3">
      <c r="A70" s="4" t="s">
        <v>104</v>
      </c>
      <c r="B70" s="12">
        <v>67</v>
      </c>
      <c r="C70" s="12">
        <v>6.8</v>
      </c>
      <c r="D70" s="12">
        <v>2.8</v>
      </c>
      <c r="E70" s="12">
        <v>4.8</v>
      </c>
      <c r="F70" s="12">
        <v>1.4</v>
      </c>
      <c r="G70" s="12">
        <v>1</v>
      </c>
      <c r="H70" s="4" t="s">
        <v>125</v>
      </c>
    </row>
    <row r="71" spans="1:8" x14ac:dyDescent="0.3">
      <c r="A71" s="4" t="s">
        <v>104</v>
      </c>
      <c r="B71" s="12">
        <v>68</v>
      </c>
      <c r="C71" s="12">
        <v>6.7</v>
      </c>
      <c r="D71" s="12">
        <v>3</v>
      </c>
      <c r="E71" s="12">
        <v>5</v>
      </c>
      <c r="F71" s="12">
        <v>1.7</v>
      </c>
      <c r="G71" s="12">
        <v>1</v>
      </c>
      <c r="H71" s="4" t="s">
        <v>125</v>
      </c>
    </row>
    <row r="72" spans="1:8" x14ac:dyDescent="0.3">
      <c r="A72" s="4" t="s">
        <v>104</v>
      </c>
      <c r="B72" s="12">
        <v>69</v>
      </c>
      <c r="C72" s="12">
        <v>6</v>
      </c>
      <c r="D72" s="12">
        <v>2.9</v>
      </c>
      <c r="E72" s="12">
        <v>4.5</v>
      </c>
      <c r="F72" s="12">
        <v>1.5</v>
      </c>
      <c r="G72" s="12">
        <v>1</v>
      </c>
      <c r="H72" s="4" t="s">
        <v>125</v>
      </c>
    </row>
    <row r="73" spans="1:8" x14ac:dyDescent="0.3">
      <c r="A73" s="4" t="s">
        <v>104</v>
      </c>
      <c r="B73" s="12">
        <v>70</v>
      </c>
      <c r="C73" s="12">
        <v>5.7</v>
      </c>
      <c r="D73" s="12">
        <v>2.6</v>
      </c>
      <c r="E73" s="12">
        <v>3.5</v>
      </c>
      <c r="F73" s="12">
        <v>1</v>
      </c>
      <c r="G73" s="12">
        <v>1</v>
      </c>
      <c r="H73" s="4" t="s">
        <v>125</v>
      </c>
    </row>
    <row r="74" spans="1:8" x14ac:dyDescent="0.3">
      <c r="A74" s="4" t="s">
        <v>104</v>
      </c>
      <c r="B74" s="12">
        <v>71</v>
      </c>
      <c r="C74" s="12">
        <v>5.5</v>
      </c>
      <c r="D74" s="12">
        <v>2.4</v>
      </c>
      <c r="E74" s="12">
        <v>3.8</v>
      </c>
      <c r="F74" s="12">
        <v>1.1000000000000001</v>
      </c>
      <c r="G74" s="12">
        <v>1</v>
      </c>
      <c r="H74" s="4" t="s">
        <v>125</v>
      </c>
    </row>
    <row r="75" spans="1:8" x14ac:dyDescent="0.3">
      <c r="A75" s="4" t="s">
        <v>104</v>
      </c>
      <c r="B75" s="12">
        <v>72</v>
      </c>
      <c r="C75" s="12">
        <v>5.5</v>
      </c>
      <c r="D75" s="12">
        <v>2.4</v>
      </c>
      <c r="E75" s="12">
        <v>3.7</v>
      </c>
      <c r="F75" s="12">
        <v>1</v>
      </c>
      <c r="G75" s="12">
        <v>1</v>
      </c>
      <c r="H75" s="4" t="s">
        <v>125</v>
      </c>
    </row>
    <row r="76" spans="1:8" x14ac:dyDescent="0.3">
      <c r="A76" s="4" t="s">
        <v>104</v>
      </c>
      <c r="B76" s="12">
        <v>73</v>
      </c>
      <c r="C76" s="12">
        <v>5.8</v>
      </c>
      <c r="D76" s="12">
        <v>2.7</v>
      </c>
      <c r="E76" s="12">
        <v>3.9</v>
      </c>
      <c r="F76" s="12">
        <v>1.2</v>
      </c>
      <c r="G76" s="12">
        <v>1</v>
      </c>
      <c r="H76" s="4" t="s">
        <v>125</v>
      </c>
    </row>
    <row r="77" spans="1:8" x14ac:dyDescent="0.3">
      <c r="A77" s="4" t="s">
        <v>104</v>
      </c>
      <c r="B77" s="12">
        <v>74</v>
      </c>
      <c r="C77" s="12">
        <v>6</v>
      </c>
      <c r="D77" s="12">
        <v>2.7</v>
      </c>
      <c r="E77" s="12">
        <v>5.0999999999999996</v>
      </c>
      <c r="F77" s="12">
        <v>1.6</v>
      </c>
      <c r="G77" s="12">
        <v>1</v>
      </c>
      <c r="H77" s="4" t="s">
        <v>125</v>
      </c>
    </row>
    <row r="78" spans="1:8" x14ac:dyDescent="0.3">
      <c r="A78" s="4" t="s">
        <v>104</v>
      </c>
      <c r="B78" s="12">
        <v>75</v>
      </c>
      <c r="C78" s="12">
        <v>5.4</v>
      </c>
      <c r="D78" s="12">
        <v>3</v>
      </c>
      <c r="E78" s="12">
        <v>4.5</v>
      </c>
      <c r="F78" s="12">
        <v>1.5</v>
      </c>
      <c r="G78" s="12">
        <v>1</v>
      </c>
      <c r="H78" s="4" t="s">
        <v>125</v>
      </c>
    </row>
    <row r="79" spans="1:8" x14ac:dyDescent="0.3">
      <c r="A79" s="4" t="s">
        <v>104</v>
      </c>
      <c r="B79" s="12">
        <v>76</v>
      </c>
      <c r="C79" s="12">
        <v>6</v>
      </c>
      <c r="D79" s="12">
        <v>3.4</v>
      </c>
      <c r="E79" s="12">
        <v>4.5</v>
      </c>
      <c r="F79" s="12">
        <v>1.6</v>
      </c>
      <c r="G79" s="12">
        <v>1</v>
      </c>
      <c r="H79" s="4" t="s">
        <v>125</v>
      </c>
    </row>
    <row r="80" spans="1:8" x14ac:dyDescent="0.3">
      <c r="A80" s="4" t="s">
        <v>104</v>
      </c>
      <c r="B80" s="12">
        <v>77</v>
      </c>
      <c r="C80" s="12">
        <v>6.7</v>
      </c>
      <c r="D80" s="12">
        <v>3.1</v>
      </c>
      <c r="E80" s="12">
        <v>4.7</v>
      </c>
      <c r="F80" s="12">
        <v>1.5</v>
      </c>
      <c r="G80" s="12">
        <v>1</v>
      </c>
      <c r="H80" s="4" t="s">
        <v>125</v>
      </c>
    </row>
    <row r="81" spans="1:8" x14ac:dyDescent="0.3">
      <c r="A81" s="4" t="s">
        <v>104</v>
      </c>
      <c r="B81" s="12">
        <v>78</v>
      </c>
      <c r="C81" s="12">
        <v>6.3</v>
      </c>
      <c r="D81" s="12">
        <v>2.2999999999999998</v>
      </c>
      <c r="E81" s="12">
        <v>4.4000000000000004</v>
      </c>
      <c r="F81" s="12">
        <v>1.3</v>
      </c>
      <c r="G81" s="12">
        <v>1</v>
      </c>
      <c r="H81" s="4" t="s">
        <v>125</v>
      </c>
    </row>
    <row r="82" spans="1:8" x14ac:dyDescent="0.3">
      <c r="A82" s="4" t="s">
        <v>104</v>
      </c>
      <c r="B82" s="12">
        <v>79</v>
      </c>
      <c r="C82" s="12">
        <v>5.6</v>
      </c>
      <c r="D82" s="12">
        <v>3</v>
      </c>
      <c r="E82" s="12">
        <v>4.0999999999999996</v>
      </c>
      <c r="F82" s="12">
        <v>1.3</v>
      </c>
      <c r="G82" s="12">
        <v>1</v>
      </c>
      <c r="H82" s="4" t="s">
        <v>125</v>
      </c>
    </row>
    <row r="83" spans="1:8" x14ac:dyDescent="0.3">
      <c r="A83" s="4" t="s">
        <v>104</v>
      </c>
      <c r="B83" s="12">
        <v>80</v>
      </c>
      <c r="C83" s="12">
        <v>5.5</v>
      </c>
      <c r="D83" s="12">
        <v>2.5</v>
      </c>
      <c r="E83" s="12">
        <v>4</v>
      </c>
      <c r="F83" s="12">
        <v>1.3</v>
      </c>
      <c r="G83" s="12">
        <v>1</v>
      </c>
      <c r="H83" s="4" t="s">
        <v>125</v>
      </c>
    </row>
    <row r="84" spans="1:8" x14ac:dyDescent="0.3">
      <c r="A84" s="4" t="s">
        <v>105</v>
      </c>
      <c r="B84" s="12">
        <v>1</v>
      </c>
      <c r="C84" s="12">
        <v>5</v>
      </c>
      <c r="D84" s="12">
        <v>3.5</v>
      </c>
      <c r="E84" s="12">
        <v>1.3</v>
      </c>
      <c r="F84" s="12">
        <v>0.3</v>
      </c>
      <c r="G84" s="12">
        <v>0</v>
      </c>
      <c r="H84" s="4" t="s">
        <v>124</v>
      </c>
    </row>
    <row r="85" spans="1:8" x14ac:dyDescent="0.3">
      <c r="A85" s="4" t="s">
        <v>105</v>
      </c>
      <c r="B85" s="12">
        <v>2</v>
      </c>
      <c r="C85" s="12">
        <v>4.5</v>
      </c>
      <c r="D85" s="12">
        <v>2.2999999999999998</v>
      </c>
      <c r="E85" s="12">
        <v>1.3</v>
      </c>
      <c r="F85" s="12">
        <v>0.3</v>
      </c>
      <c r="G85" s="12">
        <v>0</v>
      </c>
      <c r="H85" s="4" t="s">
        <v>124</v>
      </c>
    </row>
    <row r="86" spans="1:8" x14ac:dyDescent="0.3">
      <c r="A86" s="4" t="s">
        <v>105</v>
      </c>
      <c r="B86" s="12">
        <v>3</v>
      </c>
      <c r="C86" s="12">
        <v>4.4000000000000004</v>
      </c>
      <c r="D86" s="12">
        <v>3.2</v>
      </c>
      <c r="E86" s="12">
        <v>1.3</v>
      </c>
      <c r="F86" s="12">
        <v>0.2</v>
      </c>
      <c r="G86" s="12">
        <v>0</v>
      </c>
      <c r="H86" s="4" t="s">
        <v>124</v>
      </c>
    </row>
    <row r="87" spans="1:8" x14ac:dyDescent="0.3">
      <c r="A87" s="4" t="s">
        <v>105</v>
      </c>
      <c r="B87" s="12">
        <v>4</v>
      </c>
      <c r="C87" s="12">
        <v>5</v>
      </c>
      <c r="D87" s="12">
        <v>3.5</v>
      </c>
      <c r="E87" s="12">
        <v>1.6</v>
      </c>
      <c r="F87" s="12">
        <v>0.6</v>
      </c>
      <c r="G87" s="12">
        <v>0</v>
      </c>
      <c r="H87" s="4" t="s">
        <v>124</v>
      </c>
    </row>
    <row r="88" spans="1:8" x14ac:dyDescent="0.3">
      <c r="A88" s="4" t="s">
        <v>105</v>
      </c>
      <c r="B88" s="12">
        <v>5</v>
      </c>
      <c r="C88" s="12">
        <v>5.0999999999999996</v>
      </c>
      <c r="D88" s="12">
        <v>3.8</v>
      </c>
      <c r="E88" s="12">
        <v>1.9</v>
      </c>
      <c r="F88" s="12">
        <v>0.4</v>
      </c>
      <c r="G88" s="12">
        <v>0</v>
      </c>
      <c r="H88" s="4" t="s">
        <v>124</v>
      </c>
    </row>
    <row r="89" spans="1:8" x14ac:dyDescent="0.3">
      <c r="A89" s="4" t="s">
        <v>105</v>
      </c>
      <c r="B89" s="12">
        <v>6</v>
      </c>
      <c r="C89" s="12">
        <v>4.8</v>
      </c>
      <c r="D89" s="12">
        <v>3</v>
      </c>
      <c r="E89" s="12">
        <v>1.4</v>
      </c>
      <c r="F89" s="12">
        <v>0.3</v>
      </c>
      <c r="G89" s="12">
        <v>0</v>
      </c>
      <c r="H89" s="4" t="s">
        <v>124</v>
      </c>
    </row>
    <row r="90" spans="1:8" x14ac:dyDescent="0.3">
      <c r="A90" s="4" t="s">
        <v>105</v>
      </c>
      <c r="B90" s="12">
        <v>7</v>
      </c>
      <c r="C90" s="12">
        <v>5.0999999999999996</v>
      </c>
      <c r="D90" s="12">
        <v>3.8</v>
      </c>
      <c r="E90" s="12">
        <v>1.6</v>
      </c>
      <c r="F90" s="12">
        <v>0.2</v>
      </c>
      <c r="G90" s="12">
        <v>0</v>
      </c>
      <c r="H90" s="4" t="s">
        <v>124</v>
      </c>
    </row>
    <row r="91" spans="1:8" x14ac:dyDescent="0.3">
      <c r="A91" s="4" t="s">
        <v>105</v>
      </c>
      <c r="B91" s="12">
        <v>8</v>
      </c>
      <c r="C91" s="12">
        <v>4.5999999999999996</v>
      </c>
      <c r="D91" s="12">
        <v>3.2</v>
      </c>
      <c r="E91" s="12">
        <v>1.4</v>
      </c>
      <c r="F91" s="12">
        <v>0.2</v>
      </c>
      <c r="G91" s="12">
        <v>0</v>
      </c>
      <c r="H91" s="4" t="s">
        <v>124</v>
      </c>
    </row>
    <row r="92" spans="1:8" x14ac:dyDescent="0.3">
      <c r="A92" s="4" t="s">
        <v>105</v>
      </c>
      <c r="B92" s="12">
        <v>9</v>
      </c>
      <c r="C92" s="12">
        <v>5.3</v>
      </c>
      <c r="D92" s="12">
        <v>3.7</v>
      </c>
      <c r="E92" s="12">
        <v>1.5</v>
      </c>
      <c r="F92" s="12">
        <v>0.2</v>
      </c>
      <c r="G92" s="12">
        <v>0</v>
      </c>
      <c r="H92" s="4" t="s">
        <v>124</v>
      </c>
    </row>
    <row r="93" spans="1:8" x14ac:dyDescent="0.3">
      <c r="A93" s="4" t="s">
        <v>105</v>
      </c>
      <c r="B93" s="12">
        <v>10</v>
      </c>
      <c r="C93" s="12">
        <v>5</v>
      </c>
      <c r="D93" s="12">
        <v>3.3</v>
      </c>
      <c r="E93" s="12">
        <v>1.4</v>
      </c>
      <c r="F93" s="12">
        <v>0.2</v>
      </c>
      <c r="G93" s="12">
        <v>0</v>
      </c>
      <c r="H93" s="4" t="s">
        <v>124</v>
      </c>
    </row>
    <row r="94" spans="1:8" x14ac:dyDescent="0.3">
      <c r="A94" s="4" t="s">
        <v>105</v>
      </c>
      <c r="B94" s="12">
        <v>11</v>
      </c>
      <c r="C94" s="12">
        <v>5.5</v>
      </c>
      <c r="D94" s="12">
        <v>2.6</v>
      </c>
      <c r="E94" s="12">
        <v>4.4000000000000004</v>
      </c>
      <c r="F94" s="12">
        <v>1.2</v>
      </c>
      <c r="G94" s="12">
        <v>1</v>
      </c>
      <c r="H94" s="4" t="s">
        <v>125</v>
      </c>
    </row>
    <row r="95" spans="1:8" x14ac:dyDescent="0.3">
      <c r="A95" s="4" t="s">
        <v>105</v>
      </c>
      <c r="B95" s="12">
        <v>12</v>
      </c>
      <c r="C95" s="12">
        <v>6.1</v>
      </c>
      <c r="D95" s="12">
        <v>3</v>
      </c>
      <c r="E95" s="12">
        <v>4.5999999999999996</v>
      </c>
      <c r="F95" s="12">
        <v>1.4</v>
      </c>
      <c r="G95" s="12">
        <v>1</v>
      </c>
      <c r="H95" s="4" t="s">
        <v>125</v>
      </c>
    </row>
    <row r="96" spans="1:8" x14ac:dyDescent="0.3">
      <c r="A96" s="4" t="s">
        <v>105</v>
      </c>
      <c r="B96" s="12">
        <v>13</v>
      </c>
      <c r="C96" s="12">
        <v>5.8</v>
      </c>
      <c r="D96" s="12">
        <v>2.6</v>
      </c>
      <c r="E96" s="12">
        <v>4</v>
      </c>
      <c r="F96" s="12">
        <v>1.2</v>
      </c>
      <c r="G96" s="12">
        <v>1</v>
      </c>
      <c r="H96" s="4" t="s">
        <v>125</v>
      </c>
    </row>
    <row r="97" spans="1:8" x14ac:dyDescent="0.3">
      <c r="A97" s="4" t="s">
        <v>105</v>
      </c>
      <c r="B97" s="12">
        <v>14</v>
      </c>
      <c r="C97" s="12">
        <v>5</v>
      </c>
      <c r="D97" s="12">
        <v>2.2999999999999998</v>
      </c>
      <c r="E97" s="12">
        <v>3.3</v>
      </c>
      <c r="F97" s="12">
        <v>1</v>
      </c>
      <c r="G97" s="12">
        <v>1</v>
      </c>
      <c r="H97" s="4" t="s">
        <v>125</v>
      </c>
    </row>
    <row r="98" spans="1:8" x14ac:dyDescent="0.3">
      <c r="A98" s="4" t="s">
        <v>105</v>
      </c>
      <c r="B98" s="12">
        <v>15</v>
      </c>
      <c r="C98" s="12">
        <v>5.6</v>
      </c>
      <c r="D98" s="12">
        <v>2.7</v>
      </c>
      <c r="E98" s="12">
        <v>4.2</v>
      </c>
      <c r="F98" s="12">
        <v>1.3</v>
      </c>
      <c r="G98" s="12">
        <v>1</v>
      </c>
      <c r="H98" s="4" t="s">
        <v>125</v>
      </c>
    </row>
    <row r="99" spans="1:8" x14ac:dyDescent="0.3">
      <c r="A99" s="4" t="s">
        <v>105</v>
      </c>
      <c r="B99" s="12">
        <v>16</v>
      </c>
      <c r="C99" s="12">
        <v>5.7</v>
      </c>
      <c r="D99" s="12">
        <v>3</v>
      </c>
      <c r="E99" s="12">
        <v>4.2</v>
      </c>
      <c r="F99" s="12">
        <v>1.2</v>
      </c>
      <c r="G99" s="12">
        <v>1</v>
      </c>
      <c r="H99" s="4" t="s">
        <v>125</v>
      </c>
    </row>
    <row r="100" spans="1:8" x14ac:dyDescent="0.3">
      <c r="A100" s="4" t="s">
        <v>105</v>
      </c>
      <c r="B100" s="12">
        <v>17</v>
      </c>
      <c r="C100" s="12">
        <v>5.7</v>
      </c>
      <c r="D100" s="12">
        <v>2.9</v>
      </c>
      <c r="E100" s="12">
        <v>4.2</v>
      </c>
      <c r="F100" s="12">
        <v>1.3</v>
      </c>
      <c r="G100" s="12">
        <v>1</v>
      </c>
      <c r="H100" s="4" t="s">
        <v>125</v>
      </c>
    </row>
    <row r="101" spans="1:8" x14ac:dyDescent="0.3">
      <c r="A101" s="4" t="s">
        <v>105</v>
      </c>
      <c r="B101" s="12">
        <v>18</v>
      </c>
      <c r="C101" s="12">
        <v>6.2</v>
      </c>
      <c r="D101" s="12">
        <v>2.9</v>
      </c>
      <c r="E101" s="12">
        <v>4.3</v>
      </c>
      <c r="F101" s="12">
        <v>1.3</v>
      </c>
      <c r="G101" s="12">
        <v>1</v>
      </c>
      <c r="H101" s="4" t="s">
        <v>125</v>
      </c>
    </row>
    <row r="102" spans="1:8" x14ac:dyDescent="0.3">
      <c r="A102" s="4" t="s">
        <v>105</v>
      </c>
      <c r="B102" s="12">
        <v>19</v>
      </c>
      <c r="C102" s="12">
        <v>5.0999999999999996</v>
      </c>
      <c r="D102" s="12">
        <v>2.5</v>
      </c>
      <c r="E102" s="12">
        <v>3</v>
      </c>
      <c r="F102" s="12">
        <v>1.1000000000000001</v>
      </c>
      <c r="G102" s="12">
        <v>1</v>
      </c>
      <c r="H102" s="4" t="s">
        <v>125</v>
      </c>
    </row>
    <row r="103" spans="1:8" x14ac:dyDescent="0.3">
      <c r="A103" s="4" t="s">
        <v>105</v>
      </c>
      <c r="B103" s="12">
        <v>20</v>
      </c>
      <c r="C103" s="12">
        <v>5.7</v>
      </c>
      <c r="D103" s="12">
        <v>2.8</v>
      </c>
      <c r="E103" s="12">
        <v>4.0999999999999996</v>
      </c>
      <c r="F103" s="12">
        <v>1.3</v>
      </c>
      <c r="G103" s="12">
        <v>1</v>
      </c>
      <c r="H103" s="4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Konfigurasi Model</vt:lpstr>
      <vt:lpstr>Epoch 1</vt:lpstr>
      <vt:lpstr>Epoch 2</vt:lpstr>
      <vt:lpstr>Epoch 3</vt:lpstr>
      <vt:lpstr>Epoch 4</vt:lpstr>
      <vt:lpstr>Epoch 5</vt:lpstr>
      <vt:lpstr>Hasil dan Visualisasi</vt:lpstr>
      <vt:lpstr>Trial without shuffled data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Frans Alwan</cp:lastModifiedBy>
  <cp:revision>1</cp:revision>
  <dcterms:created xsi:type="dcterms:W3CDTF">2026-09-03T04:32:46Z</dcterms:created>
  <dcterms:modified xsi:type="dcterms:W3CDTF">2026-09-03T05:10:26Z</dcterms:modified>
  <dc:language>en-US</dc:language>
</cp:coreProperties>
</file>